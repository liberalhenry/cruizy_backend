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Gegenüberstellung" sheetId="2" state="visible" r:id="rId2"/>
    <sheet xmlns:r="http://schemas.openxmlformats.org/officeDocument/2006/relationships" name="Zeitachse" sheetId="3" state="visible" r:id="rId3"/>
    <sheet xmlns:r="http://schemas.openxmlformats.org/officeDocument/2006/relationships" name="PLZ-Summen" sheetId="4" state="visible" r:id="rId4"/>
    <sheet xmlns:r="http://schemas.openxmlformats.org/officeDocument/2006/relationships" name="Verlau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;-#,##0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A5F"/>
      <sz val="12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5" fillId="3" borderId="1" applyAlignment="1" pivotButton="0" quotePrefix="0" xfId="0">
      <alignment horizontal="center" vertical="top" wrapText="1"/>
    </xf>
    <xf numFmtId="3" fontId="8" fillId="0" borderId="1" applyAlignment="1" pivotButton="0" quotePrefix="0" xfId="0">
      <alignment horizontal="center" vertical="top" wrapText="1"/>
    </xf>
    <xf numFmtId="9" fontId="7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9" fontId="5" fillId="3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9" fontId="5" fillId="4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5" fontId="7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horizontal="center" vertical="top" wrapText="1"/>
    </xf>
    <xf numFmtId="1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3" fontId="5" fillId="4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165" fontId="7" fillId="3" borderId="1" applyAlignment="1" pivotButton="0" quotePrefix="0" xfId="0">
      <alignment horizontal="center" vertical="top" wrapText="1"/>
    </xf>
    <xf numFmtId="49" fontId="7" fillId="3" borderId="1" applyAlignment="1" pivotButton="0" quotePrefix="0" xfId="0">
      <alignment horizontal="center" vertical="top" wrapText="1"/>
    </xf>
    <xf numFmtId="3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5" fontId="7" fillId="0" borderId="1" applyAlignment="1" pivotButton="0" quotePrefix="0" xfId="0">
      <alignment horizontal="center" vertical="top" wrapText="1"/>
    </xf>
    <xf numFmtId="1" fontId="7" fillId="0" borderId="1" applyAlignment="1" pivotButton="0" quotePrefix="0" xfId="0">
      <alignment horizontal="center" vertical="top" wrapText="1"/>
    </xf>
    <xf numFmtId="166" fontId="7" fillId="0" borderId="1" applyAlignment="1" pivotButton="0" quotePrefix="0" xfId="0">
      <alignment horizontal="center" vertical="top" wrapText="1"/>
    </xf>
    <xf numFmtId="3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Tor-1-Vorlage — so wird sie benutzt</t>
        </is>
      </c>
    </row>
    <row r="2">
      <c r="A2" s="2" t="inlineStr">
        <is>
          <t>Aufgabe A-22 · erstellt 15.09.2026 · Grundlage: Handbuch A (Bauplan Phase 0, „Tag 90: das Tor“), Handbuch B (Kaltstart, drei Tore), 01-steuerung/tor-1-zeitachse-analyse.md (A-23) · Die Vorlage stellt gegenüber — entscheiden tun die Gründer.</t>
        </is>
      </c>
    </row>
    <row r="3">
      <c r="A3" s="2" t="inlineStr">
        <is>
          <t>LEGENDE: Gelb = von den Gründern einzutragen. Blau = Voreinstellung aus den Projektunterlagen, änderbar. Alles andere rechnet. Die Vorlage gibt keine Empfehlung ab.</t>
        </is>
      </c>
    </row>
    <row r="5">
      <c r="A5" s="3" t="inlineStr">
        <is>
          <t>#</t>
        </is>
      </c>
      <c r="B5" s="3" t="inlineStr">
        <is>
          <t>Schritt</t>
        </is>
      </c>
    </row>
    <row r="6" ht="32" customHeight="1">
      <c r="A6" s="4" t="inlineStr">
        <is>
          <t>1</t>
        </is>
      </c>
      <c r="B6" s="5" t="inlineStr">
        <is>
          <t>Vor dem Start (V4): Im Blatt „Zeitachse“ Start der Warteliste und T0 eintragen. Im Blatt „Gegenüberstellung“ die Soll-Werte K4 und K5 eintragen oder bewusst leer lassen. Im Blatt „PLZ-Summen“ festlegen, welche Postleitzahlen zur Startstadt und zum 3-km-Umkreis zählen. Danach nichts mehr an Soll-Werten und Zuordnungen ändern.</t>
        </is>
      </c>
    </row>
    <row r="7" ht="32" customHeight="1">
      <c r="A7" s="4" t="inlineStr">
        <is>
          <t>2</t>
        </is>
      </c>
      <c r="B7" s="5" t="inlineStr">
        <is>
          <t>Jede Woche (sonntags): Summen je Postleitzahl aus dem Maildienst übernehmen — nur Anzahlen, keine Adressen. Die drei Summen rechts im Blatt „PLZ-Summen“ in die Wochenzeile des Blatts „Verlauf“ übertragen, dazu Interviews, Zusagen und aktive Partnerorte.</t>
        </is>
      </c>
    </row>
    <row r="8" ht="32" customHeight="1">
      <c r="A8" s="4" t="inlineStr">
        <is>
          <t>3</t>
        </is>
      </c>
      <c r="B8" s="5" t="inlineStr">
        <is>
          <t>Am Messtag (Tag 90): letzte Wochenzeile mit dem Stand des Messtags füllen. Das Blatt „Gegenüberstellung“ zeigt Soll, Ist und Ampel.</t>
        </is>
      </c>
    </row>
    <row r="9" ht="32" customHeight="1">
      <c r="A9" s="4" t="inlineStr">
        <is>
          <t>4</t>
        </is>
      </c>
      <c r="B9" s="5" t="inlineStr">
        <is>
          <t>Entscheidung: Die Gründer tragen Entscheidung, Datum, Begründung und beide Zustimmungen ein. Wer Soll-Werte nach dem Start verändert hat, schreibt es hin.</t>
        </is>
      </c>
    </row>
    <row r="10" ht="32" customHeight="1">
      <c r="A10" s="4" t="inlineStr">
        <is>
          <t>!</t>
        </is>
      </c>
      <c r="B10" s="5" t="inlineStr">
        <is>
          <t>Die Warteliste läuft am Messtag bereits rund 151 Tage, nicht 90 — sie startet im Mai 2028, zwei Monate vor T0 (A-23). Die Vergleichsspalten im „Verlauf“ zeigen, ob die Entwicklung zur Erwartung passt.</t>
        </is>
      </c>
    </row>
    <row r="11" ht="32" customHeight="1">
      <c r="A11" s="4" t="inlineStr">
        <is>
          <t>!</t>
        </is>
      </c>
      <c r="B11" s="5" t="inlineStr">
        <is>
          <t>Datenschutz: In diese Datei kommen nur Summen je Postleitzahl und Zählwerte aus anonymen Interviewprotokollen — nie Namen, Adressen oder Einzelzeilen.</t>
        </is>
      </c>
    </row>
    <row r="14">
      <c r="A14" s="6" t="inlineStr">
        <is>
          <t>Blätter</t>
        </is>
      </c>
    </row>
    <row r="15">
      <c r="A15" s="3" t="inlineStr">
        <is>
          <t>#</t>
        </is>
      </c>
      <c r="B15" s="3" t="inlineStr">
        <is>
          <t>Blatt und Inhalt</t>
        </is>
      </c>
    </row>
    <row r="16">
      <c r="A16" s="4" t="inlineStr">
        <is>
          <t>1</t>
        </is>
      </c>
      <c r="B16" s="5" t="inlineStr">
        <is>
          <t>Gegenüberstellung — fünf Kriterien mit Soll, Ist, Ampel; Überblick; Feld für die Entscheidung der Gründer</t>
        </is>
      </c>
    </row>
    <row r="17">
      <c r="A17" s="4" t="inlineStr">
        <is>
          <t>2</t>
        </is>
      </c>
      <c r="B17" s="5" t="inlineStr">
        <is>
          <t>Zeitachse — Start der Warteliste, T0, Messtag, Laufzeit, Erwartungswerte</t>
        </is>
      </c>
    </row>
    <row r="18">
      <c r="A18" s="4" t="inlineStr">
        <is>
          <t>3</t>
        </is>
      </c>
      <c r="B18" s="5" t="inlineStr">
        <is>
          <t>PLZ-Summen — bestätigte Eintragungen je Postleitzahl mit Zuordnung zu Startstadt und 3-km-Umkreis</t>
        </is>
      </c>
    </row>
    <row r="19">
      <c r="A19" s="4" t="inlineStr">
        <is>
          <t>4</t>
        </is>
      </c>
      <c r="B19" s="5" t="inlineStr">
        <is>
          <t>Verlauf — 26 Wochenzeilen mit kumulierten Ständen und linearen Vergleichswerten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6" customWidth="1" min="4" max="4"/>
    <col width="12" customWidth="1" min="5" max="5"/>
    <col width="12" customWidth="1" min="6" max="6"/>
    <col width="70" customWidth="1" min="7" max="7"/>
  </cols>
  <sheetData>
    <row r="1">
      <c r="A1" s="1" t="inlineStr">
        <is>
          <t>Tor 1 — Soll und Ist am Messtag</t>
        </is>
      </c>
    </row>
    <row r="2">
      <c r="A2" s="2" t="inlineStr">
        <is>
          <t>Aufgabe A-22 · erstellt 15.09.2026 · Grundlage: Handbuch A (Bauplan Phase 0, „Tag 90: das Tor“), Handbuch B (Kaltstart, drei Tore), 01-steuerung/tor-1-zeitachse-analyse.md (A-23) · Die Vorlage stellt gegenüber — entscheiden tun die Gründer.</t>
        </is>
      </c>
    </row>
    <row r="3">
      <c r="A3" s="2" t="inlineStr">
        <is>
          <t>LEGENDE: Gelb = von den Gründern einzutragen. Blau = Voreinstellung aus den Projektunterlagen, änderbar. Alles andere rechnet. Die Vorlage gibt keine Empfehlung ab.</t>
        </is>
      </c>
    </row>
    <row r="5">
      <c r="A5" s="3" t="inlineStr">
        <is>
          <t>Nr</t>
        </is>
      </c>
      <c r="B5" s="3" t="inlineStr">
        <is>
          <t>Kriterium</t>
        </is>
      </c>
      <c r="C5" s="3" t="inlineStr">
        <is>
          <t>Soll</t>
        </is>
      </c>
      <c r="D5" s="3" t="inlineStr">
        <is>
          <t>Ist (letzter Stand)</t>
        </is>
      </c>
      <c r="E5" s="3" t="inlineStr">
        <is>
          <t>erreicht zu</t>
        </is>
      </c>
      <c r="F5" s="3" t="inlineStr">
        <is>
          <t>Ampel</t>
        </is>
      </c>
      <c r="G5" s="3" t="inlineStr">
        <is>
          <t>Herkunft des Solls</t>
        </is>
      </c>
    </row>
    <row r="6">
      <c r="A6" s="4" t="inlineStr">
        <is>
          <t>K1</t>
        </is>
      </c>
      <c r="B6" s="7" t="inlineStr">
        <is>
          <t>Bestätigte Eintragungen auf der Warteliste, gesamt — mehr als</t>
        </is>
      </c>
      <c r="C6" s="8" t="n">
        <v>1500</v>
      </c>
      <c r="D6" s="9">
        <f>IF(COUNT(Verlauf!D6:D31)=0,"",INDEX(Verlauf!D6:D31,MATCH(9.99E+307,Verlauf!D6:D31)))</f>
        <v/>
      </c>
      <c r="E6" s="10">
        <f>IF(OR(C6="",D6=""),"",IF(N(C6)=0,"",D6/C6))</f>
        <v/>
      </c>
      <c r="F6" s="4">
        <f>IF(C6="","kein Soll",IF(D6="","kein Ist",IF(D6&gt;C6,"grün",IF(D6&gt;=C6*$C$14,"gelb","rot"))))</f>
        <v/>
      </c>
      <c r="G6" s="11" t="inlineStr">
        <is>
          <t>Handbuch A, Bauplan Phase 0: „Weiter nur bei über 1.500 Anmeldungen“</t>
        </is>
      </c>
    </row>
    <row r="7">
      <c r="A7" s="4" t="inlineStr">
        <is>
          <t>K2</t>
        </is>
      </c>
      <c r="B7" s="7" t="inlineStr">
        <is>
          <t>davon aus einer Stadt — mindestens</t>
        </is>
      </c>
      <c r="C7" s="8" t="n">
        <v>900</v>
      </c>
      <c r="D7" s="9">
        <f>IF(COUNT(Verlauf!F6:F31)=0,"",INDEX(Verlauf!F6:F31,MATCH(9.99E+307,Verlauf!F6:F31)))</f>
        <v/>
      </c>
      <c r="E7" s="10">
        <f>IF(OR(C7="",D7=""),"",IF(N(C7)=0,"",D7/C7))</f>
        <v/>
      </c>
      <c r="F7" s="4">
        <f>IF(C7="","kein Soll",IF(D7="","kein Ist",IF(D7&gt;=C7,"grün",IF(D7&gt;=C7*$C$14,"gelb","rot"))))</f>
        <v/>
      </c>
      <c r="G7" s="11" t="inlineStr">
        <is>
          <t>Handbuch A (ebenda) und Handbuch B („Tag 90: 900 Wartelisten-Anmeldungen aus einer Stadt“)</t>
        </is>
      </c>
    </row>
    <row r="8">
      <c r="A8" s="4" t="inlineStr">
        <is>
          <t>K3</t>
        </is>
      </c>
      <c r="B8" s="7" t="inlineStr">
        <is>
          <t>Anteil der Interviews, in denen Datenschutz ungefragt aufkam — mehr als</t>
        </is>
      </c>
      <c r="C8" s="12">
        <f>1/3</f>
        <v/>
      </c>
      <c r="D8" s="13">
        <f>IF(COUNT(Verlauf!K6:K31)=0,"",INDEX(Verlauf!K6:K31,MATCH(9.99E+307,Verlauf!K6:K31)))</f>
        <v/>
      </c>
      <c r="E8" s="10">
        <f>IF(OR(C8="",D8=""),"",IF(N(C8)=0,"",D8/C8))</f>
        <v/>
      </c>
      <c r="F8" s="4">
        <f>IF(C8="","kein Soll",IF(D8="","kein Ist",IF(D8&gt;C8,"grün",IF(D8&gt;=C8*$C$14,"gelb","rot"))))</f>
        <v/>
      </c>
      <c r="G8" s="11" t="inlineStr">
        <is>
          <t>Projektannahme (Zeitplan, A-19: „mehr als ein Drittel“). Handbuch B nennt keine Quote: „Kommt Datenschutz nicht ungefragt auf, ist die Kernthese widerlegt.“</t>
        </is>
      </c>
    </row>
    <row r="9">
      <c r="A9" s="4" t="inlineStr">
        <is>
          <t>K4</t>
        </is>
      </c>
      <c r="B9" s="7" t="inlineStr">
        <is>
          <t>Orte mit mündlicher Zusage — mindestens</t>
        </is>
      </c>
      <c r="C9" s="8" t="n"/>
      <c r="D9" s="9">
        <f>IF(COUNT(Verlauf!L6:L31)=0,"",INDEX(Verlauf!L6:L31,MATCH(9.99E+307,Verlauf!L6:L31)))</f>
        <v/>
      </c>
      <c r="E9" s="10">
        <f>IF(OR(C9="",D9=""),"",IF(N(C9)=0,"",D9/C9))</f>
        <v/>
      </c>
      <c r="F9" s="4">
        <f>IF(C9="","kein Soll",IF(D9="","kein Ist",IF(D9&gt;=C9,"grün",IF(D9&gt;=C9*$C$14,"gelb","rot"))))</f>
        <v/>
      </c>
      <c r="G9" s="11" t="inlineStr">
        <is>
          <t>In den Handbüchern ohne Zahl; der KI-Einsatzplan verlangt nur, sie zu zählen. Die Tor-1-Rechnung unterstellt 12 aktive Partnerorte. Soll von den Gründern VOR dem Start einzutragen.</t>
        </is>
      </c>
    </row>
    <row r="10">
      <c r="A10" s="4" t="inlineStr">
        <is>
          <t>K5</t>
        </is>
      </c>
      <c r="B10" s="7" t="inlineStr">
        <is>
          <t>Eintragungen im 3-km-Umkreis Schaafenstraße — mindestens (Steuerungsgröße)</t>
        </is>
      </c>
      <c r="C10" s="8" t="n"/>
      <c r="D10" s="9">
        <f>IF(COUNT(Verlauf!H6:H31)=0,"",INDEX(Verlauf!H6:H31,MATCH(9.99E+307,Verlauf!H6:H31)))</f>
        <v/>
      </c>
      <c r="E10" s="10">
        <f>IF(OR(C10="",D10=""),"",IF(N(C10)=0,"",D10/C10))</f>
        <v/>
      </c>
      <c r="F10" s="4">
        <f>IF(C10="","kein Soll",IF(D10="","kein Ist",IF(D10&gt;=C10,"grün",IF(D10&gt;=C10*$C$14,"gelb","rot"))))</f>
        <v/>
      </c>
      <c r="G10" s="11" t="inlineStr">
        <is>
          <t>Handbuch A: „Dichte messen, nicht Anmeldungen“. Ob Dichte Torwert oder nur Steuerungsgröße ist, ist offen (Tor-1-Analyse, Abschnitt 9, Frage 3). Die Analyse nennt als Beispiel 300 — kein Beschluss.</t>
        </is>
      </c>
    </row>
    <row r="12">
      <c r="B12" s="6" t="inlineStr">
        <is>
          <t>Ampel</t>
        </is>
      </c>
    </row>
    <row r="13">
      <c r="B13" s="2" t="inlineStr">
        <is>
          <t>grün = Soll erreicht · gelb = nicht erreicht, aber mindestens der Anteil unten · rot = darunter</t>
        </is>
      </c>
    </row>
    <row r="14">
      <c r="B14" s="7" t="inlineStr">
        <is>
          <t>Schwelle für gelb (Anteil des Solls)</t>
        </is>
      </c>
      <c r="C14" s="14" t="n">
        <v>0.8</v>
      </c>
      <c r="D14" s="2" t="inlineStr">
        <is>
          <t>Voreinstellung dieser Vorlage, keine Vorgabe der Handbücher</t>
        </is>
      </c>
    </row>
    <row r="16">
      <c r="B16" s="6" t="inlineStr">
        <is>
          <t>Überblick</t>
        </is>
      </c>
    </row>
    <row r="17">
      <c r="B17" s="7" t="inlineStr">
        <is>
          <t>Kriterien grün</t>
        </is>
      </c>
      <c r="C17" s="15">
        <f>COUNTIF(F6:F10,"grün")</f>
        <v/>
      </c>
    </row>
    <row r="18">
      <c r="B18" s="7" t="inlineStr">
        <is>
          <t>Kriterien gelb</t>
        </is>
      </c>
      <c r="C18" s="15">
        <f>COUNTIF(F6:F10,"gelb")</f>
        <v/>
      </c>
    </row>
    <row r="19">
      <c r="B19" s="7" t="inlineStr">
        <is>
          <t>Kriterien rot</t>
        </is>
      </c>
      <c r="C19" s="15">
        <f>COUNTIF(F6:F10,"rot")</f>
        <v/>
      </c>
    </row>
    <row r="20">
      <c r="B20" s="7" t="inlineStr">
        <is>
          <t>ohne Soll oder Ist</t>
        </is>
      </c>
      <c r="C20" s="15">
        <f>COUNTIF(F6:F10,"kein*")</f>
        <v/>
      </c>
    </row>
    <row r="21">
      <c r="B21" s="7" t="inlineStr">
        <is>
          <t>Messtag</t>
        </is>
      </c>
      <c r="C21" s="16">
        <f>Zeitachse!B8</f>
        <v/>
      </c>
    </row>
    <row r="22">
      <c r="B22" s="7" t="inlineStr">
        <is>
          <t>Laufzeit der Warteliste am Messtag (Tage)</t>
        </is>
      </c>
      <c r="C22" s="15">
        <f>Zeitachse!B9</f>
        <v/>
      </c>
    </row>
    <row r="23">
      <c r="B23" s="7" t="inlineStr">
        <is>
          <t>Erwartung mittel am Messtag</t>
        </is>
      </c>
      <c r="C23" s="15">
        <f>Zeitachse!B17</f>
        <v/>
      </c>
    </row>
    <row r="24">
      <c r="B24" s="7" t="inlineStr">
        <is>
          <t>Ist gesamt im Verhältnis zur Erwartung mittel</t>
        </is>
      </c>
      <c r="C24" s="17">
        <f>IF(OR(D6="",Zeitachse!B17=0),"",D6/Zeitachse!B17)</f>
        <v/>
      </c>
    </row>
    <row r="26">
      <c r="B26" s="2" t="inlineStr">
        <is>
          <t>Diese Tabelle empfiehlt nichts. Handbuch A sagt „Weiter nur bei …“ — ob ein gelber Wert, eine Sondersituation oder ein Messfehler anders zu bewerten ist, entscheiden die Gründer. Eine nachträglich gesenkte Schwelle ist wertlos (Tor-1-Analyse, Abschnitt 7).</t>
        </is>
      </c>
    </row>
    <row r="28">
      <c r="B28" s="6" t="inlineStr">
        <is>
          <t>Entscheidung der Gründer</t>
        </is>
      </c>
    </row>
    <row r="29" ht="18" customHeight="1">
      <c r="B29" s="7" t="inlineStr">
        <is>
          <t>Entscheidung (weiter · nicht weiterbauen · anderes — dann begründen)</t>
        </is>
      </c>
      <c r="C29" s="18" t="n"/>
      <c r="D29" s="19" t="n"/>
      <c r="E29" s="19" t="n"/>
      <c r="F29" s="19" t="n"/>
      <c r="G29" s="20" t="n"/>
    </row>
    <row r="30" ht="18" customHeight="1">
      <c r="B30" s="7" t="inlineStr">
        <is>
          <t>Datum</t>
        </is>
      </c>
      <c r="C30" s="21" t="n"/>
      <c r="D30" s="19" t="n"/>
      <c r="E30" s="19" t="n"/>
      <c r="F30" s="19" t="n"/>
      <c r="G30" s="20" t="n"/>
    </row>
    <row r="31" ht="30" customHeight="1">
      <c r="B31" s="7" t="inlineStr">
        <is>
          <t>Begründung (drei Sätze)</t>
        </is>
      </c>
      <c r="C31" s="18" t="n"/>
      <c r="D31" s="19" t="n"/>
      <c r="E31" s="19" t="n"/>
      <c r="F31" s="19" t="n"/>
      <c r="G31" s="20" t="n"/>
    </row>
    <row r="32" ht="18" customHeight="1">
      <c r="B32" s="7" t="inlineStr">
        <is>
          <t>Henry Luca Kurz einverstanden (ja/nein)</t>
        </is>
      </c>
      <c r="C32" s="18" t="n"/>
      <c r="D32" s="19" t="n"/>
      <c r="E32" s="19" t="n"/>
      <c r="F32" s="19" t="n"/>
      <c r="G32" s="20" t="n"/>
    </row>
    <row r="33" ht="18" customHeight="1">
      <c r="B33" s="7" t="inlineStr">
        <is>
          <t>Nicolas Greulich einverstanden (ja/nein)</t>
        </is>
      </c>
      <c r="C33" s="18" t="n"/>
      <c r="D33" s="19" t="n"/>
      <c r="E33" s="19" t="n"/>
      <c r="F33" s="19" t="n"/>
      <c r="G33" s="20" t="n"/>
    </row>
    <row r="34" ht="30" customHeight="1">
      <c r="B34" s="7" t="inlineStr">
        <is>
          <t>Wurden Soll-Werte nach dem Start verändert? (ja/nein — wenn ja: was und warum)</t>
        </is>
      </c>
      <c r="C34" s="18" t="n"/>
      <c r="D34" s="19" t="n"/>
      <c r="E34" s="19" t="n"/>
      <c r="F34" s="19" t="n"/>
      <c r="G34" s="20" t="n"/>
    </row>
  </sheetData>
  <mergeCells count="6">
    <mergeCell ref="C29:G29"/>
    <mergeCell ref="C30:G30"/>
    <mergeCell ref="C34:G34"/>
    <mergeCell ref="C32:G32"/>
    <mergeCell ref="C33:G33"/>
    <mergeCell ref="C31:G31"/>
  </mergeCells>
  <conditionalFormatting sqref="F6:F10">
    <cfRule type="expression" priority="1" dxfId="0">
      <formula>F6="grün"</formula>
    </cfRule>
    <cfRule type="expression" priority="2" dxfId="1">
      <formula>F6="gelb"</formula>
    </cfRule>
    <cfRule type="expression" priority="3" dxfId="2">
      <formula>F6="rot"</formula>
    </cfRule>
  </conditionalFormatting>
  <dataValidations count="2">
    <dataValidation sqref="C29" showDropDown="0" showInputMessage="0" showErrorMessage="0" allowBlank="1" type="list">
      <formula1>"weiter,nicht weiterbauen,anderes"</formula1>
    </dataValidation>
    <dataValidation sqref="C32:C34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90" customWidth="1" min="3" max="3"/>
  </cols>
  <sheetData>
    <row r="1">
      <c r="A1" s="1" t="inlineStr">
        <is>
          <t>Tor 1 — Zeitachse und Eingaben</t>
        </is>
      </c>
    </row>
    <row r="2">
      <c r="A2" s="2" t="inlineStr">
        <is>
          <t>Aufgabe A-22 · erstellt 15.09.2026 · Grundlage: Handbuch A (Bauplan Phase 0, „Tag 90: das Tor“), Handbuch B (Kaltstart, drei Tore), 01-steuerung/tor-1-zeitachse-analyse.md (A-23) · Die Vorlage stellt gegenüber — entscheiden tun die Gründer.</t>
        </is>
      </c>
    </row>
    <row r="3">
      <c r="A3" s="2" t="inlineStr">
        <is>
          <t>LEGENDE: Gelb = von den Gründern einzutragen. Blau = Voreinstellung aus den Projektunterlagen, änderbar. Alles andere rechnet. Die Vorlage gibt keine Empfehlung ab.</t>
        </is>
      </c>
    </row>
    <row r="5">
      <c r="A5" s="3" t="inlineStr">
        <is>
          <t>Größe</t>
        </is>
      </c>
      <c r="B5" s="3" t="inlineStr">
        <is>
          <t>Wert</t>
        </is>
      </c>
      <c r="C5" s="3" t="inlineStr">
        <is>
          <t>Herkunft</t>
        </is>
      </c>
    </row>
    <row r="6">
      <c r="A6" s="7" t="inlineStr">
        <is>
          <t>Start der Warteliste (erster Tag mit Eintragungen)</t>
        </is>
      </c>
      <c r="B6" s="22" t="n">
        <v>46874</v>
      </c>
      <c r="C6" s="11" t="inlineStr">
        <is>
          <t>Annahme: „Mai 2028“ (zeitplan-bis-start.md, Kanalmonat 8). Tag genau eintragen, sobald bekannt.</t>
        </is>
      </c>
    </row>
    <row r="7">
      <c r="A7" s="7" t="inlineStr">
        <is>
          <t>T0 — Gründung, Tag 1 der Roadmap</t>
        </is>
      </c>
      <c r="B7" s="22" t="n">
        <v>46935</v>
      </c>
      <c r="C7" s="11" t="inlineStr">
        <is>
          <t>Annahme: „Anfang Juli 2028“ — offene Entscheidung Nr. 45 (Alternative September 2028).</t>
        </is>
      </c>
    </row>
    <row r="8">
      <c r="A8" s="7" t="inlineStr">
        <is>
          <t>Tag 90 — Messtag</t>
        </is>
      </c>
      <c r="B8" s="16">
        <f>B7+89</f>
        <v/>
      </c>
      <c r="C8" s="11" t="inlineStr">
        <is>
          <t>rechnet: T0 ist Tag 1, also Tag 90 = T0 + 89 Tage</t>
        </is>
      </c>
    </row>
    <row r="9">
      <c r="A9" s="7" t="inlineStr">
        <is>
          <t>Laufzeit der Warteliste am Messtag (Tage)</t>
        </is>
      </c>
      <c r="B9" s="23">
        <f>B8-B6+1</f>
        <v/>
      </c>
      <c r="C9" s="11" t="inlineStr">
        <is>
          <t>rechnet; bei den Annahmen oben 151 Tage wie in der Tor-1-Analyse</t>
        </is>
      </c>
    </row>
    <row r="10">
      <c r="A10" s="7" t="inlineStr">
        <is>
          <t>davon vor T0 (Tage)</t>
        </is>
      </c>
      <c r="B10" s="23">
        <f>B7-B6</f>
        <v/>
      </c>
      <c r="C10" s="11" t="inlineStr">
        <is>
          <t>rechnet; bei den Annahmen oben 61 Tage</t>
        </is>
      </c>
    </row>
    <row r="11">
      <c r="A11" s="7" t="inlineStr">
        <is>
          <t>Wochen im Verlauf (volle und angebrochene)</t>
        </is>
      </c>
      <c r="B11" s="23">
        <f>ROUNDUP(B9/7,0)</f>
        <v/>
      </c>
      <c r="C11" s="11" t="inlineStr">
        <is>
          <t>rechnet; das Blatt „Verlauf“ hat Platz für 26 Wochen</t>
        </is>
      </c>
    </row>
    <row r="12">
      <c r="A12" s="7" t="inlineStr">
        <is>
          <t>ColognePride im Messfenster?</t>
        </is>
      </c>
      <c r="B12" s="24" t="n"/>
      <c r="C12" s="11" t="inlineStr">
        <is>
          <t>eintragen: ja / nein — ColognePride findet regelmäßig am ersten Juliwochenende statt (Nr. 45); Gegenwert laut Tor-1-Analyse rund 480 Eintragungen</t>
        </is>
      </c>
    </row>
    <row r="14">
      <c r="A14" s="6" t="inlineStr">
        <is>
          <t>Erwartungswerte am Messtag (eigene Reichweitenrechnung)</t>
        </is>
      </c>
    </row>
    <row r="15">
      <c r="A15" s="3" t="inlineStr">
        <is>
          <t>Fall</t>
        </is>
      </c>
      <c r="B15" s="3" t="inlineStr">
        <is>
          <t>Eintragungen</t>
        </is>
      </c>
      <c r="C15" s="3" t="inlineStr">
        <is>
          <t>Herkunft</t>
        </is>
      </c>
    </row>
    <row r="16">
      <c r="A16" s="7" t="inlineStr">
        <is>
          <t>pessimistisch</t>
        </is>
      </c>
      <c r="B16" s="25" t="n">
        <v>1247</v>
      </c>
      <c r="C16" s="11" t="inlineStr">
        <is>
          <t>tor-1-zeitachse-analyse.md, Abschnitt 4.2 — Annahmen des Dokuments, keine Erfahrungswerte; gilt für T0 Anfang Juli (ColognePride im Fenster)</t>
        </is>
      </c>
    </row>
    <row r="17">
      <c r="A17" s="7" t="inlineStr">
        <is>
          <t>mittel</t>
        </is>
      </c>
      <c r="B17" s="25" t="n">
        <v>2437</v>
      </c>
      <c r="C17" s="11" t="inlineStr">
        <is>
          <t>tor-1-zeitachse-analyse.md, Abschnitt 4.2 — Annahmen des Dokuments, keine Erfahrungswerte; gilt für T0 Anfang Juli (ColognePride im Fenster)</t>
        </is>
      </c>
    </row>
    <row r="18">
      <c r="A18" s="7" t="inlineStr">
        <is>
          <t>optimistisch</t>
        </is>
      </c>
      <c r="B18" s="25" t="n">
        <v>3940</v>
      </c>
      <c r="C18" s="11" t="inlineStr">
        <is>
          <t>tor-1-zeitachse-analyse.md, Abschnitt 4.2 — Annahmen des Dokuments, keine Erfahrungswerte; gilt für T0 Anfang Juli (ColognePride im Fenster)</t>
        </is>
      </c>
    </row>
    <row r="20">
      <c r="A20" s="26" t="inlineStr">
        <is>
          <t>Hinweis</t>
        </is>
      </c>
      <c r="C20" s="27" t="inlineStr">
        <is>
          <t>Bei T0 im September nennt die Analyse im mittleren Fall 1.957 Eintragungen statt 2.437 (ohne ColognePride). Dann die Werte oben anpassen.</t>
        </is>
      </c>
    </row>
  </sheetData>
  <dataValidations count="1">
    <dataValidation sqref="B12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  <col width="40" customWidth="1" min="5" max="5"/>
    <col width="34" customWidth="1" min="7" max="7"/>
    <col width="14" customWidth="1" min="8" max="8"/>
    <col width="14" customWidth="1" min="9" max="9"/>
  </cols>
  <sheetData>
    <row r="1">
      <c r="A1" s="1" t="inlineStr">
        <is>
          <t>PLZ-Summen — nur Summen je Gebiet, nie einzelne Personen</t>
        </is>
      </c>
    </row>
    <row r="2">
      <c r="A2" s="2" t="inlineStr">
        <is>
          <t>Aufgabe A-22 · erstellt 15.09.2026 · Grundlage: Handbuch A (Bauplan Phase 0, „Tag 90: das Tor“), Handbuch B (Kaltstart, drei Tore), 01-steuerung/tor-1-zeitachse-analyse.md (A-23) · Die Vorlage stellt gegenüber — entscheiden tun die Gründer.</t>
        </is>
      </c>
    </row>
    <row r="3">
      <c r="A3" s="2" t="inlineStr">
        <is>
          <t>So verlangt es der Datenschutzhinweis (A-03): „dafür zählen wir nur Summen je Gebiet, nie einzelne Personen“. Aus dem Maildienst nur die Anzahl bestätigter Eintragungen je Postleitzahl übernehmen.</t>
        </is>
      </c>
      <c r="G3" s="28" t="inlineStr">
        <is>
          <t>Stand der Summen vom:</t>
        </is>
      </c>
      <c r="I3" s="29" t="n"/>
    </row>
    <row r="5">
      <c r="A5" s="3" t="inlineStr">
        <is>
          <t>Postleitzahl</t>
        </is>
      </c>
      <c r="B5" s="3" t="inlineStr">
        <is>
          <t>Bestätigte Eintragungen (Summe)</t>
        </is>
      </c>
      <c r="C5" s="3" t="inlineStr">
        <is>
          <t>zählt zur Startstadt? (ja/nein)</t>
        </is>
      </c>
      <c r="D5" s="3" t="inlineStr">
        <is>
          <t>liegt im 3-km-Umkreis Schaafenstraße? (ja/nein)</t>
        </is>
      </c>
      <c r="E5" s="3" t="inlineStr">
        <is>
          <t>Notiz</t>
        </is>
      </c>
      <c r="G5" s="3" t="inlineStr">
        <is>
          <t>Summe</t>
        </is>
      </c>
      <c r="H5" s="3" t="inlineStr">
        <is>
          <t>Wert</t>
        </is>
      </c>
    </row>
    <row r="6">
      <c r="A6" s="30" t="n"/>
      <c r="B6" s="31" t="n"/>
      <c r="C6" s="32" t="n"/>
      <c r="D6" s="32" t="n"/>
      <c r="E6" s="18" t="n"/>
      <c r="G6" s="7" t="inlineStr">
        <is>
          <t>alle bestätigten Eintragungen</t>
        </is>
      </c>
      <c r="H6" s="15">
        <f>SUM(B6:B305)</f>
        <v/>
      </c>
    </row>
    <row r="7">
      <c r="A7" s="30" t="n"/>
      <c r="B7" s="31" t="n"/>
      <c r="C7" s="32" t="n"/>
      <c r="D7" s="32" t="n"/>
      <c r="E7" s="18" t="n"/>
      <c r="G7" s="7" t="inlineStr">
        <is>
          <t>davon Startstadt</t>
        </is>
      </c>
      <c r="H7" s="15">
        <f>SUMIF(C6:C305,"ja",B6:B305)</f>
        <v/>
      </c>
    </row>
    <row r="8">
      <c r="A8" s="30" t="n"/>
      <c r="B8" s="31" t="n"/>
      <c r="C8" s="32" t="n"/>
      <c r="D8" s="32" t="n"/>
      <c r="E8" s="18" t="n"/>
      <c r="G8" s="7" t="inlineStr">
        <is>
          <t>davon 3-km-Umkreis Schaafenstraße</t>
        </is>
      </c>
      <c r="H8" s="15">
        <f>SUMIF(D6:D305,"ja",B6:B305)</f>
        <v/>
      </c>
    </row>
    <row r="9">
      <c r="A9" s="30" t="n"/>
      <c r="B9" s="31" t="n"/>
      <c r="C9" s="32" t="n"/>
      <c r="D9" s="32" t="n"/>
      <c r="E9" s="18" t="n"/>
      <c r="G9" s="7" t="inlineStr">
        <is>
          <t>Postleitzahlen ohne Zuordnung</t>
        </is>
      </c>
      <c r="H9" s="23">
        <f>SUMPRODUCT((A6:A305&lt;&gt;"")*(C6:C305=""))</f>
        <v/>
      </c>
      <c r="I9" s="4">
        <f>IF(H9=0,"keine","zuordnen")</f>
        <v/>
      </c>
    </row>
    <row r="10">
      <c r="A10" s="30" t="n"/>
      <c r="B10" s="31" t="n"/>
      <c r="C10" s="32" t="n"/>
      <c r="D10" s="32" t="n"/>
      <c r="E10" s="18" t="n"/>
      <c r="G10" s="7" t="inlineStr">
        <is>
          <t>doppelt eingetragene Postleitzahlen</t>
        </is>
      </c>
      <c r="H10" s="23">
        <f>COUNTA(A6:A305)-SUMPRODUCT((A6:A305&lt;&gt;"")/COUNTIF(A6:A305,A6:A305&amp;""))</f>
        <v/>
      </c>
      <c r="I10" s="4">
        <f>IF(H10=0,"keine","prüfen")</f>
        <v/>
      </c>
    </row>
    <row r="11">
      <c r="A11" s="30" t="n"/>
      <c r="B11" s="31" t="n"/>
      <c r="C11" s="32" t="n"/>
      <c r="D11" s="32" t="n"/>
      <c r="E11" s="18" t="n"/>
    </row>
    <row r="12">
      <c r="A12" s="30" t="n"/>
      <c r="B12" s="31" t="n"/>
      <c r="C12" s="32" t="n"/>
      <c r="D12" s="32" t="n"/>
      <c r="E12" s="18" t="n"/>
      <c r="G12" s="6" t="inlineStr">
        <is>
          <t>Regeln</t>
        </is>
      </c>
    </row>
    <row r="13">
      <c r="A13" s="30" t="n"/>
      <c r="B13" s="31" t="n"/>
      <c r="C13" s="32" t="n"/>
      <c r="D13" s="32" t="n"/>
      <c r="E13" s="18" t="n"/>
      <c r="G13" s="2" t="inlineStr">
        <is>
          <t>1. Welche Postleitzahlen zur Startstadt zählen, wird EINMAL vor dem Start festgelegt und nicht mehr geändert.</t>
        </is>
      </c>
    </row>
    <row r="14">
      <c r="A14" s="30" t="n"/>
      <c r="B14" s="31" t="n"/>
      <c r="C14" s="32" t="n"/>
      <c r="D14" s="32" t="n"/>
      <c r="E14" s="18" t="n"/>
      <c r="G14" s="2" t="inlineStr">
        <is>
          <t>2. Den 3-km-Umkreis einmal mit einer Karte bestimmen; eine Postleitzahl zählt, wenn ihr Großteil im Kreis liegt.</t>
        </is>
      </c>
    </row>
    <row r="15">
      <c r="A15" s="30" t="n"/>
      <c r="B15" s="31" t="n"/>
      <c r="C15" s="32" t="n"/>
      <c r="D15" s="32" t="n"/>
      <c r="E15" s="18" t="n"/>
      <c r="G15" s="2" t="inlineStr">
        <is>
          <t>3. Nur bestätigte Eintragungen (Double-Opt-in) zählen.</t>
        </is>
      </c>
    </row>
    <row r="16">
      <c r="A16" s="30" t="n"/>
      <c r="B16" s="31" t="n"/>
      <c r="C16" s="32" t="n"/>
      <c r="D16" s="32" t="n"/>
      <c r="E16" s="18" t="n"/>
      <c r="G16" s="2" t="inlineStr">
        <is>
          <t>4. Keine E-Mail-Adressen, keine Einzelzeilen aus dem Maildienst in diese Datei.</t>
        </is>
      </c>
    </row>
    <row r="17">
      <c r="A17" s="30" t="n"/>
      <c r="B17" s="31" t="n"/>
      <c r="C17" s="32" t="n"/>
      <c r="D17" s="32" t="n"/>
      <c r="E17" s="18" t="n"/>
      <c r="G17" s="2" t="inlineStr">
        <is>
          <t>5. Beispielzeilen gibt es bewusst nicht — erfundene Postleitzahlen würden mitgezählt.</t>
        </is>
      </c>
    </row>
    <row r="18">
      <c r="A18" s="30" t="n"/>
      <c r="B18" s="31" t="n"/>
      <c r="C18" s="32" t="n"/>
      <c r="D18" s="32" t="n"/>
      <c r="E18" s="18" t="n"/>
    </row>
    <row r="19">
      <c r="A19" s="30" t="n"/>
      <c r="B19" s="31" t="n"/>
      <c r="C19" s="32" t="n"/>
      <c r="D19" s="32" t="n"/>
      <c r="E19" s="18" t="n"/>
    </row>
    <row r="20">
      <c r="A20" s="30" t="n"/>
      <c r="B20" s="31" t="n"/>
      <c r="C20" s="32" t="n"/>
      <c r="D20" s="32" t="n"/>
      <c r="E20" s="18" t="n"/>
    </row>
    <row r="21">
      <c r="A21" s="30" t="n"/>
      <c r="B21" s="31" t="n"/>
      <c r="C21" s="32" t="n"/>
      <c r="D21" s="32" t="n"/>
      <c r="E21" s="18" t="n"/>
    </row>
    <row r="22">
      <c r="A22" s="30" t="n"/>
      <c r="B22" s="31" t="n"/>
      <c r="C22" s="32" t="n"/>
      <c r="D22" s="32" t="n"/>
      <c r="E22" s="18" t="n"/>
    </row>
    <row r="23">
      <c r="A23" s="30" t="n"/>
      <c r="B23" s="31" t="n"/>
      <c r="C23" s="32" t="n"/>
      <c r="D23" s="32" t="n"/>
      <c r="E23" s="18" t="n"/>
    </row>
    <row r="24">
      <c r="A24" s="30" t="n"/>
      <c r="B24" s="31" t="n"/>
      <c r="C24" s="32" t="n"/>
      <c r="D24" s="32" t="n"/>
      <c r="E24" s="18" t="n"/>
    </row>
    <row r="25">
      <c r="A25" s="30" t="n"/>
      <c r="B25" s="31" t="n"/>
      <c r="C25" s="32" t="n"/>
      <c r="D25" s="32" t="n"/>
      <c r="E25" s="18" t="n"/>
    </row>
    <row r="26">
      <c r="A26" s="30" t="n"/>
      <c r="B26" s="31" t="n"/>
      <c r="C26" s="32" t="n"/>
      <c r="D26" s="32" t="n"/>
      <c r="E26" s="18" t="n"/>
    </row>
    <row r="27">
      <c r="A27" s="30" t="n"/>
      <c r="B27" s="31" t="n"/>
      <c r="C27" s="32" t="n"/>
      <c r="D27" s="32" t="n"/>
      <c r="E27" s="18" t="n"/>
    </row>
    <row r="28">
      <c r="A28" s="30" t="n"/>
      <c r="B28" s="31" t="n"/>
      <c r="C28" s="32" t="n"/>
      <c r="D28" s="32" t="n"/>
      <c r="E28" s="18" t="n"/>
    </row>
    <row r="29">
      <c r="A29" s="30" t="n"/>
      <c r="B29" s="31" t="n"/>
      <c r="C29" s="32" t="n"/>
      <c r="D29" s="32" t="n"/>
      <c r="E29" s="18" t="n"/>
    </row>
    <row r="30">
      <c r="A30" s="30" t="n"/>
      <c r="B30" s="31" t="n"/>
      <c r="C30" s="32" t="n"/>
      <c r="D30" s="32" t="n"/>
      <c r="E30" s="18" t="n"/>
    </row>
    <row r="31">
      <c r="A31" s="30" t="n"/>
      <c r="B31" s="31" t="n"/>
      <c r="C31" s="32" t="n"/>
      <c r="D31" s="32" t="n"/>
      <c r="E31" s="18" t="n"/>
    </row>
    <row r="32">
      <c r="A32" s="30" t="n"/>
      <c r="B32" s="31" t="n"/>
      <c r="C32" s="32" t="n"/>
      <c r="D32" s="32" t="n"/>
      <c r="E32" s="18" t="n"/>
    </row>
    <row r="33">
      <c r="A33" s="30" t="n"/>
      <c r="B33" s="31" t="n"/>
      <c r="C33" s="32" t="n"/>
      <c r="D33" s="32" t="n"/>
      <c r="E33" s="18" t="n"/>
    </row>
    <row r="34">
      <c r="A34" s="30" t="n"/>
      <c r="B34" s="31" t="n"/>
      <c r="C34" s="32" t="n"/>
      <c r="D34" s="32" t="n"/>
      <c r="E34" s="18" t="n"/>
    </row>
    <row r="35">
      <c r="A35" s="30" t="n"/>
      <c r="B35" s="31" t="n"/>
      <c r="C35" s="32" t="n"/>
      <c r="D35" s="32" t="n"/>
      <c r="E35" s="18" t="n"/>
    </row>
    <row r="36">
      <c r="A36" s="30" t="n"/>
      <c r="B36" s="31" t="n"/>
      <c r="C36" s="32" t="n"/>
      <c r="D36" s="32" t="n"/>
      <c r="E36" s="18" t="n"/>
    </row>
    <row r="37">
      <c r="A37" s="30" t="n"/>
      <c r="B37" s="31" t="n"/>
      <c r="C37" s="32" t="n"/>
      <c r="D37" s="32" t="n"/>
      <c r="E37" s="18" t="n"/>
    </row>
    <row r="38">
      <c r="A38" s="30" t="n"/>
      <c r="B38" s="31" t="n"/>
      <c r="C38" s="32" t="n"/>
      <c r="D38" s="32" t="n"/>
      <c r="E38" s="18" t="n"/>
    </row>
    <row r="39">
      <c r="A39" s="30" t="n"/>
      <c r="B39" s="31" t="n"/>
      <c r="C39" s="32" t="n"/>
      <c r="D39" s="32" t="n"/>
      <c r="E39" s="18" t="n"/>
    </row>
    <row r="40">
      <c r="A40" s="30" t="n"/>
      <c r="B40" s="31" t="n"/>
      <c r="C40" s="32" t="n"/>
      <c r="D40" s="32" t="n"/>
      <c r="E40" s="18" t="n"/>
    </row>
    <row r="41">
      <c r="A41" s="30" t="n"/>
      <c r="B41" s="31" t="n"/>
      <c r="C41" s="32" t="n"/>
      <c r="D41" s="32" t="n"/>
      <c r="E41" s="18" t="n"/>
    </row>
    <row r="42">
      <c r="A42" s="30" t="n"/>
      <c r="B42" s="31" t="n"/>
      <c r="C42" s="32" t="n"/>
      <c r="D42" s="32" t="n"/>
      <c r="E42" s="18" t="n"/>
    </row>
    <row r="43">
      <c r="A43" s="30" t="n"/>
      <c r="B43" s="31" t="n"/>
      <c r="C43" s="32" t="n"/>
      <c r="D43" s="32" t="n"/>
      <c r="E43" s="18" t="n"/>
    </row>
    <row r="44">
      <c r="A44" s="30" t="n"/>
      <c r="B44" s="31" t="n"/>
      <c r="C44" s="32" t="n"/>
      <c r="D44" s="32" t="n"/>
      <c r="E44" s="18" t="n"/>
    </row>
    <row r="45">
      <c r="A45" s="30" t="n"/>
      <c r="B45" s="31" t="n"/>
      <c r="C45" s="32" t="n"/>
      <c r="D45" s="32" t="n"/>
      <c r="E45" s="18" t="n"/>
    </row>
    <row r="46">
      <c r="A46" s="30" t="n"/>
      <c r="B46" s="31" t="n"/>
      <c r="C46" s="32" t="n"/>
      <c r="D46" s="32" t="n"/>
      <c r="E46" s="18" t="n"/>
    </row>
    <row r="47">
      <c r="A47" s="30" t="n"/>
      <c r="B47" s="31" t="n"/>
      <c r="C47" s="32" t="n"/>
      <c r="D47" s="32" t="n"/>
      <c r="E47" s="18" t="n"/>
    </row>
    <row r="48">
      <c r="A48" s="30" t="n"/>
      <c r="B48" s="31" t="n"/>
      <c r="C48" s="32" t="n"/>
      <c r="D48" s="32" t="n"/>
      <c r="E48" s="18" t="n"/>
    </row>
    <row r="49">
      <c r="A49" s="30" t="n"/>
      <c r="B49" s="31" t="n"/>
      <c r="C49" s="32" t="n"/>
      <c r="D49" s="32" t="n"/>
      <c r="E49" s="18" t="n"/>
    </row>
    <row r="50">
      <c r="A50" s="30" t="n"/>
      <c r="B50" s="31" t="n"/>
      <c r="C50" s="32" t="n"/>
      <c r="D50" s="32" t="n"/>
      <c r="E50" s="18" t="n"/>
    </row>
    <row r="51">
      <c r="A51" s="30" t="n"/>
      <c r="B51" s="31" t="n"/>
      <c r="C51" s="32" t="n"/>
      <c r="D51" s="32" t="n"/>
      <c r="E51" s="18" t="n"/>
    </row>
    <row r="52">
      <c r="A52" s="30" t="n"/>
      <c r="B52" s="31" t="n"/>
      <c r="C52" s="32" t="n"/>
      <c r="D52" s="32" t="n"/>
      <c r="E52" s="18" t="n"/>
    </row>
    <row r="53">
      <c r="A53" s="30" t="n"/>
      <c r="B53" s="31" t="n"/>
      <c r="C53" s="32" t="n"/>
      <c r="D53" s="32" t="n"/>
      <c r="E53" s="18" t="n"/>
    </row>
    <row r="54">
      <c r="A54" s="30" t="n"/>
      <c r="B54" s="31" t="n"/>
      <c r="C54" s="32" t="n"/>
      <c r="D54" s="32" t="n"/>
      <c r="E54" s="18" t="n"/>
    </row>
    <row r="55">
      <c r="A55" s="30" t="n"/>
      <c r="B55" s="31" t="n"/>
      <c r="C55" s="32" t="n"/>
      <c r="D55" s="32" t="n"/>
      <c r="E55" s="18" t="n"/>
    </row>
    <row r="56">
      <c r="A56" s="30" t="n"/>
      <c r="B56" s="31" t="n"/>
      <c r="C56" s="32" t="n"/>
      <c r="D56" s="32" t="n"/>
      <c r="E56" s="18" t="n"/>
    </row>
    <row r="57">
      <c r="A57" s="30" t="n"/>
      <c r="B57" s="31" t="n"/>
      <c r="C57" s="32" t="n"/>
      <c r="D57" s="32" t="n"/>
      <c r="E57" s="18" t="n"/>
    </row>
    <row r="58">
      <c r="A58" s="30" t="n"/>
      <c r="B58" s="31" t="n"/>
      <c r="C58" s="32" t="n"/>
      <c r="D58" s="32" t="n"/>
      <c r="E58" s="18" t="n"/>
    </row>
    <row r="59">
      <c r="A59" s="30" t="n"/>
      <c r="B59" s="31" t="n"/>
      <c r="C59" s="32" t="n"/>
      <c r="D59" s="32" t="n"/>
      <c r="E59" s="18" t="n"/>
    </row>
    <row r="60">
      <c r="A60" s="30" t="n"/>
      <c r="B60" s="31" t="n"/>
      <c r="C60" s="32" t="n"/>
      <c r="D60" s="32" t="n"/>
      <c r="E60" s="18" t="n"/>
    </row>
    <row r="61">
      <c r="A61" s="30" t="n"/>
      <c r="B61" s="31" t="n"/>
      <c r="C61" s="32" t="n"/>
      <c r="D61" s="32" t="n"/>
      <c r="E61" s="18" t="n"/>
    </row>
    <row r="62">
      <c r="A62" s="30" t="n"/>
      <c r="B62" s="31" t="n"/>
      <c r="C62" s="32" t="n"/>
      <c r="D62" s="32" t="n"/>
      <c r="E62" s="18" t="n"/>
    </row>
    <row r="63">
      <c r="A63" s="30" t="n"/>
      <c r="B63" s="31" t="n"/>
      <c r="C63" s="32" t="n"/>
      <c r="D63" s="32" t="n"/>
      <c r="E63" s="18" t="n"/>
    </row>
    <row r="64">
      <c r="A64" s="30" t="n"/>
      <c r="B64" s="31" t="n"/>
      <c r="C64" s="32" t="n"/>
      <c r="D64" s="32" t="n"/>
      <c r="E64" s="18" t="n"/>
    </row>
    <row r="65">
      <c r="A65" s="30" t="n"/>
      <c r="B65" s="31" t="n"/>
      <c r="C65" s="32" t="n"/>
      <c r="D65" s="32" t="n"/>
      <c r="E65" s="18" t="n"/>
    </row>
    <row r="66">
      <c r="A66" s="30" t="n"/>
      <c r="B66" s="31" t="n"/>
      <c r="C66" s="32" t="n"/>
      <c r="D66" s="32" t="n"/>
      <c r="E66" s="18" t="n"/>
    </row>
    <row r="67">
      <c r="A67" s="30" t="n"/>
      <c r="B67" s="31" t="n"/>
      <c r="C67" s="32" t="n"/>
      <c r="D67" s="32" t="n"/>
      <c r="E67" s="18" t="n"/>
    </row>
    <row r="68">
      <c r="A68" s="30" t="n"/>
      <c r="B68" s="31" t="n"/>
      <c r="C68" s="32" t="n"/>
      <c r="D68" s="32" t="n"/>
      <c r="E68" s="18" t="n"/>
    </row>
    <row r="69">
      <c r="A69" s="30" t="n"/>
      <c r="B69" s="31" t="n"/>
      <c r="C69" s="32" t="n"/>
      <c r="D69" s="32" t="n"/>
      <c r="E69" s="18" t="n"/>
    </row>
    <row r="70">
      <c r="A70" s="30" t="n"/>
      <c r="B70" s="31" t="n"/>
      <c r="C70" s="32" t="n"/>
      <c r="D70" s="32" t="n"/>
      <c r="E70" s="18" t="n"/>
    </row>
    <row r="71">
      <c r="A71" s="30" t="n"/>
      <c r="B71" s="31" t="n"/>
      <c r="C71" s="32" t="n"/>
      <c r="D71" s="32" t="n"/>
      <c r="E71" s="18" t="n"/>
    </row>
    <row r="72">
      <c r="A72" s="30" t="n"/>
      <c r="B72" s="31" t="n"/>
      <c r="C72" s="32" t="n"/>
      <c r="D72" s="32" t="n"/>
      <c r="E72" s="18" t="n"/>
    </row>
    <row r="73">
      <c r="A73" s="30" t="n"/>
      <c r="B73" s="31" t="n"/>
      <c r="C73" s="32" t="n"/>
      <c r="D73" s="32" t="n"/>
      <c r="E73" s="18" t="n"/>
    </row>
    <row r="74">
      <c r="A74" s="30" t="n"/>
      <c r="B74" s="31" t="n"/>
      <c r="C74" s="32" t="n"/>
      <c r="D74" s="32" t="n"/>
      <c r="E74" s="18" t="n"/>
    </row>
    <row r="75">
      <c r="A75" s="30" t="n"/>
      <c r="B75" s="31" t="n"/>
      <c r="C75" s="32" t="n"/>
      <c r="D75" s="32" t="n"/>
      <c r="E75" s="18" t="n"/>
    </row>
    <row r="76">
      <c r="A76" s="30" t="n"/>
      <c r="B76" s="31" t="n"/>
      <c r="C76" s="32" t="n"/>
      <c r="D76" s="32" t="n"/>
      <c r="E76" s="18" t="n"/>
    </row>
    <row r="77">
      <c r="A77" s="30" t="n"/>
      <c r="B77" s="31" t="n"/>
      <c r="C77" s="32" t="n"/>
      <c r="D77" s="32" t="n"/>
      <c r="E77" s="18" t="n"/>
    </row>
    <row r="78">
      <c r="A78" s="30" t="n"/>
      <c r="B78" s="31" t="n"/>
      <c r="C78" s="32" t="n"/>
      <c r="D78" s="32" t="n"/>
      <c r="E78" s="18" t="n"/>
    </row>
    <row r="79">
      <c r="A79" s="30" t="n"/>
      <c r="B79" s="31" t="n"/>
      <c r="C79" s="32" t="n"/>
      <c r="D79" s="32" t="n"/>
      <c r="E79" s="18" t="n"/>
    </row>
    <row r="80">
      <c r="A80" s="30" t="n"/>
      <c r="B80" s="31" t="n"/>
      <c r="C80" s="32" t="n"/>
      <c r="D80" s="32" t="n"/>
      <c r="E80" s="18" t="n"/>
    </row>
    <row r="81">
      <c r="A81" s="30" t="n"/>
      <c r="B81" s="31" t="n"/>
      <c r="C81" s="32" t="n"/>
      <c r="D81" s="32" t="n"/>
      <c r="E81" s="18" t="n"/>
    </row>
    <row r="82">
      <c r="A82" s="30" t="n"/>
      <c r="B82" s="31" t="n"/>
      <c r="C82" s="32" t="n"/>
      <c r="D82" s="32" t="n"/>
      <c r="E82" s="18" t="n"/>
    </row>
    <row r="83">
      <c r="A83" s="30" t="n"/>
      <c r="B83" s="31" t="n"/>
      <c r="C83" s="32" t="n"/>
      <c r="D83" s="32" t="n"/>
      <c r="E83" s="18" t="n"/>
    </row>
    <row r="84">
      <c r="A84" s="30" t="n"/>
      <c r="B84" s="31" t="n"/>
      <c r="C84" s="32" t="n"/>
      <c r="D84" s="32" t="n"/>
      <c r="E84" s="18" t="n"/>
    </row>
    <row r="85">
      <c r="A85" s="30" t="n"/>
      <c r="B85" s="31" t="n"/>
      <c r="C85" s="32" t="n"/>
      <c r="D85" s="32" t="n"/>
      <c r="E85" s="18" t="n"/>
    </row>
    <row r="86">
      <c r="A86" s="30" t="n"/>
      <c r="B86" s="31" t="n"/>
      <c r="C86" s="32" t="n"/>
      <c r="D86" s="32" t="n"/>
      <c r="E86" s="18" t="n"/>
    </row>
    <row r="87">
      <c r="A87" s="30" t="n"/>
      <c r="B87" s="31" t="n"/>
      <c r="C87" s="32" t="n"/>
      <c r="D87" s="32" t="n"/>
      <c r="E87" s="18" t="n"/>
    </row>
    <row r="88">
      <c r="A88" s="30" t="n"/>
      <c r="B88" s="31" t="n"/>
      <c r="C88" s="32" t="n"/>
      <c r="D88" s="32" t="n"/>
      <c r="E88" s="18" t="n"/>
    </row>
    <row r="89">
      <c r="A89" s="30" t="n"/>
      <c r="B89" s="31" t="n"/>
      <c r="C89" s="32" t="n"/>
      <c r="D89" s="32" t="n"/>
      <c r="E89" s="18" t="n"/>
    </row>
    <row r="90">
      <c r="A90" s="30" t="n"/>
      <c r="B90" s="31" t="n"/>
      <c r="C90" s="32" t="n"/>
      <c r="D90" s="32" t="n"/>
      <c r="E90" s="18" t="n"/>
    </row>
    <row r="91">
      <c r="A91" s="30" t="n"/>
      <c r="B91" s="31" t="n"/>
      <c r="C91" s="32" t="n"/>
      <c r="D91" s="32" t="n"/>
      <c r="E91" s="18" t="n"/>
    </row>
    <row r="92">
      <c r="A92" s="30" t="n"/>
      <c r="B92" s="31" t="n"/>
      <c r="C92" s="32" t="n"/>
      <c r="D92" s="32" t="n"/>
      <c r="E92" s="18" t="n"/>
    </row>
    <row r="93">
      <c r="A93" s="30" t="n"/>
      <c r="B93" s="31" t="n"/>
      <c r="C93" s="32" t="n"/>
      <c r="D93" s="32" t="n"/>
      <c r="E93" s="18" t="n"/>
    </row>
    <row r="94">
      <c r="A94" s="30" t="n"/>
      <c r="B94" s="31" t="n"/>
      <c r="C94" s="32" t="n"/>
      <c r="D94" s="32" t="n"/>
      <c r="E94" s="18" t="n"/>
    </row>
    <row r="95">
      <c r="A95" s="30" t="n"/>
      <c r="B95" s="31" t="n"/>
      <c r="C95" s="32" t="n"/>
      <c r="D95" s="32" t="n"/>
      <c r="E95" s="18" t="n"/>
    </row>
    <row r="96">
      <c r="A96" s="30" t="n"/>
      <c r="B96" s="31" t="n"/>
      <c r="C96" s="32" t="n"/>
      <c r="D96" s="32" t="n"/>
      <c r="E96" s="18" t="n"/>
    </row>
    <row r="97">
      <c r="A97" s="30" t="n"/>
      <c r="B97" s="31" t="n"/>
      <c r="C97" s="32" t="n"/>
      <c r="D97" s="32" t="n"/>
      <c r="E97" s="18" t="n"/>
    </row>
    <row r="98">
      <c r="A98" s="30" t="n"/>
      <c r="B98" s="31" t="n"/>
      <c r="C98" s="32" t="n"/>
      <c r="D98" s="32" t="n"/>
      <c r="E98" s="18" t="n"/>
    </row>
    <row r="99">
      <c r="A99" s="30" t="n"/>
      <c r="B99" s="31" t="n"/>
      <c r="C99" s="32" t="n"/>
      <c r="D99" s="32" t="n"/>
      <c r="E99" s="18" t="n"/>
    </row>
    <row r="100">
      <c r="A100" s="30" t="n"/>
      <c r="B100" s="31" t="n"/>
      <c r="C100" s="32" t="n"/>
      <c r="D100" s="32" t="n"/>
      <c r="E100" s="18" t="n"/>
    </row>
    <row r="101">
      <c r="A101" s="30" t="n"/>
      <c r="B101" s="31" t="n"/>
      <c r="C101" s="32" t="n"/>
      <c r="D101" s="32" t="n"/>
      <c r="E101" s="18" t="n"/>
    </row>
    <row r="102">
      <c r="A102" s="30" t="n"/>
      <c r="B102" s="31" t="n"/>
      <c r="C102" s="32" t="n"/>
      <c r="D102" s="32" t="n"/>
      <c r="E102" s="18" t="n"/>
    </row>
    <row r="103">
      <c r="A103" s="30" t="n"/>
      <c r="B103" s="31" t="n"/>
      <c r="C103" s="32" t="n"/>
      <c r="D103" s="32" t="n"/>
      <c r="E103" s="18" t="n"/>
    </row>
    <row r="104">
      <c r="A104" s="30" t="n"/>
      <c r="B104" s="31" t="n"/>
      <c r="C104" s="32" t="n"/>
      <c r="D104" s="32" t="n"/>
      <c r="E104" s="18" t="n"/>
    </row>
    <row r="105">
      <c r="A105" s="30" t="n"/>
      <c r="B105" s="31" t="n"/>
      <c r="C105" s="32" t="n"/>
      <c r="D105" s="32" t="n"/>
      <c r="E105" s="18" t="n"/>
    </row>
    <row r="106">
      <c r="A106" s="30" t="n"/>
      <c r="B106" s="31" t="n"/>
      <c r="C106" s="32" t="n"/>
      <c r="D106" s="32" t="n"/>
      <c r="E106" s="18" t="n"/>
    </row>
    <row r="107">
      <c r="A107" s="30" t="n"/>
      <c r="B107" s="31" t="n"/>
      <c r="C107" s="32" t="n"/>
      <c r="D107" s="32" t="n"/>
      <c r="E107" s="18" t="n"/>
    </row>
    <row r="108">
      <c r="A108" s="30" t="n"/>
      <c r="B108" s="31" t="n"/>
      <c r="C108" s="32" t="n"/>
      <c r="D108" s="32" t="n"/>
      <c r="E108" s="18" t="n"/>
    </row>
    <row r="109">
      <c r="A109" s="30" t="n"/>
      <c r="B109" s="31" t="n"/>
      <c r="C109" s="32" t="n"/>
      <c r="D109" s="32" t="n"/>
      <c r="E109" s="18" t="n"/>
    </row>
    <row r="110">
      <c r="A110" s="30" t="n"/>
      <c r="B110" s="31" t="n"/>
      <c r="C110" s="32" t="n"/>
      <c r="D110" s="32" t="n"/>
      <c r="E110" s="18" t="n"/>
    </row>
    <row r="111">
      <c r="A111" s="30" t="n"/>
      <c r="B111" s="31" t="n"/>
      <c r="C111" s="32" t="n"/>
      <c r="D111" s="32" t="n"/>
      <c r="E111" s="18" t="n"/>
    </row>
    <row r="112">
      <c r="A112" s="30" t="n"/>
      <c r="B112" s="31" t="n"/>
      <c r="C112" s="32" t="n"/>
      <c r="D112" s="32" t="n"/>
      <c r="E112" s="18" t="n"/>
    </row>
    <row r="113">
      <c r="A113" s="30" t="n"/>
      <c r="B113" s="31" t="n"/>
      <c r="C113" s="32" t="n"/>
      <c r="D113" s="32" t="n"/>
      <c r="E113" s="18" t="n"/>
    </row>
    <row r="114">
      <c r="A114" s="30" t="n"/>
      <c r="B114" s="31" t="n"/>
      <c r="C114" s="32" t="n"/>
      <c r="D114" s="32" t="n"/>
      <c r="E114" s="18" t="n"/>
    </row>
    <row r="115">
      <c r="A115" s="30" t="n"/>
      <c r="B115" s="31" t="n"/>
      <c r="C115" s="32" t="n"/>
      <c r="D115" s="32" t="n"/>
      <c r="E115" s="18" t="n"/>
    </row>
    <row r="116">
      <c r="A116" s="30" t="n"/>
      <c r="B116" s="31" t="n"/>
      <c r="C116" s="32" t="n"/>
      <c r="D116" s="32" t="n"/>
      <c r="E116" s="18" t="n"/>
    </row>
    <row r="117">
      <c r="A117" s="30" t="n"/>
      <c r="B117" s="31" t="n"/>
      <c r="C117" s="32" t="n"/>
      <c r="D117" s="32" t="n"/>
      <c r="E117" s="18" t="n"/>
    </row>
    <row r="118">
      <c r="A118" s="30" t="n"/>
      <c r="B118" s="31" t="n"/>
      <c r="C118" s="32" t="n"/>
      <c r="D118" s="32" t="n"/>
      <c r="E118" s="18" t="n"/>
    </row>
    <row r="119">
      <c r="A119" s="30" t="n"/>
      <c r="B119" s="31" t="n"/>
      <c r="C119" s="32" t="n"/>
      <c r="D119" s="32" t="n"/>
      <c r="E119" s="18" t="n"/>
    </row>
    <row r="120">
      <c r="A120" s="30" t="n"/>
      <c r="B120" s="31" t="n"/>
      <c r="C120" s="32" t="n"/>
      <c r="D120" s="32" t="n"/>
      <c r="E120" s="18" t="n"/>
    </row>
    <row r="121">
      <c r="A121" s="30" t="n"/>
      <c r="B121" s="31" t="n"/>
      <c r="C121" s="32" t="n"/>
      <c r="D121" s="32" t="n"/>
      <c r="E121" s="18" t="n"/>
    </row>
    <row r="122">
      <c r="A122" s="30" t="n"/>
      <c r="B122" s="31" t="n"/>
      <c r="C122" s="32" t="n"/>
      <c r="D122" s="32" t="n"/>
      <c r="E122" s="18" t="n"/>
    </row>
    <row r="123">
      <c r="A123" s="30" t="n"/>
      <c r="B123" s="31" t="n"/>
      <c r="C123" s="32" t="n"/>
      <c r="D123" s="32" t="n"/>
      <c r="E123" s="18" t="n"/>
    </row>
    <row r="124">
      <c r="A124" s="30" t="n"/>
      <c r="B124" s="31" t="n"/>
      <c r="C124" s="32" t="n"/>
      <c r="D124" s="32" t="n"/>
      <c r="E124" s="18" t="n"/>
    </row>
    <row r="125">
      <c r="A125" s="30" t="n"/>
      <c r="B125" s="31" t="n"/>
      <c r="C125" s="32" t="n"/>
      <c r="D125" s="32" t="n"/>
      <c r="E125" s="18" t="n"/>
    </row>
    <row r="126">
      <c r="A126" s="30" t="n"/>
      <c r="B126" s="31" t="n"/>
      <c r="C126" s="32" t="n"/>
      <c r="D126" s="32" t="n"/>
      <c r="E126" s="18" t="n"/>
    </row>
    <row r="127">
      <c r="A127" s="30" t="n"/>
      <c r="B127" s="31" t="n"/>
      <c r="C127" s="32" t="n"/>
      <c r="D127" s="32" t="n"/>
      <c r="E127" s="18" t="n"/>
    </row>
    <row r="128">
      <c r="A128" s="30" t="n"/>
      <c r="B128" s="31" t="n"/>
      <c r="C128" s="32" t="n"/>
      <c r="D128" s="32" t="n"/>
      <c r="E128" s="18" t="n"/>
    </row>
    <row r="129">
      <c r="A129" s="30" t="n"/>
      <c r="B129" s="31" t="n"/>
      <c r="C129" s="32" t="n"/>
      <c r="D129" s="32" t="n"/>
      <c r="E129" s="18" t="n"/>
    </row>
    <row r="130">
      <c r="A130" s="30" t="n"/>
      <c r="B130" s="31" t="n"/>
      <c r="C130" s="32" t="n"/>
      <c r="D130" s="32" t="n"/>
      <c r="E130" s="18" t="n"/>
    </row>
    <row r="131">
      <c r="A131" s="30" t="n"/>
      <c r="B131" s="31" t="n"/>
      <c r="C131" s="32" t="n"/>
      <c r="D131" s="32" t="n"/>
      <c r="E131" s="18" t="n"/>
    </row>
    <row r="132">
      <c r="A132" s="30" t="n"/>
      <c r="B132" s="31" t="n"/>
      <c r="C132" s="32" t="n"/>
      <c r="D132" s="32" t="n"/>
      <c r="E132" s="18" t="n"/>
    </row>
    <row r="133">
      <c r="A133" s="30" t="n"/>
      <c r="B133" s="31" t="n"/>
      <c r="C133" s="32" t="n"/>
      <c r="D133" s="32" t="n"/>
      <c r="E133" s="18" t="n"/>
    </row>
    <row r="134">
      <c r="A134" s="30" t="n"/>
      <c r="B134" s="31" t="n"/>
      <c r="C134" s="32" t="n"/>
      <c r="D134" s="32" t="n"/>
      <c r="E134" s="18" t="n"/>
    </row>
    <row r="135">
      <c r="A135" s="30" t="n"/>
      <c r="B135" s="31" t="n"/>
      <c r="C135" s="32" t="n"/>
      <c r="D135" s="32" t="n"/>
      <c r="E135" s="18" t="n"/>
    </row>
    <row r="136">
      <c r="A136" s="30" t="n"/>
      <c r="B136" s="31" t="n"/>
      <c r="C136" s="32" t="n"/>
      <c r="D136" s="32" t="n"/>
      <c r="E136" s="18" t="n"/>
    </row>
    <row r="137">
      <c r="A137" s="30" t="n"/>
      <c r="B137" s="31" t="n"/>
      <c r="C137" s="32" t="n"/>
      <c r="D137" s="32" t="n"/>
      <c r="E137" s="18" t="n"/>
    </row>
    <row r="138">
      <c r="A138" s="30" t="n"/>
      <c r="B138" s="31" t="n"/>
      <c r="C138" s="32" t="n"/>
      <c r="D138" s="32" t="n"/>
      <c r="E138" s="18" t="n"/>
    </row>
    <row r="139">
      <c r="A139" s="30" t="n"/>
      <c r="B139" s="31" t="n"/>
      <c r="C139" s="32" t="n"/>
      <c r="D139" s="32" t="n"/>
      <c r="E139" s="18" t="n"/>
    </row>
    <row r="140">
      <c r="A140" s="30" t="n"/>
      <c r="B140" s="31" t="n"/>
      <c r="C140" s="32" t="n"/>
      <c r="D140" s="32" t="n"/>
      <c r="E140" s="18" t="n"/>
    </row>
    <row r="141">
      <c r="A141" s="30" t="n"/>
      <c r="B141" s="31" t="n"/>
      <c r="C141" s="32" t="n"/>
      <c r="D141" s="32" t="n"/>
      <c r="E141" s="18" t="n"/>
    </row>
    <row r="142">
      <c r="A142" s="30" t="n"/>
      <c r="B142" s="31" t="n"/>
      <c r="C142" s="32" t="n"/>
      <c r="D142" s="32" t="n"/>
      <c r="E142" s="18" t="n"/>
    </row>
    <row r="143">
      <c r="A143" s="30" t="n"/>
      <c r="B143" s="31" t="n"/>
      <c r="C143" s="32" t="n"/>
      <c r="D143" s="32" t="n"/>
      <c r="E143" s="18" t="n"/>
    </row>
    <row r="144">
      <c r="A144" s="30" t="n"/>
      <c r="B144" s="31" t="n"/>
      <c r="C144" s="32" t="n"/>
      <c r="D144" s="32" t="n"/>
      <c r="E144" s="18" t="n"/>
    </row>
    <row r="145">
      <c r="A145" s="30" t="n"/>
      <c r="B145" s="31" t="n"/>
      <c r="C145" s="32" t="n"/>
      <c r="D145" s="32" t="n"/>
      <c r="E145" s="18" t="n"/>
    </row>
    <row r="146">
      <c r="A146" s="30" t="n"/>
      <c r="B146" s="31" t="n"/>
      <c r="C146" s="32" t="n"/>
      <c r="D146" s="32" t="n"/>
      <c r="E146" s="18" t="n"/>
    </row>
    <row r="147">
      <c r="A147" s="30" t="n"/>
      <c r="B147" s="31" t="n"/>
      <c r="C147" s="32" t="n"/>
      <c r="D147" s="32" t="n"/>
      <c r="E147" s="18" t="n"/>
    </row>
    <row r="148">
      <c r="A148" s="30" t="n"/>
      <c r="B148" s="31" t="n"/>
      <c r="C148" s="32" t="n"/>
      <c r="D148" s="32" t="n"/>
      <c r="E148" s="18" t="n"/>
    </row>
    <row r="149">
      <c r="A149" s="30" t="n"/>
      <c r="B149" s="31" t="n"/>
      <c r="C149" s="32" t="n"/>
      <c r="D149" s="32" t="n"/>
      <c r="E149" s="18" t="n"/>
    </row>
    <row r="150">
      <c r="A150" s="30" t="n"/>
      <c r="B150" s="31" t="n"/>
      <c r="C150" s="32" t="n"/>
      <c r="D150" s="32" t="n"/>
      <c r="E150" s="18" t="n"/>
    </row>
    <row r="151">
      <c r="A151" s="30" t="n"/>
      <c r="B151" s="31" t="n"/>
      <c r="C151" s="32" t="n"/>
      <c r="D151" s="32" t="n"/>
      <c r="E151" s="18" t="n"/>
    </row>
    <row r="152">
      <c r="A152" s="30" t="n"/>
      <c r="B152" s="31" t="n"/>
      <c r="C152" s="32" t="n"/>
      <c r="D152" s="32" t="n"/>
      <c r="E152" s="18" t="n"/>
    </row>
    <row r="153">
      <c r="A153" s="30" t="n"/>
      <c r="B153" s="31" t="n"/>
      <c r="C153" s="32" t="n"/>
      <c r="D153" s="32" t="n"/>
      <c r="E153" s="18" t="n"/>
    </row>
    <row r="154">
      <c r="A154" s="30" t="n"/>
      <c r="B154" s="31" t="n"/>
      <c r="C154" s="32" t="n"/>
      <c r="D154" s="32" t="n"/>
      <c r="E154" s="18" t="n"/>
    </row>
    <row r="155">
      <c r="A155" s="30" t="n"/>
      <c r="B155" s="31" t="n"/>
      <c r="C155" s="32" t="n"/>
      <c r="D155" s="32" t="n"/>
      <c r="E155" s="18" t="n"/>
    </row>
    <row r="156">
      <c r="A156" s="30" t="n"/>
      <c r="B156" s="31" t="n"/>
      <c r="C156" s="32" t="n"/>
      <c r="D156" s="32" t="n"/>
      <c r="E156" s="18" t="n"/>
    </row>
    <row r="157">
      <c r="A157" s="30" t="n"/>
      <c r="B157" s="31" t="n"/>
      <c r="C157" s="32" t="n"/>
      <c r="D157" s="32" t="n"/>
      <c r="E157" s="18" t="n"/>
    </row>
    <row r="158">
      <c r="A158" s="30" t="n"/>
      <c r="B158" s="31" t="n"/>
      <c r="C158" s="32" t="n"/>
      <c r="D158" s="32" t="n"/>
      <c r="E158" s="18" t="n"/>
    </row>
    <row r="159">
      <c r="A159" s="30" t="n"/>
      <c r="B159" s="31" t="n"/>
      <c r="C159" s="32" t="n"/>
      <c r="D159" s="32" t="n"/>
      <c r="E159" s="18" t="n"/>
    </row>
    <row r="160">
      <c r="A160" s="30" t="n"/>
      <c r="B160" s="31" t="n"/>
      <c r="C160" s="32" t="n"/>
      <c r="D160" s="32" t="n"/>
      <c r="E160" s="18" t="n"/>
    </row>
    <row r="161">
      <c r="A161" s="30" t="n"/>
      <c r="B161" s="31" t="n"/>
      <c r="C161" s="32" t="n"/>
      <c r="D161" s="32" t="n"/>
      <c r="E161" s="18" t="n"/>
    </row>
    <row r="162">
      <c r="A162" s="30" t="n"/>
      <c r="B162" s="31" t="n"/>
      <c r="C162" s="32" t="n"/>
      <c r="D162" s="32" t="n"/>
      <c r="E162" s="18" t="n"/>
    </row>
    <row r="163">
      <c r="A163" s="30" t="n"/>
      <c r="B163" s="31" t="n"/>
      <c r="C163" s="32" t="n"/>
      <c r="D163" s="32" t="n"/>
      <c r="E163" s="18" t="n"/>
    </row>
    <row r="164">
      <c r="A164" s="30" t="n"/>
      <c r="B164" s="31" t="n"/>
      <c r="C164" s="32" t="n"/>
      <c r="D164" s="32" t="n"/>
      <c r="E164" s="18" t="n"/>
    </row>
    <row r="165">
      <c r="A165" s="30" t="n"/>
      <c r="B165" s="31" t="n"/>
      <c r="C165" s="32" t="n"/>
      <c r="D165" s="32" t="n"/>
      <c r="E165" s="18" t="n"/>
    </row>
    <row r="166">
      <c r="A166" s="30" t="n"/>
      <c r="B166" s="31" t="n"/>
      <c r="C166" s="32" t="n"/>
      <c r="D166" s="32" t="n"/>
      <c r="E166" s="18" t="n"/>
    </row>
    <row r="167">
      <c r="A167" s="30" t="n"/>
      <c r="B167" s="31" t="n"/>
      <c r="C167" s="32" t="n"/>
      <c r="D167" s="32" t="n"/>
      <c r="E167" s="18" t="n"/>
    </row>
    <row r="168">
      <c r="A168" s="30" t="n"/>
      <c r="B168" s="31" t="n"/>
      <c r="C168" s="32" t="n"/>
      <c r="D168" s="32" t="n"/>
      <c r="E168" s="18" t="n"/>
    </row>
    <row r="169">
      <c r="A169" s="30" t="n"/>
      <c r="B169" s="31" t="n"/>
      <c r="C169" s="32" t="n"/>
      <c r="D169" s="32" t="n"/>
      <c r="E169" s="18" t="n"/>
    </row>
    <row r="170">
      <c r="A170" s="30" t="n"/>
      <c r="B170" s="31" t="n"/>
      <c r="C170" s="32" t="n"/>
      <c r="D170" s="32" t="n"/>
      <c r="E170" s="18" t="n"/>
    </row>
    <row r="171">
      <c r="A171" s="30" t="n"/>
      <c r="B171" s="31" t="n"/>
      <c r="C171" s="32" t="n"/>
      <c r="D171" s="32" t="n"/>
      <c r="E171" s="18" t="n"/>
    </row>
    <row r="172">
      <c r="A172" s="30" t="n"/>
      <c r="B172" s="31" t="n"/>
      <c r="C172" s="32" t="n"/>
      <c r="D172" s="32" t="n"/>
      <c r="E172" s="18" t="n"/>
    </row>
    <row r="173">
      <c r="A173" s="30" t="n"/>
      <c r="B173" s="31" t="n"/>
      <c r="C173" s="32" t="n"/>
      <c r="D173" s="32" t="n"/>
      <c r="E173" s="18" t="n"/>
    </row>
    <row r="174">
      <c r="A174" s="30" t="n"/>
      <c r="B174" s="31" t="n"/>
      <c r="C174" s="32" t="n"/>
      <c r="D174" s="32" t="n"/>
      <c r="E174" s="18" t="n"/>
    </row>
    <row r="175">
      <c r="A175" s="30" t="n"/>
      <c r="B175" s="31" t="n"/>
      <c r="C175" s="32" t="n"/>
      <c r="D175" s="32" t="n"/>
      <c r="E175" s="18" t="n"/>
    </row>
    <row r="176">
      <c r="A176" s="30" t="n"/>
      <c r="B176" s="31" t="n"/>
      <c r="C176" s="32" t="n"/>
      <c r="D176" s="32" t="n"/>
      <c r="E176" s="18" t="n"/>
    </row>
    <row r="177">
      <c r="A177" s="30" t="n"/>
      <c r="B177" s="31" t="n"/>
      <c r="C177" s="32" t="n"/>
      <c r="D177" s="32" t="n"/>
      <c r="E177" s="18" t="n"/>
    </row>
    <row r="178">
      <c r="A178" s="30" t="n"/>
      <c r="B178" s="31" t="n"/>
      <c r="C178" s="32" t="n"/>
      <c r="D178" s="32" t="n"/>
      <c r="E178" s="18" t="n"/>
    </row>
    <row r="179">
      <c r="A179" s="30" t="n"/>
      <c r="B179" s="31" t="n"/>
      <c r="C179" s="32" t="n"/>
      <c r="D179" s="32" t="n"/>
      <c r="E179" s="18" t="n"/>
    </row>
    <row r="180">
      <c r="A180" s="30" t="n"/>
      <c r="B180" s="31" t="n"/>
      <c r="C180" s="32" t="n"/>
      <c r="D180" s="32" t="n"/>
      <c r="E180" s="18" t="n"/>
    </row>
    <row r="181">
      <c r="A181" s="30" t="n"/>
      <c r="B181" s="31" t="n"/>
      <c r="C181" s="32" t="n"/>
      <c r="D181" s="32" t="n"/>
      <c r="E181" s="18" t="n"/>
    </row>
    <row r="182">
      <c r="A182" s="30" t="n"/>
      <c r="B182" s="31" t="n"/>
      <c r="C182" s="32" t="n"/>
      <c r="D182" s="32" t="n"/>
      <c r="E182" s="18" t="n"/>
    </row>
    <row r="183">
      <c r="A183" s="30" t="n"/>
      <c r="B183" s="31" t="n"/>
      <c r="C183" s="32" t="n"/>
      <c r="D183" s="32" t="n"/>
      <c r="E183" s="18" t="n"/>
    </row>
    <row r="184">
      <c r="A184" s="30" t="n"/>
      <c r="B184" s="31" t="n"/>
      <c r="C184" s="32" t="n"/>
      <c r="D184" s="32" t="n"/>
      <c r="E184" s="18" t="n"/>
    </row>
    <row r="185">
      <c r="A185" s="30" t="n"/>
      <c r="B185" s="31" t="n"/>
      <c r="C185" s="32" t="n"/>
      <c r="D185" s="32" t="n"/>
      <c r="E185" s="18" t="n"/>
    </row>
    <row r="186">
      <c r="A186" s="30" t="n"/>
      <c r="B186" s="31" t="n"/>
      <c r="C186" s="32" t="n"/>
      <c r="D186" s="32" t="n"/>
      <c r="E186" s="18" t="n"/>
    </row>
    <row r="187">
      <c r="A187" s="30" t="n"/>
      <c r="B187" s="31" t="n"/>
      <c r="C187" s="32" t="n"/>
      <c r="D187" s="32" t="n"/>
      <c r="E187" s="18" t="n"/>
    </row>
    <row r="188">
      <c r="A188" s="30" t="n"/>
      <c r="B188" s="31" t="n"/>
      <c r="C188" s="32" t="n"/>
      <c r="D188" s="32" t="n"/>
      <c r="E188" s="18" t="n"/>
    </row>
    <row r="189">
      <c r="A189" s="30" t="n"/>
      <c r="B189" s="31" t="n"/>
      <c r="C189" s="32" t="n"/>
      <c r="D189" s="32" t="n"/>
      <c r="E189" s="18" t="n"/>
    </row>
    <row r="190">
      <c r="A190" s="30" t="n"/>
      <c r="B190" s="31" t="n"/>
      <c r="C190" s="32" t="n"/>
      <c r="D190" s="32" t="n"/>
      <c r="E190" s="18" t="n"/>
    </row>
    <row r="191">
      <c r="A191" s="30" t="n"/>
      <c r="B191" s="31" t="n"/>
      <c r="C191" s="32" t="n"/>
      <c r="D191" s="32" t="n"/>
      <c r="E191" s="18" t="n"/>
    </row>
    <row r="192">
      <c r="A192" s="30" t="n"/>
      <c r="B192" s="31" t="n"/>
      <c r="C192" s="32" t="n"/>
      <c r="D192" s="32" t="n"/>
      <c r="E192" s="18" t="n"/>
    </row>
    <row r="193">
      <c r="A193" s="30" t="n"/>
      <c r="B193" s="31" t="n"/>
      <c r="C193" s="32" t="n"/>
      <c r="D193" s="32" t="n"/>
      <c r="E193" s="18" t="n"/>
    </row>
    <row r="194">
      <c r="A194" s="30" t="n"/>
      <c r="B194" s="31" t="n"/>
      <c r="C194" s="32" t="n"/>
      <c r="D194" s="32" t="n"/>
      <c r="E194" s="18" t="n"/>
    </row>
    <row r="195">
      <c r="A195" s="30" t="n"/>
      <c r="B195" s="31" t="n"/>
      <c r="C195" s="32" t="n"/>
      <c r="D195" s="32" t="n"/>
      <c r="E195" s="18" t="n"/>
    </row>
    <row r="196">
      <c r="A196" s="30" t="n"/>
      <c r="B196" s="31" t="n"/>
      <c r="C196" s="32" t="n"/>
      <c r="D196" s="32" t="n"/>
      <c r="E196" s="18" t="n"/>
    </row>
    <row r="197">
      <c r="A197" s="30" t="n"/>
      <c r="B197" s="31" t="n"/>
      <c r="C197" s="32" t="n"/>
      <c r="D197" s="32" t="n"/>
      <c r="E197" s="18" t="n"/>
    </row>
    <row r="198">
      <c r="A198" s="30" t="n"/>
      <c r="B198" s="31" t="n"/>
      <c r="C198" s="32" t="n"/>
      <c r="D198" s="32" t="n"/>
      <c r="E198" s="18" t="n"/>
    </row>
    <row r="199">
      <c r="A199" s="30" t="n"/>
      <c r="B199" s="31" t="n"/>
      <c r="C199" s="32" t="n"/>
      <c r="D199" s="32" t="n"/>
      <c r="E199" s="18" t="n"/>
    </row>
    <row r="200">
      <c r="A200" s="30" t="n"/>
      <c r="B200" s="31" t="n"/>
      <c r="C200" s="32" t="n"/>
      <c r="D200" s="32" t="n"/>
      <c r="E200" s="18" t="n"/>
    </row>
    <row r="201">
      <c r="A201" s="30" t="n"/>
      <c r="B201" s="31" t="n"/>
      <c r="C201" s="32" t="n"/>
      <c r="D201" s="32" t="n"/>
      <c r="E201" s="18" t="n"/>
    </row>
    <row r="202">
      <c r="A202" s="30" t="n"/>
      <c r="B202" s="31" t="n"/>
      <c r="C202" s="32" t="n"/>
      <c r="D202" s="32" t="n"/>
      <c r="E202" s="18" t="n"/>
    </row>
    <row r="203">
      <c r="A203" s="30" t="n"/>
      <c r="B203" s="31" t="n"/>
      <c r="C203" s="32" t="n"/>
      <c r="D203" s="32" t="n"/>
      <c r="E203" s="18" t="n"/>
    </row>
    <row r="204">
      <c r="A204" s="30" t="n"/>
      <c r="B204" s="31" t="n"/>
      <c r="C204" s="32" t="n"/>
      <c r="D204" s="32" t="n"/>
      <c r="E204" s="18" t="n"/>
    </row>
    <row r="205">
      <c r="A205" s="30" t="n"/>
      <c r="B205" s="31" t="n"/>
      <c r="C205" s="32" t="n"/>
      <c r="D205" s="32" t="n"/>
      <c r="E205" s="18" t="n"/>
    </row>
    <row r="206">
      <c r="A206" s="30" t="n"/>
      <c r="B206" s="31" t="n"/>
      <c r="C206" s="32" t="n"/>
      <c r="D206" s="32" t="n"/>
      <c r="E206" s="18" t="n"/>
    </row>
    <row r="207">
      <c r="A207" s="30" t="n"/>
      <c r="B207" s="31" t="n"/>
      <c r="C207" s="32" t="n"/>
      <c r="D207" s="32" t="n"/>
      <c r="E207" s="18" t="n"/>
    </row>
    <row r="208">
      <c r="A208" s="30" t="n"/>
      <c r="B208" s="31" t="n"/>
      <c r="C208" s="32" t="n"/>
      <c r="D208" s="32" t="n"/>
      <c r="E208" s="18" t="n"/>
    </row>
    <row r="209">
      <c r="A209" s="30" t="n"/>
      <c r="B209" s="31" t="n"/>
      <c r="C209" s="32" t="n"/>
      <c r="D209" s="32" t="n"/>
      <c r="E209" s="18" t="n"/>
    </row>
    <row r="210">
      <c r="A210" s="30" t="n"/>
      <c r="B210" s="31" t="n"/>
      <c r="C210" s="32" t="n"/>
      <c r="D210" s="32" t="n"/>
      <c r="E210" s="18" t="n"/>
    </row>
    <row r="211">
      <c r="A211" s="30" t="n"/>
      <c r="B211" s="31" t="n"/>
      <c r="C211" s="32" t="n"/>
      <c r="D211" s="32" t="n"/>
      <c r="E211" s="18" t="n"/>
    </row>
    <row r="212">
      <c r="A212" s="30" t="n"/>
      <c r="B212" s="31" t="n"/>
      <c r="C212" s="32" t="n"/>
      <c r="D212" s="32" t="n"/>
      <c r="E212" s="18" t="n"/>
    </row>
    <row r="213">
      <c r="A213" s="30" t="n"/>
      <c r="B213" s="31" t="n"/>
      <c r="C213" s="32" t="n"/>
      <c r="D213" s="32" t="n"/>
      <c r="E213" s="18" t="n"/>
    </row>
    <row r="214">
      <c r="A214" s="30" t="n"/>
      <c r="B214" s="31" t="n"/>
      <c r="C214" s="32" t="n"/>
      <c r="D214" s="32" t="n"/>
      <c r="E214" s="18" t="n"/>
    </row>
    <row r="215">
      <c r="A215" s="30" t="n"/>
      <c r="B215" s="31" t="n"/>
      <c r="C215" s="32" t="n"/>
      <c r="D215" s="32" t="n"/>
      <c r="E215" s="18" t="n"/>
    </row>
    <row r="216">
      <c r="A216" s="30" t="n"/>
      <c r="B216" s="31" t="n"/>
      <c r="C216" s="32" t="n"/>
      <c r="D216" s="32" t="n"/>
      <c r="E216" s="18" t="n"/>
    </row>
    <row r="217">
      <c r="A217" s="30" t="n"/>
      <c r="B217" s="31" t="n"/>
      <c r="C217" s="32" t="n"/>
      <c r="D217" s="32" t="n"/>
      <c r="E217" s="18" t="n"/>
    </row>
    <row r="218">
      <c r="A218" s="30" t="n"/>
      <c r="B218" s="31" t="n"/>
      <c r="C218" s="32" t="n"/>
      <c r="D218" s="32" t="n"/>
      <c r="E218" s="18" t="n"/>
    </row>
    <row r="219">
      <c r="A219" s="30" t="n"/>
      <c r="B219" s="31" t="n"/>
      <c r="C219" s="32" t="n"/>
      <c r="D219" s="32" t="n"/>
      <c r="E219" s="18" t="n"/>
    </row>
    <row r="220">
      <c r="A220" s="30" t="n"/>
      <c r="B220" s="31" t="n"/>
      <c r="C220" s="32" t="n"/>
      <c r="D220" s="32" t="n"/>
      <c r="E220" s="18" t="n"/>
    </row>
    <row r="221">
      <c r="A221" s="30" t="n"/>
      <c r="B221" s="31" t="n"/>
      <c r="C221" s="32" t="n"/>
      <c r="D221" s="32" t="n"/>
      <c r="E221" s="18" t="n"/>
    </row>
    <row r="222">
      <c r="A222" s="30" t="n"/>
      <c r="B222" s="31" t="n"/>
      <c r="C222" s="32" t="n"/>
      <c r="D222" s="32" t="n"/>
      <c r="E222" s="18" t="n"/>
    </row>
    <row r="223">
      <c r="A223" s="30" t="n"/>
      <c r="B223" s="31" t="n"/>
      <c r="C223" s="32" t="n"/>
      <c r="D223" s="32" t="n"/>
      <c r="E223" s="18" t="n"/>
    </row>
    <row r="224">
      <c r="A224" s="30" t="n"/>
      <c r="B224" s="31" t="n"/>
      <c r="C224" s="32" t="n"/>
      <c r="D224" s="32" t="n"/>
      <c r="E224" s="18" t="n"/>
    </row>
    <row r="225">
      <c r="A225" s="30" t="n"/>
      <c r="B225" s="31" t="n"/>
      <c r="C225" s="32" t="n"/>
      <c r="D225" s="32" t="n"/>
      <c r="E225" s="18" t="n"/>
    </row>
    <row r="226">
      <c r="A226" s="30" t="n"/>
      <c r="B226" s="31" t="n"/>
      <c r="C226" s="32" t="n"/>
      <c r="D226" s="32" t="n"/>
      <c r="E226" s="18" t="n"/>
    </row>
    <row r="227">
      <c r="A227" s="30" t="n"/>
      <c r="B227" s="31" t="n"/>
      <c r="C227" s="32" t="n"/>
      <c r="D227" s="32" t="n"/>
      <c r="E227" s="18" t="n"/>
    </row>
    <row r="228">
      <c r="A228" s="30" t="n"/>
      <c r="B228" s="31" t="n"/>
      <c r="C228" s="32" t="n"/>
      <c r="D228" s="32" t="n"/>
      <c r="E228" s="18" t="n"/>
    </row>
    <row r="229">
      <c r="A229" s="30" t="n"/>
      <c r="B229" s="31" t="n"/>
      <c r="C229" s="32" t="n"/>
      <c r="D229" s="32" t="n"/>
      <c r="E229" s="18" t="n"/>
    </row>
    <row r="230">
      <c r="A230" s="30" t="n"/>
      <c r="B230" s="31" t="n"/>
      <c r="C230" s="32" t="n"/>
      <c r="D230" s="32" t="n"/>
      <c r="E230" s="18" t="n"/>
    </row>
    <row r="231">
      <c r="A231" s="30" t="n"/>
      <c r="B231" s="31" t="n"/>
      <c r="C231" s="32" t="n"/>
      <c r="D231" s="32" t="n"/>
      <c r="E231" s="18" t="n"/>
    </row>
    <row r="232">
      <c r="A232" s="30" t="n"/>
      <c r="B232" s="31" t="n"/>
      <c r="C232" s="32" t="n"/>
      <c r="D232" s="32" t="n"/>
      <c r="E232" s="18" t="n"/>
    </row>
    <row r="233">
      <c r="A233" s="30" t="n"/>
      <c r="B233" s="31" t="n"/>
      <c r="C233" s="32" t="n"/>
      <c r="D233" s="32" t="n"/>
      <c r="E233" s="18" t="n"/>
    </row>
    <row r="234">
      <c r="A234" s="30" t="n"/>
      <c r="B234" s="31" t="n"/>
      <c r="C234" s="32" t="n"/>
      <c r="D234" s="32" t="n"/>
      <c r="E234" s="18" t="n"/>
    </row>
    <row r="235">
      <c r="A235" s="30" t="n"/>
      <c r="B235" s="31" t="n"/>
      <c r="C235" s="32" t="n"/>
      <c r="D235" s="32" t="n"/>
      <c r="E235" s="18" t="n"/>
    </row>
    <row r="236">
      <c r="A236" s="30" t="n"/>
      <c r="B236" s="31" t="n"/>
      <c r="C236" s="32" t="n"/>
      <c r="D236" s="32" t="n"/>
      <c r="E236" s="18" t="n"/>
    </row>
    <row r="237">
      <c r="A237" s="30" t="n"/>
      <c r="B237" s="31" t="n"/>
      <c r="C237" s="32" t="n"/>
      <c r="D237" s="32" t="n"/>
      <c r="E237" s="18" t="n"/>
    </row>
    <row r="238">
      <c r="A238" s="30" t="n"/>
      <c r="B238" s="31" t="n"/>
      <c r="C238" s="32" t="n"/>
      <c r="D238" s="32" t="n"/>
      <c r="E238" s="18" t="n"/>
    </row>
    <row r="239">
      <c r="A239" s="30" t="n"/>
      <c r="B239" s="31" t="n"/>
      <c r="C239" s="32" t="n"/>
      <c r="D239" s="32" t="n"/>
      <c r="E239" s="18" t="n"/>
    </row>
    <row r="240">
      <c r="A240" s="30" t="n"/>
      <c r="B240" s="31" t="n"/>
      <c r="C240" s="32" t="n"/>
      <c r="D240" s="32" t="n"/>
      <c r="E240" s="18" t="n"/>
    </row>
    <row r="241">
      <c r="A241" s="30" t="n"/>
      <c r="B241" s="31" t="n"/>
      <c r="C241" s="32" t="n"/>
      <c r="D241" s="32" t="n"/>
      <c r="E241" s="18" t="n"/>
    </row>
    <row r="242">
      <c r="A242" s="30" t="n"/>
      <c r="B242" s="31" t="n"/>
      <c r="C242" s="32" t="n"/>
      <c r="D242" s="32" t="n"/>
      <c r="E242" s="18" t="n"/>
    </row>
    <row r="243">
      <c r="A243" s="30" t="n"/>
      <c r="B243" s="31" t="n"/>
      <c r="C243" s="32" t="n"/>
      <c r="D243" s="32" t="n"/>
      <c r="E243" s="18" t="n"/>
    </row>
    <row r="244">
      <c r="A244" s="30" t="n"/>
      <c r="B244" s="31" t="n"/>
      <c r="C244" s="32" t="n"/>
      <c r="D244" s="32" t="n"/>
      <c r="E244" s="18" t="n"/>
    </row>
    <row r="245">
      <c r="A245" s="30" t="n"/>
      <c r="B245" s="31" t="n"/>
      <c r="C245" s="32" t="n"/>
      <c r="D245" s="32" t="n"/>
      <c r="E245" s="18" t="n"/>
    </row>
    <row r="246">
      <c r="A246" s="30" t="n"/>
      <c r="B246" s="31" t="n"/>
      <c r="C246" s="32" t="n"/>
      <c r="D246" s="32" t="n"/>
      <c r="E246" s="18" t="n"/>
    </row>
    <row r="247">
      <c r="A247" s="30" t="n"/>
      <c r="B247" s="31" t="n"/>
      <c r="C247" s="32" t="n"/>
      <c r="D247" s="32" t="n"/>
      <c r="E247" s="18" t="n"/>
    </row>
    <row r="248">
      <c r="A248" s="30" t="n"/>
      <c r="B248" s="31" t="n"/>
      <c r="C248" s="32" t="n"/>
      <c r="D248" s="32" t="n"/>
      <c r="E248" s="18" t="n"/>
    </row>
    <row r="249">
      <c r="A249" s="30" t="n"/>
      <c r="B249" s="31" t="n"/>
      <c r="C249" s="32" t="n"/>
      <c r="D249" s="32" t="n"/>
      <c r="E249" s="18" t="n"/>
    </row>
    <row r="250">
      <c r="A250" s="30" t="n"/>
      <c r="B250" s="31" t="n"/>
      <c r="C250" s="32" t="n"/>
      <c r="D250" s="32" t="n"/>
      <c r="E250" s="18" t="n"/>
    </row>
    <row r="251">
      <c r="A251" s="30" t="n"/>
      <c r="B251" s="31" t="n"/>
      <c r="C251" s="32" t="n"/>
      <c r="D251" s="32" t="n"/>
      <c r="E251" s="18" t="n"/>
    </row>
    <row r="252">
      <c r="A252" s="30" t="n"/>
      <c r="B252" s="31" t="n"/>
      <c r="C252" s="32" t="n"/>
      <c r="D252" s="32" t="n"/>
      <c r="E252" s="18" t="n"/>
    </row>
    <row r="253">
      <c r="A253" s="30" t="n"/>
      <c r="B253" s="31" t="n"/>
      <c r="C253" s="32" t="n"/>
      <c r="D253" s="32" t="n"/>
      <c r="E253" s="18" t="n"/>
    </row>
    <row r="254">
      <c r="A254" s="30" t="n"/>
      <c r="B254" s="31" t="n"/>
      <c r="C254" s="32" t="n"/>
      <c r="D254" s="32" t="n"/>
      <c r="E254" s="18" t="n"/>
    </row>
    <row r="255">
      <c r="A255" s="30" t="n"/>
      <c r="B255" s="31" t="n"/>
      <c r="C255" s="32" t="n"/>
      <c r="D255" s="32" t="n"/>
      <c r="E255" s="18" t="n"/>
    </row>
    <row r="256">
      <c r="A256" s="30" t="n"/>
      <c r="B256" s="31" t="n"/>
      <c r="C256" s="32" t="n"/>
      <c r="D256" s="32" t="n"/>
      <c r="E256" s="18" t="n"/>
    </row>
    <row r="257">
      <c r="A257" s="30" t="n"/>
      <c r="B257" s="31" t="n"/>
      <c r="C257" s="32" t="n"/>
      <c r="D257" s="32" t="n"/>
      <c r="E257" s="18" t="n"/>
    </row>
    <row r="258">
      <c r="A258" s="30" t="n"/>
      <c r="B258" s="31" t="n"/>
      <c r="C258" s="32" t="n"/>
      <c r="D258" s="32" t="n"/>
      <c r="E258" s="18" t="n"/>
    </row>
    <row r="259">
      <c r="A259" s="30" t="n"/>
      <c r="B259" s="31" t="n"/>
      <c r="C259" s="32" t="n"/>
      <c r="D259" s="32" t="n"/>
      <c r="E259" s="18" t="n"/>
    </row>
    <row r="260">
      <c r="A260" s="30" t="n"/>
      <c r="B260" s="31" t="n"/>
      <c r="C260" s="32" t="n"/>
      <c r="D260" s="32" t="n"/>
      <c r="E260" s="18" t="n"/>
    </row>
    <row r="261">
      <c r="A261" s="30" t="n"/>
      <c r="B261" s="31" t="n"/>
      <c r="C261" s="32" t="n"/>
      <c r="D261" s="32" t="n"/>
      <c r="E261" s="18" t="n"/>
    </row>
    <row r="262">
      <c r="A262" s="30" t="n"/>
      <c r="B262" s="31" t="n"/>
      <c r="C262" s="32" t="n"/>
      <c r="D262" s="32" t="n"/>
      <c r="E262" s="18" t="n"/>
    </row>
    <row r="263">
      <c r="A263" s="30" t="n"/>
      <c r="B263" s="31" t="n"/>
      <c r="C263" s="32" t="n"/>
      <c r="D263" s="32" t="n"/>
      <c r="E263" s="18" t="n"/>
    </row>
    <row r="264">
      <c r="A264" s="30" t="n"/>
      <c r="B264" s="31" t="n"/>
      <c r="C264" s="32" t="n"/>
      <c r="D264" s="32" t="n"/>
      <c r="E264" s="18" t="n"/>
    </row>
    <row r="265">
      <c r="A265" s="30" t="n"/>
      <c r="B265" s="31" t="n"/>
      <c r="C265" s="32" t="n"/>
      <c r="D265" s="32" t="n"/>
      <c r="E265" s="18" t="n"/>
    </row>
    <row r="266">
      <c r="A266" s="30" t="n"/>
      <c r="B266" s="31" t="n"/>
      <c r="C266" s="32" t="n"/>
      <c r="D266" s="32" t="n"/>
      <c r="E266" s="18" t="n"/>
    </row>
    <row r="267">
      <c r="A267" s="30" t="n"/>
      <c r="B267" s="31" t="n"/>
      <c r="C267" s="32" t="n"/>
      <c r="D267" s="32" t="n"/>
      <c r="E267" s="18" t="n"/>
    </row>
    <row r="268">
      <c r="A268" s="30" t="n"/>
      <c r="B268" s="31" t="n"/>
      <c r="C268" s="32" t="n"/>
      <c r="D268" s="32" t="n"/>
      <c r="E268" s="18" t="n"/>
    </row>
    <row r="269">
      <c r="A269" s="30" t="n"/>
      <c r="B269" s="31" t="n"/>
      <c r="C269" s="32" t="n"/>
      <c r="D269" s="32" t="n"/>
      <c r="E269" s="18" t="n"/>
    </row>
    <row r="270">
      <c r="A270" s="30" t="n"/>
      <c r="B270" s="31" t="n"/>
      <c r="C270" s="32" t="n"/>
      <c r="D270" s="32" t="n"/>
      <c r="E270" s="18" t="n"/>
    </row>
    <row r="271">
      <c r="A271" s="30" t="n"/>
      <c r="B271" s="31" t="n"/>
      <c r="C271" s="32" t="n"/>
      <c r="D271" s="32" t="n"/>
      <c r="E271" s="18" t="n"/>
    </row>
    <row r="272">
      <c r="A272" s="30" t="n"/>
      <c r="B272" s="31" t="n"/>
      <c r="C272" s="32" t="n"/>
      <c r="D272" s="32" t="n"/>
      <c r="E272" s="18" t="n"/>
    </row>
    <row r="273">
      <c r="A273" s="30" t="n"/>
      <c r="B273" s="31" t="n"/>
      <c r="C273" s="32" t="n"/>
      <c r="D273" s="32" t="n"/>
      <c r="E273" s="18" t="n"/>
    </row>
    <row r="274">
      <c r="A274" s="30" t="n"/>
      <c r="B274" s="31" t="n"/>
      <c r="C274" s="32" t="n"/>
      <c r="D274" s="32" t="n"/>
      <c r="E274" s="18" t="n"/>
    </row>
    <row r="275">
      <c r="A275" s="30" t="n"/>
      <c r="B275" s="31" t="n"/>
      <c r="C275" s="32" t="n"/>
      <c r="D275" s="32" t="n"/>
      <c r="E275" s="18" t="n"/>
    </row>
    <row r="276">
      <c r="A276" s="30" t="n"/>
      <c r="B276" s="31" t="n"/>
      <c r="C276" s="32" t="n"/>
      <c r="D276" s="32" t="n"/>
      <c r="E276" s="18" t="n"/>
    </row>
    <row r="277">
      <c r="A277" s="30" t="n"/>
      <c r="B277" s="31" t="n"/>
      <c r="C277" s="32" t="n"/>
      <c r="D277" s="32" t="n"/>
      <c r="E277" s="18" t="n"/>
    </row>
    <row r="278">
      <c r="A278" s="30" t="n"/>
      <c r="B278" s="31" t="n"/>
      <c r="C278" s="32" t="n"/>
      <c r="D278" s="32" t="n"/>
      <c r="E278" s="18" t="n"/>
    </row>
    <row r="279">
      <c r="A279" s="30" t="n"/>
      <c r="B279" s="31" t="n"/>
      <c r="C279" s="32" t="n"/>
      <c r="D279" s="32" t="n"/>
      <c r="E279" s="18" t="n"/>
    </row>
    <row r="280">
      <c r="A280" s="30" t="n"/>
      <c r="B280" s="31" t="n"/>
      <c r="C280" s="32" t="n"/>
      <c r="D280" s="32" t="n"/>
      <c r="E280" s="18" t="n"/>
    </row>
    <row r="281">
      <c r="A281" s="30" t="n"/>
      <c r="B281" s="31" t="n"/>
      <c r="C281" s="32" t="n"/>
      <c r="D281" s="32" t="n"/>
      <c r="E281" s="18" t="n"/>
    </row>
    <row r="282">
      <c r="A282" s="30" t="n"/>
      <c r="B282" s="31" t="n"/>
      <c r="C282" s="32" t="n"/>
      <c r="D282" s="32" t="n"/>
      <c r="E282" s="18" t="n"/>
    </row>
    <row r="283">
      <c r="A283" s="30" t="n"/>
      <c r="B283" s="31" t="n"/>
      <c r="C283" s="32" t="n"/>
      <c r="D283" s="32" t="n"/>
      <c r="E283" s="18" t="n"/>
    </row>
    <row r="284">
      <c r="A284" s="30" t="n"/>
      <c r="B284" s="31" t="n"/>
      <c r="C284" s="32" t="n"/>
      <c r="D284" s="32" t="n"/>
      <c r="E284" s="18" t="n"/>
    </row>
    <row r="285">
      <c r="A285" s="30" t="n"/>
      <c r="B285" s="31" t="n"/>
      <c r="C285" s="32" t="n"/>
      <c r="D285" s="32" t="n"/>
      <c r="E285" s="18" t="n"/>
    </row>
    <row r="286">
      <c r="A286" s="30" t="n"/>
      <c r="B286" s="31" t="n"/>
      <c r="C286" s="32" t="n"/>
      <c r="D286" s="32" t="n"/>
      <c r="E286" s="18" t="n"/>
    </row>
    <row r="287">
      <c r="A287" s="30" t="n"/>
      <c r="B287" s="31" t="n"/>
      <c r="C287" s="32" t="n"/>
      <c r="D287" s="32" t="n"/>
      <c r="E287" s="18" t="n"/>
    </row>
    <row r="288">
      <c r="A288" s="30" t="n"/>
      <c r="B288" s="31" t="n"/>
      <c r="C288" s="32" t="n"/>
      <c r="D288" s="32" t="n"/>
      <c r="E288" s="18" t="n"/>
    </row>
    <row r="289">
      <c r="A289" s="30" t="n"/>
      <c r="B289" s="31" t="n"/>
      <c r="C289" s="32" t="n"/>
      <c r="D289" s="32" t="n"/>
      <c r="E289" s="18" t="n"/>
    </row>
    <row r="290">
      <c r="A290" s="30" t="n"/>
      <c r="B290" s="31" t="n"/>
      <c r="C290" s="32" t="n"/>
      <c r="D290" s="32" t="n"/>
      <c r="E290" s="18" t="n"/>
    </row>
    <row r="291">
      <c r="A291" s="30" t="n"/>
      <c r="B291" s="31" t="n"/>
      <c r="C291" s="32" t="n"/>
      <c r="D291" s="32" t="n"/>
      <c r="E291" s="18" t="n"/>
    </row>
    <row r="292">
      <c r="A292" s="30" t="n"/>
      <c r="B292" s="31" t="n"/>
      <c r="C292" s="32" t="n"/>
      <c r="D292" s="32" t="n"/>
      <c r="E292" s="18" t="n"/>
    </row>
    <row r="293">
      <c r="A293" s="30" t="n"/>
      <c r="B293" s="31" t="n"/>
      <c r="C293" s="32" t="n"/>
      <c r="D293" s="32" t="n"/>
      <c r="E293" s="18" t="n"/>
    </row>
    <row r="294">
      <c r="A294" s="30" t="n"/>
      <c r="B294" s="31" t="n"/>
      <c r="C294" s="32" t="n"/>
      <c r="D294" s="32" t="n"/>
      <c r="E294" s="18" t="n"/>
    </row>
    <row r="295">
      <c r="A295" s="30" t="n"/>
      <c r="B295" s="31" t="n"/>
      <c r="C295" s="32" t="n"/>
      <c r="D295" s="32" t="n"/>
      <c r="E295" s="18" t="n"/>
    </row>
    <row r="296">
      <c r="A296" s="30" t="n"/>
      <c r="B296" s="31" t="n"/>
      <c r="C296" s="32" t="n"/>
      <c r="D296" s="32" t="n"/>
      <c r="E296" s="18" t="n"/>
    </row>
    <row r="297">
      <c r="A297" s="30" t="n"/>
      <c r="B297" s="31" t="n"/>
      <c r="C297" s="32" t="n"/>
      <c r="D297" s="32" t="n"/>
      <c r="E297" s="18" t="n"/>
    </row>
    <row r="298">
      <c r="A298" s="30" t="n"/>
      <c r="B298" s="31" t="n"/>
      <c r="C298" s="32" t="n"/>
      <c r="D298" s="32" t="n"/>
      <c r="E298" s="18" t="n"/>
    </row>
    <row r="299">
      <c r="A299" s="30" t="n"/>
      <c r="B299" s="31" t="n"/>
      <c r="C299" s="32" t="n"/>
      <c r="D299" s="32" t="n"/>
      <c r="E299" s="18" t="n"/>
    </row>
    <row r="300">
      <c r="A300" s="30" t="n"/>
      <c r="B300" s="31" t="n"/>
      <c r="C300" s="32" t="n"/>
      <c r="D300" s="32" t="n"/>
      <c r="E300" s="18" t="n"/>
    </row>
    <row r="301">
      <c r="A301" s="30" t="n"/>
      <c r="B301" s="31" t="n"/>
      <c r="C301" s="32" t="n"/>
      <c r="D301" s="32" t="n"/>
      <c r="E301" s="18" t="n"/>
    </row>
    <row r="302">
      <c r="A302" s="30" t="n"/>
      <c r="B302" s="31" t="n"/>
      <c r="C302" s="32" t="n"/>
      <c r="D302" s="32" t="n"/>
      <c r="E302" s="18" t="n"/>
    </row>
    <row r="303">
      <c r="A303" s="30" t="n"/>
      <c r="B303" s="31" t="n"/>
      <c r="C303" s="32" t="n"/>
      <c r="D303" s="32" t="n"/>
      <c r="E303" s="18" t="n"/>
    </row>
    <row r="304">
      <c r="A304" s="30" t="n"/>
      <c r="B304" s="31" t="n"/>
      <c r="C304" s="32" t="n"/>
      <c r="D304" s="32" t="n"/>
      <c r="E304" s="18" t="n"/>
    </row>
    <row r="305">
      <c r="A305" s="30" t="n"/>
      <c r="B305" s="31" t="n"/>
      <c r="C305" s="32" t="n"/>
      <c r="D305" s="32" t="n"/>
      <c r="E305" s="18" t="n"/>
    </row>
  </sheetData>
  <conditionalFormatting sqref="H9:H10">
    <cfRule type="expression" priority="1" dxfId="2">
      <formula>H9&gt;0</formula>
    </cfRule>
  </conditionalFormatting>
  <dataValidations count="2">
    <dataValidation sqref="C6:D305" showDropDown="0" showInputMessage="0" showErrorMessage="0" allowBlank="1" type="list">
      <formula1>"ja,nein"</formula1>
    </dataValidation>
    <dataValidation sqref="B6:B305" showDropDown="0" showInputMessage="0" showErrorMessage="0" allowBlank="1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13" customWidth="1" min="4" max="4"/>
    <col width="11" customWidth="1" min="5" max="5"/>
    <col width="13" customWidth="1" min="6" max="6"/>
    <col width="10" customWidth="1" min="7" max="7"/>
    <col width="13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3" customWidth="1" min="14" max="14"/>
    <col width="12" customWidth="1" min="15" max="15"/>
    <col width="13" customWidth="1" min="16" max="16"/>
    <col width="36" customWidth="1" min="17" max="17"/>
  </cols>
  <sheetData>
    <row r="1">
      <c r="A1" s="1" t="inlineStr">
        <is>
          <t>Verlauf — jede Woche ein Stand</t>
        </is>
      </c>
    </row>
    <row r="2">
      <c r="A2" s="2" t="inlineStr">
        <is>
          <t>Aufgabe A-22 · erstellt 15.09.2026 · Grundlage: Handbuch A (Bauplan Phase 0, „Tag 90: das Tor“), Handbuch B (Kaltstart, drei Tore), 01-steuerung/tor-1-zeitachse-analyse.md (A-23) · Die Vorlage stellt gegenüber — entscheiden tun die Gründer.</t>
        </is>
      </c>
    </row>
    <row r="3">
      <c r="A3" s="2" t="inlineStr">
        <is>
          <t>LEGENDE: Gelb = von den Gründern einzutragen. Blau = Voreinstellung aus den Projektunterlagen, änderbar. Alles andere rechnet. Die Vorlage gibt keine Empfehlung ab.</t>
        </is>
      </c>
    </row>
    <row r="5" ht="48" customHeight="1">
      <c r="A5" s="3" t="inlineStr">
        <is>
          <t>Woche</t>
        </is>
      </c>
      <c r="B5" s="3" t="inlineStr">
        <is>
          <t>Stand am (Wochenende)</t>
        </is>
      </c>
      <c r="C5" s="3" t="inlineStr">
        <is>
          <t>Tag seit Start</t>
        </is>
      </c>
      <c r="D5" s="3" t="inlineStr">
        <is>
          <t>Eintragungen gesamt (kumuliert)</t>
        </is>
      </c>
      <c r="E5" s="3" t="inlineStr">
        <is>
          <t>neu in dieser Woche</t>
        </is>
      </c>
      <c r="F5" s="3" t="inlineStr">
        <is>
          <t>davon Startstadt (kumuliert)</t>
        </is>
      </c>
      <c r="G5" s="3" t="inlineStr">
        <is>
          <t>Anteil Startstadt</t>
        </is>
      </c>
      <c r="H5" s="3" t="inlineStr">
        <is>
          <t>davon 3-km-Umkreis (kumuliert)</t>
        </is>
      </c>
      <c r="I5" s="3" t="inlineStr">
        <is>
          <t>Interviews gesamt (kumuliert)</t>
        </is>
      </c>
      <c r="J5" s="3" t="inlineStr">
        <is>
          <t>davon Datenschutz ungefragt</t>
        </is>
      </c>
      <c r="K5" s="3" t="inlineStr">
        <is>
          <t>Quote ungefragt</t>
        </is>
      </c>
      <c r="L5" s="3" t="inlineStr">
        <is>
          <t>Orte mit mündlicher Zusage</t>
        </is>
      </c>
      <c r="M5" s="3" t="inlineStr">
        <is>
          <t>aktive Partnerorte (verteilen)</t>
        </is>
      </c>
      <c r="N5" s="3" t="inlineStr">
        <is>
          <t>Vergleich pessimistisch (linear)</t>
        </is>
      </c>
      <c r="O5" s="3" t="inlineStr">
        <is>
          <t>Vergleich mittel (linear)</t>
        </is>
      </c>
      <c r="P5" s="3" t="inlineStr">
        <is>
          <t>Vergleich optimistisch (linear)</t>
        </is>
      </c>
      <c r="Q5" s="3" t="inlineStr">
        <is>
          <t>Notiz</t>
        </is>
      </c>
    </row>
    <row r="6">
      <c r="A6" s="4" t="n">
        <v>1</v>
      </c>
      <c r="B6" s="33">
        <f>IF(A6&gt;Zeitachse!$B$11,"",MIN(Zeitachse!$B$6+7*A6-1,Zeitachse!$B$8))</f>
        <v/>
      </c>
      <c r="C6" s="34">
        <f>IF(B6="","",B6-Zeitachse!$B$6+1)</f>
        <v/>
      </c>
      <c r="D6" s="31" t="n"/>
      <c r="E6" s="35">
        <f>IF(D6="","",D6-0)</f>
        <v/>
      </c>
      <c r="F6" s="31" t="n"/>
      <c r="G6" s="10">
        <f>IF(OR(D6="",F6="",N(D6)=0),"",F6/D6)</f>
        <v/>
      </c>
      <c r="H6" s="31" t="n"/>
      <c r="I6" s="31" t="n"/>
      <c r="J6" s="31" t="n"/>
      <c r="K6" s="10">
        <f>IF(OR(I6="",J6="",N(I6)=0),"",J6/I6)</f>
        <v/>
      </c>
      <c r="L6" s="31" t="n"/>
      <c r="M6" s="31" t="n"/>
      <c r="N6" s="36">
        <f>IF(C6="","",ROUND(Zeitachse!$B$16*C6/Zeitachse!$B$9,0))</f>
        <v/>
      </c>
      <c r="O6" s="36">
        <f>IF(C6="","",ROUND(Zeitachse!$B$17*C6/Zeitachse!$B$9,0))</f>
        <v/>
      </c>
      <c r="P6" s="36">
        <f>IF(C6="","",ROUND(Zeitachse!$B$18*C6/Zeitachse!$B$9,0))</f>
        <v/>
      </c>
      <c r="Q6" s="18" t="n"/>
    </row>
    <row r="7">
      <c r="A7" s="4" t="n">
        <v>2</v>
      </c>
      <c r="B7" s="33">
        <f>IF(A7&gt;Zeitachse!$B$11,"",MIN(Zeitachse!$B$6+7*A7-1,Zeitachse!$B$8))</f>
        <v/>
      </c>
      <c r="C7" s="34">
        <f>IF(B7="","",B7-Zeitachse!$B$6+1)</f>
        <v/>
      </c>
      <c r="D7" s="31" t="n"/>
      <c r="E7" s="35">
        <f>IF(D7="","",D7-N(D6))</f>
        <v/>
      </c>
      <c r="F7" s="31" t="n"/>
      <c r="G7" s="10">
        <f>IF(OR(D7="",F7="",N(D7)=0),"",F7/D7)</f>
        <v/>
      </c>
      <c r="H7" s="31" t="n"/>
      <c r="I7" s="31" t="n"/>
      <c r="J7" s="31" t="n"/>
      <c r="K7" s="10">
        <f>IF(OR(I7="",J7="",N(I7)=0),"",J7/I7)</f>
        <v/>
      </c>
      <c r="L7" s="31" t="n"/>
      <c r="M7" s="31" t="n"/>
      <c r="N7" s="36">
        <f>IF(C7="","",ROUND(Zeitachse!$B$16*C7/Zeitachse!$B$9,0))</f>
        <v/>
      </c>
      <c r="O7" s="36">
        <f>IF(C7="","",ROUND(Zeitachse!$B$17*C7/Zeitachse!$B$9,0))</f>
        <v/>
      </c>
      <c r="P7" s="36">
        <f>IF(C7="","",ROUND(Zeitachse!$B$18*C7/Zeitachse!$B$9,0))</f>
        <v/>
      </c>
      <c r="Q7" s="18" t="n"/>
    </row>
    <row r="8">
      <c r="A8" s="4" t="n">
        <v>3</v>
      </c>
      <c r="B8" s="33">
        <f>IF(A8&gt;Zeitachse!$B$11,"",MIN(Zeitachse!$B$6+7*A8-1,Zeitachse!$B$8))</f>
        <v/>
      </c>
      <c r="C8" s="34">
        <f>IF(B8="","",B8-Zeitachse!$B$6+1)</f>
        <v/>
      </c>
      <c r="D8" s="31" t="n"/>
      <c r="E8" s="35">
        <f>IF(D8="","",D8-N(D7))</f>
        <v/>
      </c>
      <c r="F8" s="31" t="n"/>
      <c r="G8" s="10">
        <f>IF(OR(D8="",F8="",N(D8)=0),"",F8/D8)</f>
        <v/>
      </c>
      <c r="H8" s="31" t="n"/>
      <c r="I8" s="31" t="n"/>
      <c r="J8" s="31" t="n"/>
      <c r="K8" s="10">
        <f>IF(OR(I8="",J8="",N(I8)=0),"",J8/I8)</f>
        <v/>
      </c>
      <c r="L8" s="31" t="n"/>
      <c r="M8" s="31" t="n"/>
      <c r="N8" s="36">
        <f>IF(C8="","",ROUND(Zeitachse!$B$16*C8/Zeitachse!$B$9,0))</f>
        <v/>
      </c>
      <c r="O8" s="36">
        <f>IF(C8="","",ROUND(Zeitachse!$B$17*C8/Zeitachse!$B$9,0))</f>
        <v/>
      </c>
      <c r="P8" s="36">
        <f>IF(C8="","",ROUND(Zeitachse!$B$18*C8/Zeitachse!$B$9,0))</f>
        <v/>
      </c>
      <c r="Q8" s="18" t="n"/>
    </row>
    <row r="9">
      <c r="A9" s="4" t="n">
        <v>4</v>
      </c>
      <c r="B9" s="33">
        <f>IF(A9&gt;Zeitachse!$B$11,"",MIN(Zeitachse!$B$6+7*A9-1,Zeitachse!$B$8))</f>
        <v/>
      </c>
      <c r="C9" s="34">
        <f>IF(B9="","",B9-Zeitachse!$B$6+1)</f>
        <v/>
      </c>
      <c r="D9" s="31" t="n"/>
      <c r="E9" s="35">
        <f>IF(D9="","",D9-N(D8))</f>
        <v/>
      </c>
      <c r="F9" s="31" t="n"/>
      <c r="G9" s="10">
        <f>IF(OR(D9="",F9="",N(D9)=0),"",F9/D9)</f>
        <v/>
      </c>
      <c r="H9" s="31" t="n"/>
      <c r="I9" s="31" t="n"/>
      <c r="J9" s="31" t="n"/>
      <c r="K9" s="10">
        <f>IF(OR(I9="",J9="",N(I9)=0),"",J9/I9)</f>
        <v/>
      </c>
      <c r="L9" s="31" t="n"/>
      <c r="M9" s="31" t="n"/>
      <c r="N9" s="36">
        <f>IF(C9="","",ROUND(Zeitachse!$B$16*C9/Zeitachse!$B$9,0))</f>
        <v/>
      </c>
      <c r="O9" s="36">
        <f>IF(C9="","",ROUND(Zeitachse!$B$17*C9/Zeitachse!$B$9,0))</f>
        <v/>
      </c>
      <c r="P9" s="36">
        <f>IF(C9="","",ROUND(Zeitachse!$B$18*C9/Zeitachse!$B$9,0))</f>
        <v/>
      </c>
      <c r="Q9" s="18" t="n"/>
    </row>
    <row r="10">
      <c r="A10" s="4" t="n">
        <v>5</v>
      </c>
      <c r="B10" s="33">
        <f>IF(A10&gt;Zeitachse!$B$11,"",MIN(Zeitachse!$B$6+7*A10-1,Zeitachse!$B$8))</f>
        <v/>
      </c>
      <c r="C10" s="34">
        <f>IF(B10="","",B10-Zeitachse!$B$6+1)</f>
        <v/>
      </c>
      <c r="D10" s="31" t="n"/>
      <c r="E10" s="35">
        <f>IF(D10="","",D10-N(D9))</f>
        <v/>
      </c>
      <c r="F10" s="31" t="n"/>
      <c r="G10" s="10">
        <f>IF(OR(D10="",F10="",N(D10)=0),"",F10/D10)</f>
        <v/>
      </c>
      <c r="H10" s="31" t="n"/>
      <c r="I10" s="31" t="n"/>
      <c r="J10" s="31" t="n"/>
      <c r="K10" s="10">
        <f>IF(OR(I10="",J10="",N(I10)=0),"",J10/I10)</f>
        <v/>
      </c>
      <c r="L10" s="31" t="n"/>
      <c r="M10" s="31" t="n"/>
      <c r="N10" s="36">
        <f>IF(C10="","",ROUND(Zeitachse!$B$16*C10/Zeitachse!$B$9,0))</f>
        <v/>
      </c>
      <c r="O10" s="36">
        <f>IF(C10="","",ROUND(Zeitachse!$B$17*C10/Zeitachse!$B$9,0))</f>
        <v/>
      </c>
      <c r="P10" s="36">
        <f>IF(C10="","",ROUND(Zeitachse!$B$18*C10/Zeitachse!$B$9,0))</f>
        <v/>
      </c>
      <c r="Q10" s="18" t="n"/>
    </row>
    <row r="11">
      <c r="A11" s="4" t="n">
        <v>6</v>
      </c>
      <c r="B11" s="33">
        <f>IF(A11&gt;Zeitachse!$B$11,"",MIN(Zeitachse!$B$6+7*A11-1,Zeitachse!$B$8))</f>
        <v/>
      </c>
      <c r="C11" s="34">
        <f>IF(B11="","",B11-Zeitachse!$B$6+1)</f>
        <v/>
      </c>
      <c r="D11" s="31" t="n"/>
      <c r="E11" s="35">
        <f>IF(D11="","",D11-N(D10))</f>
        <v/>
      </c>
      <c r="F11" s="31" t="n"/>
      <c r="G11" s="10">
        <f>IF(OR(D11="",F11="",N(D11)=0),"",F11/D11)</f>
        <v/>
      </c>
      <c r="H11" s="31" t="n"/>
      <c r="I11" s="31" t="n"/>
      <c r="J11" s="31" t="n"/>
      <c r="K11" s="10">
        <f>IF(OR(I11="",J11="",N(I11)=0),"",J11/I11)</f>
        <v/>
      </c>
      <c r="L11" s="31" t="n"/>
      <c r="M11" s="31" t="n"/>
      <c r="N11" s="36">
        <f>IF(C11="","",ROUND(Zeitachse!$B$16*C11/Zeitachse!$B$9,0))</f>
        <v/>
      </c>
      <c r="O11" s="36">
        <f>IF(C11="","",ROUND(Zeitachse!$B$17*C11/Zeitachse!$B$9,0))</f>
        <v/>
      </c>
      <c r="P11" s="36">
        <f>IF(C11="","",ROUND(Zeitachse!$B$18*C11/Zeitachse!$B$9,0))</f>
        <v/>
      </c>
      <c r="Q11" s="18" t="n"/>
    </row>
    <row r="12">
      <c r="A12" s="4" t="n">
        <v>7</v>
      </c>
      <c r="B12" s="33">
        <f>IF(A12&gt;Zeitachse!$B$11,"",MIN(Zeitachse!$B$6+7*A12-1,Zeitachse!$B$8))</f>
        <v/>
      </c>
      <c r="C12" s="34">
        <f>IF(B12="","",B12-Zeitachse!$B$6+1)</f>
        <v/>
      </c>
      <c r="D12" s="31" t="n"/>
      <c r="E12" s="35">
        <f>IF(D12="","",D12-N(D11))</f>
        <v/>
      </c>
      <c r="F12" s="31" t="n"/>
      <c r="G12" s="10">
        <f>IF(OR(D12="",F12="",N(D12)=0),"",F12/D12)</f>
        <v/>
      </c>
      <c r="H12" s="31" t="n"/>
      <c r="I12" s="31" t="n"/>
      <c r="J12" s="31" t="n"/>
      <c r="K12" s="10">
        <f>IF(OR(I12="",J12="",N(I12)=0),"",J12/I12)</f>
        <v/>
      </c>
      <c r="L12" s="31" t="n"/>
      <c r="M12" s="31" t="n"/>
      <c r="N12" s="36">
        <f>IF(C12="","",ROUND(Zeitachse!$B$16*C12/Zeitachse!$B$9,0))</f>
        <v/>
      </c>
      <c r="O12" s="36">
        <f>IF(C12="","",ROUND(Zeitachse!$B$17*C12/Zeitachse!$B$9,0))</f>
        <v/>
      </c>
      <c r="P12" s="36">
        <f>IF(C12="","",ROUND(Zeitachse!$B$18*C12/Zeitachse!$B$9,0))</f>
        <v/>
      </c>
      <c r="Q12" s="18" t="n"/>
    </row>
    <row r="13">
      <c r="A13" s="4" t="n">
        <v>8</v>
      </c>
      <c r="B13" s="33">
        <f>IF(A13&gt;Zeitachse!$B$11,"",MIN(Zeitachse!$B$6+7*A13-1,Zeitachse!$B$8))</f>
        <v/>
      </c>
      <c r="C13" s="34">
        <f>IF(B13="","",B13-Zeitachse!$B$6+1)</f>
        <v/>
      </c>
      <c r="D13" s="31" t="n"/>
      <c r="E13" s="35">
        <f>IF(D13="","",D13-N(D12))</f>
        <v/>
      </c>
      <c r="F13" s="31" t="n"/>
      <c r="G13" s="10">
        <f>IF(OR(D13="",F13="",N(D13)=0),"",F13/D13)</f>
        <v/>
      </c>
      <c r="H13" s="31" t="n"/>
      <c r="I13" s="31" t="n"/>
      <c r="J13" s="31" t="n"/>
      <c r="K13" s="10">
        <f>IF(OR(I13="",J13="",N(I13)=0),"",J13/I13)</f>
        <v/>
      </c>
      <c r="L13" s="31" t="n"/>
      <c r="M13" s="31" t="n"/>
      <c r="N13" s="36">
        <f>IF(C13="","",ROUND(Zeitachse!$B$16*C13/Zeitachse!$B$9,0))</f>
        <v/>
      </c>
      <c r="O13" s="36">
        <f>IF(C13="","",ROUND(Zeitachse!$B$17*C13/Zeitachse!$B$9,0))</f>
        <v/>
      </c>
      <c r="P13" s="36">
        <f>IF(C13="","",ROUND(Zeitachse!$B$18*C13/Zeitachse!$B$9,0))</f>
        <v/>
      </c>
      <c r="Q13" s="18" t="n"/>
    </row>
    <row r="14">
      <c r="A14" s="4" t="n">
        <v>9</v>
      </c>
      <c r="B14" s="33">
        <f>IF(A14&gt;Zeitachse!$B$11,"",MIN(Zeitachse!$B$6+7*A14-1,Zeitachse!$B$8))</f>
        <v/>
      </c>
      <c r="C14" s="34">
        <f>IF(B14="","",B14-Zeitachse!$B$6+1)</f>
        <v/>
      </c>
      <c r="D14" s="31" t="n"/>
      <c r="E14" s="35">
        <f>IF(D14="","",D14-N(D13))</f>
        <v/>
      </c>
      <c r="F14" s="31" t="n"/>
      <c r="G14" s="10">
        <f>IF(OR(D14="",F14="",N(D14)=0),"",F14/D14)</f>
        <v/>
      </c>
      <c r="H14" s="31" t="n"/>
      <c r="I14" s="31" t="n"/>
      <c r="J14" s="31" t="n"/>
      <c r="K14" s="10">
        <f>IF(OR(I14="",J14="",N(I14)=0),"",J14/I14)</f>
        <v/>
      </c>
      <c r="L14" s="31" t="n"/>
      <c r="M14" s="31" t="n"/>
      <c r="N14" s="36">
        <f>IF(C14="","",ROUND(Zeitachse!$B$16*C14/Zeitachse!$B$9,0))</f>
        <v/>
      </c>
      <c r="O14" s="36">
        <f>IF(C14="","",ROUND(Zeitachse!$B$17*C14/Zeitachse!$B$9,0))</f>
        <v/>
      </c>
      <c r="P14" s="36">
        <f>IF(C14="","",ROUND(Zeitachse!$B$18*C14/Zeitachse!$B$9,0))</f>
        <v/>
      </c>
      <c r="Q14" s="18" t="n"/>
    </row>
    <row r="15">
      <c r="A15" s="4" t="n">
        <v>10</v>
      </c>
      <c r="B15" s="33">
        <f>IF(A15&gt;Zeitachse!$B$11,"",MIN(Zeitachse!$B$6+7*A15-1,Zeitachse!$B$8))</f>
        <v/>
      </c>
      <c r="C15" s="34">
        <f>IF(B15="","",B15-Zeitachse!$B$6+1)</f>
        <v/>
      </c>
      <c r="D15" s="31" t="n"/>
      <c r="E15" s="35">
        <f>IF(D15="","",D15-N(D14))</f>
        <v/>
      </c>
      <c r="F15" s="31" t="n"/>
      <c r="G15" s="10">
        <f>IF(OR(D15="",F15="",N(D15)=0),"",F15/D15)</f>
        <v/>
      </c>
      <c r="H15" s="31" t="n"/>
      <c r="I15" s="31" t="n"/>
      <c r="J15" s="31" t="n"/>
      <c r="K15" s="10">
        <f>IF(OR(I15="",J15="",N(I15)=0),"",J15/I15)</f>
        <v/>
      </c>
      <c r="L15" s="31" t="n"/>
      <c r="M15" s="31" t="n"/>
      <c r="N15" s="36">
        <f>IF(C15="","",ROUND(Zeitachse!$B$16*C15/Zeitachse!$B$9,0))</f>
        <v/>
      </c>
      <c r="O15" s="36">
        <f>IF(C15="","",ROUND(Zeitachse!$B$17*C15/Zeitachse!$B$9,0))</f>
        <v/>
      </c>
      <c r="P15" s="36">
        <f>IF(C15="","",ROUND(Zeitachse!$B$18*C15/Zeitachse!$B$9,0))</f>
        <v/>
      </c>
      <c r="Q15" s="18" t="n"/>
    </row>
    <row r="16">
      <c r="A16" s="4" t="n">
        <v>11</v>
      </c>
      <c r="B16" s="33">
        <f>IF(A16&gt;Zeitachse!$B$11,"",MIN(Zeitachse!$B$6+7*A16-1,Zeitachse!$B$8))</f>
        <v/>
      </c>
      <c r="C16" s="34">
        <f>IF(B16="","",B16-Zeitachse!$B$6+1)</f>
        <v/>
      </c>
      <c r="D16" s="31" t="n"/>
      <c r="E16" s="35">
        <f>IF(D16="","",D16-N(D15))</f>
        <v/>
      </c>
      <c r="F16" s="31" t="n"/>
      <c r="G16" s="10">
        <f>IF(OR(D16="",F16="",N(D16)=0),"",F16/D16)</f>
        <v/>
      </c>
      <c r="H16" s="31" t="n"/>
      <c r="I16" s="31" t="n"/>
      <c r="J16" s="31" t="n"/>
      <c r="K16" s="10">
        <f>IF(OR(I16="",J16="",N(I16)=0),"",J16/I16)</f>
        <v/>
      </c>
      <c r="L16" s="31" t="n"/>
      <c r="M16" s="31" t="n"/>
      <c r="N16" s="36">
        <f>IF(C16="","",ROUND(Zeitachse!$B$16*C16/Zeitachse!$B$9,0))</f>
        <v/>
      </c>
      <c r="O16" s="36">
        <f>IF(C16="","",ROUND(Zeitachse!$B$17*C16/Zeitachse!$B$9,0))</f>
        <v/>
      </c>
      <c r="P16" s="36">
        <f>IF(C16="","",ROUND(Zeitachse!$B$18*C16/Zeitachse!$B$9,0))</f>
        <v/>
      </c>
      <c r="Q16" s="18" t="n"/>
    </row>
    <row r="17">
      <c r="A17" s="4" t="n">
        <v>12</v>
      </c>
      <c r="B17" s="33">
        <f>IF(A17&gt;Zeitachse!$B$11,"",MIN(Zeitachse!$B$6+7*A17-1,Zeitachse!$B$8))</f>
        <v/>
      </c>
      <c r="C17" s="34">
        <f>IF(B17="","",B17-Zeitachse!$B$6+1)</f>
        <v/>
      </c>
      <c r="D17" s="31" t="n"/>
      <c r="E17" s="35">
        <f>IF(D17="","",D17-N(D16))</f>
        <v/>
      </c>
      <c r="F17" s="31" t="n"/>
      <c r="G17" s="10">
        <f>IF(OR(D17="",F17="",N(D17)=0),"",F17/D17)</f>
        <v/>
      </c>
      <c r="H17" s="31" t="n"/>
      <c r="I17" s="31" t="n"/>
      <c r="J17" s="31" t="n"/>
      <c r="K17" s="10">
        <f>IF(OR(I17="",J17="",N(I17)=0),"",J17/I17)</f>
        <v/>
      </c>
      <c r="L17" s="31" t="n"/>
      <c r="M17" s="31" t="n"/>
      <c r="N17" s="36">
        <f>IF(C17="","",ROUND(Zeitachse!$B$16*C17/Zeitachse!$B$9,0))</f>
        <v/>
      </c>
      <c r="O17" s="36">
        <f>IF(C17="","",ROUND(Zeitachse!$B$17*C17/Zeitachse!$B$9,0))</f>
        <v/>
      </c>
      <c r="P17" s="36">
        <f>IF(C17="","",ROUND(Zeitachse!$B$18*C17/Zeitachse!$B$9,0))</f>
        <v/>
      </c>
      <c r="Q17" s="18" t="n"/>
    </row>
    <row r="18">
      <c r="A18" s="4" t="n">
        <v>13</v>
      </c>
      <c r="B18" s="33">
        <f>IF(A18&gt;Zeitachse!$B$11,"",MIN(Zeitachse!$B$6+7*A18-1,Zeitachse!$B$8))</f>
        <v/>
      </c>
      <c r="C18" s="34">
        <f>IF(B18="","",B18-Zeitachse!$B$6+1)</f>
        <v/>
      </c>
      <c r="D18" s="31" t="n"/>
      <c r="E18" s="35">
        <f>IF(D18="","",D18-N(D17))</f>
        <v/>
      </c>
      <c r="F18" s="31" t="n"/>
      <c r="G18" s="10">
        <f>IF(OR(D18="",F18="",N(D18)=0),"",F18/D18)</f>
        <v/>
      </c>
      <c r="H18" s="31" t="n"/>
      <c r="I18" s="31" t="n"/>
      <c r="J18" s="31" t="n"/>
      <c r="K18" s="10">
        <f>IF(OR(I18="",J18="",N(I18)=0),"",J18/I18)</f>
        <v/>
      </c>
      <c r="L18" s="31" t="n"/>
      <c r="M18" s="31" t="n"/>
      <c r="N18" s="36">
        <f>IF(C18="","",ROUND(Zeitachse!$B$16*C18/Zeitachse!$B$9,0))</f>
        <v/>
      </c>
      <c r="O18" s="36">
        <f>IF(C18="","",ROUND(Zeitachse!$B$17*C18/Zeitachse!$B$9,0))</f>
        <v/>
      </c>
      <c r="P18" s="36">
        <f>IF(C18="","",ROUND(Zeitachse!$B$18*C18/Zeitachse!$B$9,0))</f>
        <v/>
      </c>
      <c r="Q18" s="18" t="n"/>
    </row>
    <row r="19">
      <c r="A19" s="4" t="n">
        <v>14</v>
      </c>
      <c r="B19" s="33">
        <f>IF(A19&gt;Zeitachse!$B$11,"",MIN(Zeitachse!$B$6+7*A19-1,Zeitachse!$B$8))</f>
        <v/>
      </c>
      <c r="C19" s="34">
        <f>IF(B19="","",B19-Zeitachse!$B$6+1)</f>
        <v/>
      </c>
      <c r="D19" s="31" t="n"/>
      <c r="E19" s="35">
        <f>IF(D19="","",D19-N(D18))</f>
        <v/>
      </c>
      <c r="F19" s="31" t="n"/>
      <c r="G19" s="10">
        <f>IF(OR(D19="",F19="",N(D19)=0),"",F19/D19)</f>
        <v/>
      </c>
      <c r="H19" s="31" t="n"/>
      <c r="I19" s="31" t="n"/>
      <c r="J19" s="31" t="n"/>
      <c r="K19" s="10">
        <f>IF(OR(I19="",J19="",N(I19)=0),"",J19/I19)</f>
        <v/>
      </c>
      <c r="L19" s="31" t="n"/>
      <c r="M19" s="31" t="n"/>
      <c r="N19" s="36">
        <f>IF(C19="","",ROUND(Zeitachse!$B$16*C19/Zeitachse!$B$9,0))</f>
        <v/>
      </c>
      <c r="O19" s="36">
        <f>IF(C19="","",ROUND(Zeitachse!$B$17*C19/Zeitachse!$B$9,0))</f>
        <v/>
      </c>
      <c r="P19" s="36">
        <f>IF(C19="","",ROUND(Zeitachse!$B$18*C19/Zeitachse!$B$9,0))</f>
        <v/>
      </c>
      <c r="Q19" s="18" t="n"/>
    </row>
    <row r="20">
      <c r="A20" s="4" t="n">
        <v>15</v>
      </c>
      <c r="B20" s="33">
        <f>IF(A20&gt;Zeitachse!$B$11,"",MIN(Zeitachse!$B$6+7*A20-1,Zeitachse!$B$8))</f>
        <v/>
      </c>
      <c r="C20" s="34">
        <f>IF(B20="","",B20-Zeitachse!$B$6+1)</f>
        <v/>
      </c>
      <c r="D20" s="31" t="n"/>
      <c r="E20" s="35">
        <f>IF(D20="","",D20-N(D19))</f>
        <v/>
      </c>
      <c r="F20" s="31" t="n"/>
      <c r="G20" s="10">
        <f>IF(OR(D20="",F20="",N(D20)=0),"",F20/D20)</f>
        <v/>
      </c>
      <c r="H20" s="31" t="n"/>
      <c r="I20" s="31" t="n"/>
      <c r="J20" s="31" t="n"/>
      <c r="K20" s="10">
        <f>IF(OR(I20="",J20="",N(I20)=0),"",J20/I20)</f>
        <v/>
      </c>
      <c r="L20" s="31" t="n"/>
      <c r="M20" s="31" t="n"/>
      <c r="N20" s="36">
        <f>IF(C20="","",ROUND(Zeitachse!$B$16*C20/Zeitachse!$B$9,0))</f>
        <v/>
      </c>
      <c r="O20" s="36">
        <f>IF(C20="","",ROUND(Zeitachse!$B$17*C20/Zeitachse!$B$9,0))</f>
        <v/>
      </c>
      <c r="P20" s="36">
        <f>IF(C20="","",ROUND(Zeitachse!$B$18*C20/Zeitachse!$B$9,0))</f>
        <v/>
      </c>
      <c r="Q20" s="18" t="n"/>
    </row>
    <row r="21">
      <c r="A21" s="4" t="n">
        <v>16</v>
      </c>
      <c r="B21" s="33">
        <f>IF(A21&gt;Zeitachse!$B$11,"",MIN(Zeitachse!$B$6+7*A21-1,Zeitachse!$B$8))</f>
        <v/>
      </c>
      <c r="C21" s="34">
        <f>IF(B21="","",B21-Zeitachse!$B$6+1)</f>
        <v/>
      </c>
      <c r="D21" s="31" t="n"/>
      <c r="E21" s="35">
        <f>IF(D21="","",D21-N(D20))</f>
        <v/>
      </c>
      <c r="F21" s="31" t="n"/>
      <c r="G21" s="10">
        <f>IF(OR(D21="",F21="",N(D21)=0),"",F21/D21)</f>
        <v/>
      </c>
      <c r="H21" s="31" t="n"/>
      <c r="I21" s="31" t="n"/>
      <c r="J21" s="31" t="n"/>
      <c r="K21" s="10">
        <f>IF(OR(I21="",J21="",N(I21)=0),"",J21/I21)</f>
        <v/>
      </c>
      <c r="L21" s="31" t="n"/>
      <c r="M21" s="31" t="n"/>
      <c r="N21" s="36">
        <f>IF(C21="","",ROUND(Zeitachse!$B$16*C21/Zeitachse!$B$9,0))</f>
        <v/>
      </c>
      <c r="O21" s="36">
        <f>IF(C21="","",ROUND(Zeitachse!$B$17*C21/Zeitachse!$B$9,0))</f>
        <v/>
      </c>
      <c r="P21" s="36">
        <f>IF(C21="","",ROUND(Zeitachse!$B$18*C21/Zeitachse!$B$9,0))</f>
        <v/>
      </c>
      <c r="Q21" s="18" t="n"/>
    </row>
    <row r="22">
      <c r="A22" s="4" t="n">
        <v>17</v>
      </c>
      <c r="B22" s="33">
        <f>IF(A22&gt;Zeitachse!$B$11,"",MIN(Zeitachse!$B$6+7*A22-1,Zeitachse!$B$8))</f>
        <v/>
      </c>
      <c r="C22" s="34">
        <f>IF(B22="","",B22-Zeitachse!$B$6+1)</f>
        <v/>
      </c>
      <c r="D22" s="31" t="n"/>
      <c r="E22" s="35">
        <f>IF(D22="","",D22-N(D21))</f>
        <v/>
      </c>
      <c r="F22" s="31" t="n"/>
      <c r="G22" s="10">
        <f>IF(OR(D22="",F22="",N(D22)=0),"",F22/D22)</f>
        <v/>
      </c>
      <c r="H22" s="31" t="n"/>
      <c r="I22" s="31" t="n"/>
      <c r="J22" s="31" t="n"/>
      <c r="K22" s="10">
        <f>IF(OR(I22="",J22="",N(I22)=0),"",J22/I22)</f>
        <v/>
      </c>
      <c r="L22" s="31" t="n"/>
      <c r="M22" s="31" t="n"/>
      <c r="N22" s="36">
        <f>IF(C22="","",ROUND(Zeitachse!$B$16*C22/Zeitachse!$B$9,0))</f>
        <v/>
      </c>
      <c r="O22" s="36">
        <f>IF(C22="","",ROUND(Zeitachse!$B$17*C22/Zeitachse!$B$9,0))</f>
        <v/>
      </c>
      <c r="P22" s="36">
        <f>IF(C22="","",ROUND(Zeitachse!$B$18*C22/Zeitachse!$B$9,0))</f>
        <v/>
      </c>
      <c r="Q22" s="18" t="n"/>
    </row>
    <row r="23">
      <c r="A23" s="4" t="n">
        <v>18</v>
      </c>
      <c r="B23" s="33">
        <f>IF(A23&gt;Zeitachse!$B$11,"",MIN(Zeitachse!$B$6+7*A23-1,Zeitachse!$B$8))</f>
        <v/>
      </c>
      <c r="C23" s="34">
        <f>IF(B23="","",B23-Zeitachse!$B$6+1)</f>
        <v/>
      </c>
      <c r="D23" s="31" t="n"/>
      <c r="E23" s="35">
        <f>IF(D23="","",D23-N(D22))</f>
        <v/>
      </c>
      <c r="F23" s="31" t="n"/>
      <c r="G23" s="10">
        <f>IF(OR(D23="",F23="",N(D23)=0),"",F23/D23)</f>
        <v/>
      </c>
      <c r="H23" s="31" t="n"/>
      <c r="I23" s="31" t="n"/>
      <c r="J23" s="31" t="n"/>
      <c r="K23" s="10">
        <f>IF(OR(I23="",J23="",N(I23)=0),"",J23/I23)</f>
        <v/>
      </c>
      <c r="L23" s="31" t="n"/>
      <c r="M23" s="31" t="n"/>
      <c r="N23" s="36">
        <f>IF(C23="","",ROUND(Zeitachse!$B$16*C23/Zeitachse!$B$9,0))</f>
        <v/>
      </c>
      <c r="O23" s="36">
        <f>IF(C23="","",ROUND(Zeitachse!$B$17*C23/Zeitachse!$B$9,0))</f>
        <v/>
      </c>
      <c r="P23" s="36">
        <f>IF(C23="","",ROUND(Zeitachse!$B$18*C23/Zeitachse!$B$9,0))</f>
        <v/>
      </c>
      <c r="Q23" s="18" t="n"/>
    </row>
    <row r="24">
      <c r="A24" s="4" t="n">
        <v>19</v>
      </c>
      <c r="B24" s="33">
        <f>IF(A24&gt;Zeitachse!$B$11,"",MIN(Zeitachse!$B$6+7*A24-1,Zeitachse!$B$8))</f>
        <v/>
      </c>
      <c r="C24" s="34">
        <f>IF(B24="","",B24-Zeitachse!$B$6+1)</f>
        <v/>
      </c>
      <c r="D24" s="31" t="n"/>
      <c r="E24" s="35">
        <f>IF(D24="","",D24-N(D23))</f>
        <v/>
      </c>
      <c r="F24" s="31" t="n"/>
      <c r="G24" s="10">
        <f>IF(OR(D24="",F24="",N(D24)=0),"",F24/D24)</f>
        <v/>
      </c>
      <c r="H24" s="31" t="n"/>
      <c r="I24" s="31" t="n"/>
      <c r="J24" s="31" t="n"/>
      <c r="K24" s="10">
        <f>IF(OR(I24="",J24="",N(I24)=0),"",J24/I24)</f>
        <v/>
      </c>
      <c r="L24" s="31" t="n"/>
      <c r="M24" s="31" t="n"/>
      <c r="N24" s="36">
        <f>IF(C24="","",ROUND(Zeitachse!$B$16*C24/Zeitachse!$B$9,0))</f>
        <v/>
      </c>
      <c r="O24" s="36">
        <f>IF(C24="","",ROUND(Zeitachse!$B$17*C24/Zeitachse!$B$9,0))</f>
        <v/>
      </c>
      <c r="P24" s="36">
        <f>IF(C24="","",ROUND(Zeitachse!$B$18*C24/Zeitachse!$B$9,0))</f>
        <v/>
      </c>
      <c r="Q24" s="18" t="n"/>
    </row>
    <row r="25">
      <c r="A25" s="4" t="n">
        <v>20</v>
      </c>
      <c r="B25" s="33">
        <f>IF(A25&gt;Zeitachse!$B$11,"",MIN(Zeitachse!$B$6+7*A25-1,Zeitachse!$B$8))</f>
        <v/>
      </c>
      <c r="C25" s="34">
        <f>IF(B25="","",B25-Zeitachse!$B$6+1)</f>
        <v/>
      </c>
      <c r="D25" s="31" t="n"/>
      <c r="E25" s="35">
        <f>IF(D25="","",D25-N(D24))</f>
        <v/>
      </c>
      <c r="F25" s="31" t="n"/>
      <c r="G25" s="10">
        <f>IF(OR(D25="",F25="",N(D25)=0),"",F25/D25)</f>
        <v/>
      </c>
      <c r="H25" s="31" t="n"/>
      <c r="I25" s="31" t="n"/>
      <c r="J25" s="31" t="n"/>
      <c r="K25" s="10">
        <f>IF(OR(I25="",J25="",N(I25)=0),"",J25/I25)</f>
        <v/>
      </c>
      <c r="L25" s="31" t="n"/>
      <c r="M25" s="31" t="n"/>
      <c r="N25" s="36">
        <f>IF(C25="","",ROUND(Zeitachse!$B$16*C25/Zeitachse!$B$9,0))</f>
        <v/>
      </c>
      <c r="O25" s="36">
        <f>IF(C25="","",ROUND(Zeitachse!$B$17*C25/Zeitachse!$B$9,0))</f>
        <v/>
      </c>
      <c r="P25" s="36">
        <f>IF(C25="","",ROUND(Zeitachse!$B$18*C25/Zeitachse!$B$9,0))</f>
        <v/>
      </c>
      <c r="Q25" s="18" t="n"/>
    </row>
    <row r="26">
      <c r="A26" s="4" t="n">
        <v>21</v>
      </c>
      <c r="B26" s="33">
        <f>IF(A26&gt;Zeitachse!$B$11,"",MIN(Zeitachse!$B$6+7*A26-1,Zeitachse!$B$8))</f>
        <v/>
      </c>
      <c r="C26" s="34">
        <f>IF(B26="","",B26-Zeitachse!$B$6+1)</f>
        <v/>
      </c>
      <c r="D26" s="31" t="n"/>
      <c r="E26" s="35">
        <f>IF(D26="","",D26-N(D25))</f>
        <v/>
      </c>
      <c r="F26" s="31" t="n"/>
      <c r="G26" s="10">
        <f>IF(OR(D26="",F26="",N(D26)=0),"",F26/D26)</f>
        <v/>
      </c>
      <c r="H26" s="31" t="n"/>
      <c r="I26" s="31" t="n"/>
      <c r="J26" s="31" t="n"/>
      <c r="K26" s="10">
        <f>IF(OR(I26="",J26="",N(I26)=0),"",J26/I26)</f>
        <v/>
      </c>
      <c r="L26" s="31" t="n"/>
      <c r="M26" s="31" t="n"/>
      <c r="N26" s="36">
        <f>IF(C26="","",ROUND(Zeitachse!$B$16*C26/Zeitachse!$B$9,0))</f>
        <v/>
      </c>
      <c r="O26" s="36">
        <f>IF(C26="","",ROUND(Zeitachse!$B$17*C26/Zeitachse!$B$9,0))</f>
        <v/>
      </c>
      <c r="P26" s="36">
        <f>IF(C26="","",ROUND(Zeitachse!$B$18*C26/Zeitachse!$B$9,0))</f>
        <v/>
      </c>
      <c r="Q26" s="18" t="n"/>
    </row>
    <row r="27">
      <c r="A27" s="4" t="n">
        <v>22</v>
      </c>
      <c r="B27" s="33">
        <f>IF(A27&gt;Zeitachse!$B$11,"",MIN(Zeitachse!$B$6+7*A27-1,Zeitachse!$B$8))</f>
        <v/>
      </c>
      <c r="C27" s="34">
        <f>IF(B27="","",B27-Zeitachse!$B$6+1)</f>
        <v/>
      </c>
      <c r="D27" s="31" t="n"/>
      <c r="E27" s="35">
        <f>IF(D27="","",D27-N(D26))</f>
        <v/>
      </c>
      <c r="F27" s="31" t="n"/>
      <c r="G27" s="10">
        <f>IF(OR(D27="",F27="",N(D27)=0),"",F27/D27)</f>
        <v/>
      </c>
      <c r="H27" s="31" t="n"/>
      <c r="I27" s="31" t="n"/>
      <c r="J27" s="31" t="n"/>
      <c r="K27" s="10">
        <f>IF(OR(I27="",J27="",N(I27)=0),"",J27/I27)</f>
        <v/>
      </c>
      <c r="L27" s="31" t="n"/>
      <c r="M27" s="31" t="n"/>
      <c r="N27" s="36">
        <f>IF(C27="","",ROUND(Zeitachse!$B$16*C27/Zeitachse!$B$9,0))</f>
        <v/>
      </c>
      <c r="O27" s="36">
        <f>IF(C27="","",ROUND(Zeitachse!$B$17*C27/Zeitachse!$B$9,0))</f>
        <v/>
      </c>
      <c r="P27" s="36">
        <f>IF(C27="","",ROUND(Zeitachse!$B$18*C27/Zeitachse!$B$9,0))</f>
        <v/>
      </c>
      <c r="Q27" s="18" t="n"/>
    </row>
    <row r="28">
      <c r="A28" s="4" t="n">
        <v>23</v>
      </c>
      <c r="B28" s="33">
        <f>IF(A28&gt;Zeitachse!$B$11,"",MIN(Zeitachse!$B$6+7*A28-1,Zeitachse!$B$8))</f>
        <v/>
      </c>
      <c r="C28" s="34">
        <f>IF(B28="","",B28-Zeitachse!$B$6+1)</f>
        <v/>
      </c>
      <c r="D28" s="31" t="n"/>
      <c r="E28" s="35">
        <f>IF(D28="","",D28-N(D27))</f>
        <v/>
      </c>
      <c r="F28" s="31" t="n"/>
      <c r="G28" s="10">
        <f>IF(OR(D28="",F28="",N(D28)=0),"",F28/D28)</f>
        <v/>
      </c>
      <c r="H28" s="31" t="n"/>
      <c r="I28" s="31" t="n"/>
      <c r="J28" s="31" t="n"/>
      <c r="K28" s="10">
        <f>IF(OR(I28="",J28="",N(I28)=0),"",J28/I28)</f>
        <v/>
      </c>
      <c r="L28" s="31" t="n"/>
      <c r="M28" s="31" t="n"/>
      <c r="N28" s="36">
        <f>IF(C28="","",ROUND(Zeitachse!$B$16*C28/Zeitachse!$B$9,0))</f>
        <v/>
      </c>
      <c r="O28" s="36">
        <f>IF(C28="","",ROUND(Zeitachse!$B$17*C28/Zeitachse!$B$9,0))</f>
        <v/>
      </c>
      <c r="P28" s="36">
        <f>IF(C28="","",ROUND(Zeitachse!$B$18*C28/Zeitachse!$B$9,0))</f>
        <v/>
      </c>
      <c r="Q28" s="18" t="n"/>
    </row>
    <row r="29">
      <c r="A29" s="4" t="n">
        <v>24</v>
      </c>
      <c r="B29" s="33">
        <f>IF(A29&gt;Zeitachse!$B$11,"",MIN(Zeitachse!$B$6+7*A29-1,Zeitachse!$B$8))</f>
        <v/>
      </c>
      <c r="C29" s="34">
        <f>IF(B29="","",B29-Zeitachse!$B$6+1)</f>
        <v/>
      </c>
      <c r="D29" s="31" t="n"/>
      <c r="E29" s="35">
        <f>IF(D29="","",D29-N(D28))</f>
        <v/>
      </c>
      <c r="F29" s="31" t="n"/>
      <c r="G29" s="10">
        <f>IF(OR(D29="",F29="",N(D29)=0),"",F29/D29)</f>
        <v/>
      </c>
      <c r="H29" s="31" t="n"/>
      <c r="I29" s="31" t="n"/>
      <c r="J29" s="31" t="n"/>
      <c r="K29" s="10">
        <f>IF(OR(I29="",J29="",N(I29)=0),"",J29/I29)</f>
        <v/>
      </c>
      <c r="L29" s="31" t="n"/>
      <c r="M29" s="31" t="n"/>
      <c r="N29" s="36">
        <f>IF(C29="","",ROUND(Zeitachse!$B$16*C29/Zeitachse!$B$9,0))</f>
        <v/>
      </c>
      <c r="O29" s="36">
        <f>IF(C29="","",ROUND(Zeitachse!$B$17*C29/Zeitachse!$B$9,0))</f>
        <v/>
      </c>
      <c r="P29" s="36">
        <f>IF(C29="","",ROUND(Zeitachse!$B$18*C29/Zeitachse!$B$9,0))</f>
        <v/>
      </c>
      <c r="Q29" s="18" t="n"/>
    </row>
    <row r="30">
      <c r="A30" s="4" t="n">
        <v>25</v>
      </c>
      <c r="B30" s="33">
        <f>IF(A30&gt;Zeitachse!$B$11,"",MIN(Zeitachse!$B$6+7*A30-1,Zeitachse!$B$8))</f>
        <v/>
      </c>
      <c r="C30" s="34">
        <f>IF(B30="","",B30-Zeitachse!$B$6+1)</f>
        <v/>
      </c>
      <c r="D30" s="31" t="n"/>
      <c r="E30" s="35">
        <f>IF(D30="","",D30-N(D29))</f>
        <v/>
      </c>
      <c r="F30" s="31" t="n"/>
      <c r="G30" s="10">
        <f>IF(OR(D30="",F30="",N(D30)=0),"",F30/D30)</f>
        <v/>
      </c>
      <c r="H30" s="31" t="n"/>
      <c r="I30" s="31" t="n"/>
      <c r="J30" s="31" t="n"/>
      <c r="K30" s="10">
        <f>IF(OR(I30="",J30="",N(I30)=0),"",J30/I30)</f>
        <v/>
      </c>
      <c r="L30" s="31" t="n"/>
      <c r="M30" s="31" t="n"/>
      <c r="N30" s="36">
        <f>IF(C30="","",ROUND(Zeitachse!$B$16*C30/Zeitachse!$B$9,0))</f>
        <v/>
      </c>
      <c r="O30" s="36">
        <f>IF(C30="","",ROUND(Zeitachse!$B$17*C30/Zeitachse!$B$9,0))</f>
        <v/>
      </c>
      <c r="P30" s="36">
        <f>IF(C30="","",ROUND(Zeitachse!$B$18*C30/Zeitachse!$B$9,0))</f>
        <v/>
      </c>
      <c r="Q30" s="18" t="n"/>
    </row>
    <row r="31">
      <c r="A31" s="4" t="n">
        <v>26</v>
      </c>
      <c r="B31" s="33">
        <f>IF(A31&gt;Zeitachse!$B$11,"",MIN(Zeitachse!$B$6+7*A31-1,Zeitachse!$B$8))</f>
        <v/>
      </c>
      <c r="C31" s="34">
        <f>IF(B31="","",B31-Zeitachse!$B$6+1)</f>
        <v/>
      </c>
      <c r="D31" s="31" t="n"/>
      <c r="E31" s="35">
        <f>IF(D31="","",D31-N(D30))</f>
        <v/>
      </c>
      <c r="F31" s="31" t="n"/>
      <c r="G31" s="10">
        <f>IF(OR(D31="",F31="",N(D31)=0),"",F31/D31)</f>
        <v/>
      </c>
      <c r="H31" s="31" t="n"/>
      <c r="I31" s="31" t="n"/>
      <c r="J31" s="31" t="n"/>
      <c r="K31" s="10">
        <f>IF(OR(I31="",J31="",N(I31)=0),"",J31/I31)</f>
        <v/>
      </c>
      <c r="L31" s="31" t="n"/>
      <c r="M31" s="31" t="n"/>
      <c r="N31" s="36">
        <f>IF(C31="","",ROUND(Zeitachse!$B$16*C31/Zeitachse!$B$9,0))</f>
        <v/>
      </c>
      <c r="O31" s="36">
        <f>IF(C31="","",ROUND(Zeitachse!$B$17*C31/Zeitachse!$B$9,0))</f>
        <v/>
      </c>
      <c r="P31" s="36">
        <f>IF(C31="","",ROUND(Zeitachse!$B$18*C31/Zeitachse!$B$9,0))</f>
        <v/>
      </c>
      <c r="Q31" s="18" t="n"/>
    </row>
    <row r="33">
      <c r="A33" s="2" t="inlineStr">
        <is>
          <t>Rot markiert: Wert unplausibel (negative Wochenzahl, Teilmenge größer als Gesamtmenge).</t>
        </is>
      </c>
    </row>
    <row r="34">
      <c r="A34" s="2" t="inlineStr">
        <is>
          <t>Die Vergleichsspalten verteilen die Erwartungswerte gleichmäßig auf die Tage. Das ist eine Vereinfachung: Ein ColognePride-Wochenende erzeugt einen Sprung, keine Gerade.</t>
        </is>
      </c>
    </row>
    <row r="35">
      <c r="A35" s="2" t="inlineStr">
        <is>
          <t>Wochen nach dem Messtag bleiben leer. Kumulierte Werte immer als Gesamtstand eintragen, nicht als Wochenzuwachs.</t>
        </is>
      </c>
    </row>
  </sheetData>
  <conditionalFormatting sqref="E6:E31">
    <cfRule type="expression" priority="1" dxfId="2">
      <formula>AND(ISNUMBER(E6),E6&lt;0)</formula>
    </cfRule>
  </conditionalFormatting>
  <conditionalFormatting sqref="F6:F31">
    <cfRule type="expression" priority="2" dxfId="2">
      <formula>AND(ISNUMBER(F6),ISNUMBER(D6),F6&gt;D6)</formula>
    </cfRule>
  </conditionalFormatting>
  <conditionalFormatting sqref="H6:H31">
    <cfRule type="expression" priority="3" dxfId="2">
      <formula>AND(ISNUMBER(H6),ISNUMBER(F6),H6&gt;F6)</formula>
    </cfRule>
  </conditionalFormatting>
  <conditionalFormatting sqref="J6:J31">
    <cfRule type="expression" priority="4" dxfId="2">
      <formula>AND(ISNUMBER(J6),ISNUMBER(I6),J6&gt;I6)</formula>
    </cfRule>
  </conditionalFormatting>
  <dataValidations count="1">
    <dataValidation sqref="D6:D31 F6:F31 H6:H31 I6:I31 J6:J31 L6:L31 M6:M31" showDropDown="0" showInputMessage="0" showErrorMessage="0" allowBlank="1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2026-09-16T08:26:29Z</dcterms:created>
  <dcterms:modified xmlns:dcterms="http://purl.org/dc/terms/" xmlns:xsi="http://www.w3.org/2001/XMLSchema-instance" xsi:type="dcterms:W3CDTF">2026-09-16T08:26:29Z</dcterms:modified>
</cp:coreProperties>
</file>