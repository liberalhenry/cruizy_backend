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Anbietervergleich" sheetId="1" state="visible" r:id="rId3"/>
    <sheet name="Fragen an Anbieter" sheetId="2" state="visible" r:id="rId4"/>
    <sheet name="Quellen &amp; Lesehilfe" sheetId="3" state="visible" r:id="rId5"/>
    <sheet name="Nachtrag 15.09.2026"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<sst xmlns="http://schemas.openxmlformats.org/spreadsheetml/2006/main" count="457" uniqueCount="347">
  <si>
    <t xml:space="preserve">EU-Verifizierungsanbieter — Vergleich und Bewertung</t>
  </si>
  <si>
    <t xml:space="preserve">Aufgabe A-07 · erstellt 27.07.2026 · Rolle: Compliance-Einkäufer · Fenster V0 · Alle Angaben per Websuche am 27.07.2026 erhoben. Quellen auf Blatt „Quellen &amp; Lesehilfe".</t>
  </si>
  <si>
    <t xml:space="preserve">ACHTUNG: Dies ist eine Entscheidungsgrundlage, kein Angebot und keine Vertragsempfehlung. ALLE Preisangaben sind ZU VERIFIZIEREN IM GESPRÄCH. Kein Vertragsabschluss ohne Trichtertest und ohne anwaltliche Prüfung der KI-VO-Frage.</t>
  </si>
  <si>
    <t xml:space="preserve">Anbieter</t>
  </si>
  <si>
    <t xml:space="preserve">Sitz</t>
  </si>
  <si>
    <t xml:space="preserve">Verarbeitung / Server</t>
  </si>
  <si>
    <t xml:space="preserve">Verfahren</t>
  </si>
  <si>
    <t xml:space="preserve">KJM-Status</t>
  </si>
  <si>
    <t xml:space="preserve">Preis je Prüfung
(zu verifizieren im Gespräch)</t>
  </si>
  <si>
    <t xml:space="preserve">Sofortlöschung</t>
  </si>
  <si>
    <t xml:space="preserve">API / PWA</t>
  </si>
  <si>
    <t xml:space="preserve">Einordnung KI-VO</t>
  </si>
  <si>
    <t xml:space="preserve">Belegtiefe</t>
  </si>
  <si>
    <t xml:space="preserve">Quelle</t>
  </si>
  <si>
    <t xml:space="preserve">Bemerkung</t>
  </si>
  <si>
    <t xml:space="preserve">Nect GmbH</t>
  </si>
  <si>
    <t xml:space="preserve">Hamburg, Deutschland</t>
  </si>
  <si>
    <t xml:space="preserve">nicht öffentlich belegbar — im Gespräch klären</t>
  </si>
  <si>
    <t xml:space="preserve">Selfie-basiertes KI-Ident (Nect Ident) · eID über AusweisIDent · Wiederverwendung über Nect Wallet</t>
  </si>
  <si>
    <t xml:space="preserve">Anbieter gibt an, dass alle drei Verfahren KJM-zertifiziert sind; Nect Wallet mit Jugendschutzfunktion. Eigenangabe, nicht in einer KJM-Pressemitteilung gegengeprüft.</t>
  </si>
  <si>
    <t xml:space="preserve">Selfie-Ident mit Gesichtsabgleich = biometrische Verarbeitung. Einordnung nach KI-VO ist Anwaltsfrage (offene Entscheidung Nr. 24).</t>
  </si>
  <si>
    <t xml:space="preserve">teilweise</t>
  </si>
  <si>
    <t xml:space="preserve">Q4, Q5</t>
  </si>
  <si>
    <t xml:space="preserve">Deutscher Anbieter mit drei Verfahrensstufen aus einer Hand — das passt architektonisch zum Stufenmodell aus Handbuch A. Wiederverwendung über die Wallet könnte den Trichter deutlich entlasten.</t>
  </si>
  <si>
    <t xml:space="preserve">IDnow GmbH</t>
  </si>
  <si>
    <t xml:space="preserve">München, Deutschland</t>
  </si>
  <si>
    <t xml:space="preserve">AutoIdent (vollautomatisiert, biometrischer Abgleich) · VideoIdent · eID</t>
  </si>
  <si>
    <t xml:space="preserve">AutoIdent und VideoIdent als AVS-Module positiv bewertet. AutoIdent war eines der ersten automatisierten Verfahren mit KJM-Positivbewertung.</t>
  </si>
  <si>
    <t xml:space="preserve">Biometrischer Abgleich. Wie Nect — Anwaltsfrage.</t>
  </si>
  <si>
    <t xml:space="preserve">Q3</t>
  </si>
  <si>
    <t xml:space="preserve">Größter deutscher Anbieter, KJM-Status durch Pressemitteilung belegt. Ausrichtung auf Banken und Versicherungen — Preisniveau vermutlich entsprechend.</t>
  </si>
  <si>
    <t xml:space="preserve">WebID Solutions GmbH</t>
  </si>
  <si>
    <t xml:space="preserve">Berlin, Deutschland</t>
  </si>
  <si>
    <t xml:space="preserve">WebID AVS — automatisierte Identifizierung mit biometrischem Datenabgleich</t>
  </si>
  <si>
    <t xml:space="preserve">WebID AVS als AVS-Modul positiv bewertet, zusammen mit IDnow AutoIdent als erste automatisierte Verfahren.</t>
  </si>
  <si>
    <t xml:space="preserve">Biometrischer Abgleich. Anwaltsfrage.</t>
  </si>
  <si>
    <t xml:space="preserve">Direkter Wettbewerber zu IDnow, vergleichbarer KJM-Status. Für die Angebotsphase als Preisvergleich wertvoll.</t>
  </si>
  <si>
    <t xml:space="preserve">Widas ID GmbH (cidaas)</t>
  </si>
  <si>
    <t xml:space="preserve">Wimsheim, Deutschland</t>
  </si>
  <si>
    <t xml:space="preserve">cidaas ID validator — vollautomatisiertes KI-AutoIdent: Ausweisprüfung + biometrischer Gesichtsscan mit Lebenderkennung, ohne Interaktion mit einer weiteren Person</t>
  </si>
  <si>
    <t xml:space="preserve">Als Modul positiv bewertet am 20.01.2026 (KJM-Pressemitteilung 01/2026). Aktuellster Zugang im Feld.</t>
  </si>
  <si>
    <t xml:space="preserve">cidaas ist eine Identitätsplattform mit dokumentierten Schnittstellen; Eignung für eine PWA nicht geprüft.</t>
  </si>
  <si>
    <t xml:space="preserve">Gesichtsscan mit Lebenderkennung = biometrische Verarbeitung. Anwaltsfrage.</t>
  </si>
  <si>
    <t xml:space="preserve">Q1</t>
  </si>
  <si>
    <t xml:space="preserve">Jüngste Positivbewertung, deutscher Mittelständler. Als Identitätsplattform möglicherweise auch für Anmeldung nutzbar — das wäre aber eine zusätzliche Abhängigkeit und sollte getrennt bewertet werden.</t>
  </si>
  <si>
    <t xml:space="preserve">IN Groupe (IN ID)</t>
  </si>
  <si>
    <t xml:space="preserve">Frankreich</t>
  </si>
  <si>
    <t xml:space="preserve">App-basiert: Abgleich Ausweisdokument gegen Lichtbild, automatische Ausweisdatenerfassung. Authentifizierung über QR-Code plus Passwort oder Face ID; Nutzer bestätigt die Altersprüfung aktiv in der App.</t>
  </si>
  <si>
    <t xml:space="preserve">Als Gesamtkonzept positiv bewertet am 20.01.2026 — nicht nur als Modul. Das ist die stärkere Kategorie.</t>
  </si>
  <si>
    <t xml:space="preserve">Lichtbildabgleich = biometrische Verarbeitung. Anwaltsfrage.</t>
  </si>
  <si>
    <t xml:space="preserve">Einziger Anbieter im Feld mit KJM-Bewertung als vollständiges Konzept. Nachteil: eigene App als Zwischenschritt — jede zusätzliche Installation kostet Trichter.</t>
  </si>
  <si>
    <t xml:space="preserve">Deutsche Post — POSTIDENT</t>
  </si>
  <si>
    <t xml:space="preserve">Deutschland</t>
  </si>
  <si>
    <t xml:space="preserve">Deutschland (Konzernangabe, nicht gegengeprüft)</t>
  </si>
  <si>
    <t xml:space="preserve">Filialverfahren (persönlicher Kontakt, Ausweisvergleich) · daneben Online-Varianten</t>
  </si>
  <si>
    <t xml:space="preserve">Das Filialverfahren entspricht dem, was das AVS-Raster als „persönlichen Kontakt" beschreibt: Angesichts-Kontrolle unter Anwesenden mit Vergleich amtlicher Ausweisdaten. Die KJM nennt „PostIdent oder vergleichbare Verfahren" ausdrücklich.</t>
  </si>
  <si>
    <t xml:space="preserve">Systembedingt fällt eine Ausweisprüfung durch Dritte an; Sofortlöschung im Sinne von Handbuch A ist hier nicht das passende Konzept.</t>
  </si>
  <si>
    <t xml:space="preserve">Filialverfahren ohne Biometrie — KI-VO nicht berührt. Das ist ein echter Vorteil.</t>
  </si>
  <si>
    <t xml:space="preserve">Der rechtssicherste Weg und der teuerste Trichter. Wer eine Cruising-App nutzen will und dafür in eine Postfiliale gehen muss, tut es nicht. Als Rückfallposition relevant, nicht als Regelweg.</t>
  </si>
  <si>
    <t xml:space="preserve">AusweisIDent (D-Trust / Governikus)</t>
  </si>
  <si>
    <t xml:space="preserve">Deutschland (Bundesdruckerei-Gruppe)</t>
  </si>
  <si>
    <t xml:space="preserve">eID — Online-Ausweisfunktion des Personalausweises</t>
  </si>
  <si>
    <t xml:space="preserve">Nect gibt an, dass die eID-Variante KJM-zertifiziert ist. Direkte KJM-Pressemitteilung zu AusweisIDent nicht gefunden.</t>
  </si>
  <si>
    <t xml:space="preserve">eID ist konstruktiv datensparsam: Es kann eine reine Altersbestätigung übertragen werden, ohne dass Klarname und Ausweisdaten beim Anbieter anfallen. Vor Vertragsschluss prüfen, ob der konkrete Ablauf das auch nutzt.</t>
  </si>
  <si>
    <t xml:space="preserve">Keine Biometrie beim Anbieter. KI-VO nach unserem Verständnis nicht berührt.</t>
  </si>
  <si>
    <t xml:space="preserve">Q4</t>
  </si>
  <si>
    <t xml:space="preserve">Datenschutzrechtlich die sauberste Variante im ganzen Feld und die einzige, die zur Positionierung ohne Erklärung passt. Nachteil: Verbreitung und Bereitschaft, die eID-PIN zu benutzen, sind erfahrungsgemäß gering — das ist ein Trichterproblem, kein Rechtsproblem.</t>
  </si>
  <si>
    <t xml:space="preserve">Yoti Ltd</t>
  </si>
  <si>
    <t xml:space="preserve">Vereinigtes Königreich</t>
  </si>
  <si>
    <t xml:space="preserve">nicht belegt; UK-Bezug wahrscheinlich</t>
  </si>
  <si>
    <t xml:space="preserve">Facial Age Estimation — anonyme Altersschätzung aus einem Selfie, ohne Identifizierung</t>
  </si>
  <si>
    <t xml:space="preserve">Keine KJM-Positivbewertung in unseren Suchen gefunden. Reine Altersschätzung genügt nach dem AVS-Raster ohnehin nicht als alleinige Identifizierung. KORREKTUR 15.09.2026: Der zweite Satz ist zu eng — siehe Blatt „Nachtrag 15.09.2026“.</t>
  </si>
  <si>
    <t xml:space="preserve">nur auf Anfrage, keine öffentliche Preisliste</t>
  </si>
  <si>
    <t xml:space="preserve">Anbieter gibt an, Bilder würden nicht weiterverwendet und sofort dauerhaft gelöscht; die Information werde gelöscht, sobald das geschätzte Alter übermittelt ist. Eigenangabe — vertraglich absichern.</t>
  </si>
  <si>
    <t xml:space="preserve">Ausgereifte Einbindung, wird nach Anbieterangaben von TikTok, Meta und Microsoft eingesetzt.</t>
  </si>
  <si>
    <t xml:space="preserve">Altersschätzung aus biometrischen Daten. Achtung: Genau hier liegt die Nähe zu Art. 5 Abs. 1 lit. g KI-VO — siehe offene Entscheidung Nr. 24.</t>
  </si>
  <si>
    <t xml:space="preserve">Q2, Q6</t>
  </si>
  <si>
    <t xml:space="preserve">Der Marktführer bei Altersschätzung — und der Anbieter, der gegen unsere eigene Regel verstößt. Der UK-Angemessenheitsbeschluss wurde am 27.12.2025 bis zum 27.12.2031 verlängert, mit Zwischenprüfung 2029. Rechtlich also zulässig. Unsere Festlegung lautet aber „kein Auftragsverarbeiter außerhalb der EU", und die Positionierung lebt genau davon. Wer Yoti nimmt, muss diesen Widerspruch bewusst und schriftlich auflösen.</t>
  </si>
  <si>
    <t xml:space="preserve">Veriff</t>
  </si>
  <si>
    <t xml:space="preserve">Tallinn, Estland (EU)</t>
  </si>
  <si>
    <t xml:space="preserve">Identitätsprüfung und Altersverifikation, dokumentenbasiert mit biometrischem Abgleich</t>
  </si>
  <si>
    <t xml:space="preserve">Keine KJM-Positivbewertung in unseren Suchen gefunden. Das schließt sie nicht aus — die KJM-Liste umfasst rund 104 Konzepte und Module, und wir haben nur die Pressemitteilungen gesichtet, nicht die vollständige Liste.</t>
  </si>
  <si>
    <t xml:space="preserve">gering</t>
  </si>
  <si>
    <t xml:space="preserve">Q7</t>
  </si>
  <si>
    <t xml:space="preserve">EU-Sitz, etablierter Anbieter, aber für den deutschen JMStV-Kontext ohne belegten Nachweis. Nur sinnvoll, wenn er im Gespräch eine KJM-Bewertung nachweisen kann.</t>
  </si>
  <si>
    <t xml:space="preserve">Didit</t>
  </si>
  <si>
    <t xml:space="preserve">nicht öffentlich belegbar — im Gespräch klären (Sitz nicht verifiziert)</t>
  </si>
  <si>
    <t xml:space="preserve">Altersschätzung, Identitätsprüfung, wiederverwendbare digitale Brieftasche</t>
  </si>
  <si>
    <t xml:space="preserve">Keine KJM-Positivbewertung gefunden.</t>
  </si>
  <si>
    <t xml:space="preserve">Altersschätzung ab 0,10 $ je Prüfung, White-Label-Verifizierung ab 0,20 $ je Prüfung. Quelle ist der Unternehmensblog des Anbieters — Marketingangabe, kein Angebot.</t>
  </si>
  <si>
    <t xml:space="preserve">Altersschätzung aus biometrischen Daten. Anwaltsfrage.</t>
  </si>
  <si>
    <t xml:space="preserve">Q8</t>
  </si>
  <si>
    <t xml:space="preserve">Mit Abstand die niedrigste öffentlich genannte Preisangabe — und die am schlechtesten belegte Zeile der Tabelle. Ohne geklärten Sitz und ohne KJM-Bezug für uns derzeit nicht bewertbar.</t>
  </si>
  <si>
    <t xml:space="preserve">Bewertung — gewichtet, rechnet automatisch</t>
  </si>
  <si>
    <t xml:space="preserve">Punkte je Kriterium 0–3, blau = eingetragen. Bewertet wird NUR, was belegt ist — eine unbekannte Angabe bekommt 0 und nicht den Zweifel zugunsten des Anbieters. Deshalb ist ein niedriger Wert oft eine Aussage über unsere Recherche, nicht über den Anbieter. Spalte „Belegtiefe" mitlesen.</t>
  </si>
  <si>
    <t xml:space="preserve">K1
Sitz und Verarbeitung in der EU
(25%)</t>
  </si>
  <si>
    <t xml:space="preserve">K2
KJM-Anschlussfähigkeit
(25%)</t>
  </si>
  <si>
    <t xml:space="preserve">K3
Sofortlöschung / Datensparsamkeit
(15%)</t>
  </si>
  <si>
    <t xml:space="preserve">K4
Trichterfreundlichkeit
(15%)</t>
  </si>
  <si>
    <t xml:space="preserve">K5
API und PWA-Tauglichkeit
(10%)</t>
  </si>
  <si>
    <t xml:space="preserve">K6
Preisniveau
(10%)</t>
  </si>
  <si>
    <t xml:space="preserve">Gesamt</t>
  </si>
  <si>
    <t xml:space="preserve">Gewichte (blau, änderbar)</t>
  </si>
  <si>
    <t xml:space="preserve">Summe der Gewichte muss 100 % ergeben</t>
  </si>
  <si>
    <t xml:space="preserve">Was die Punkte bedeuten</t>
  </si>
  <si>
    <t xml:space="preserve">K1 · Sitz und Verarbeitung in der EU</t>
  </si>
  <si>
    <t xml:space="preserve">3 = EU-Sitz belegt · 1 = Drittland mit Angemessenheitsbeschluss · 0 = ungeklärt</t>
  </si>
  <si>
    <t xml:space="preserve">K2 · KJM-Anschlussfähigkeit</t>
  </si>
  <si>
    <t xml:space="preserve">3 = positiv bewertet (Pressemitteilung) · 2 = Eigenangabe · 0 = kein Nachweis</t>
  </si>
  <si>
    <t xml:space="preserve">K3 · Sofortlöschung / Datensparsamkeit</t>
  </si>
  <si>
    <t xml:space="preserve">3 = konstruktiv datensparsam · 2 = zugesagt · 1 = systembedingt nicht · 0 = unbekannt</t>
  </si>
  <si>
    <t xml:space="preserve">K4 · Trichterfreundlichkeit</t>
  </si>
  <si>
    <t xml:space="preserve">3 = ohne Zusatzschritt · 2 = ein Zusatzschritt · 1 = App oder PIN nötig · 0 = Weg zur Filiale</t>
  </si>
  <si>
    <t xml:space="preserve">K5 · API und PWA-Tauglichkeit</t>
  </si>
  <si>
    <t xml:space="preserve">3 = belegt geeignet · 1 = Plattform vorhanden, ungeprüft · 0 = unbekannt</t>
  </si>
  <si>
    <t xml:space="preserve">K6 · Preisniveau</t>
  </si>
  <si>
    <t xml:space="preserve">3 = öffentlich und niedrig · 0 = unbekannt oder nur auf Anfrage</t>
  </si>
  <si>
    <t xml:space="preserve">Empfehlungs-Shortlist für den Trichtertest</t>
  </si>
  <si>
    <t xml:space="preserve">Drei Plätze für den praktischen Test. Ausgewählt NICHT nach Punktzahl allein, sondern so, dass die drei Plätze unterschiedliche Verfahrensarten abdecken — sonst testet man dreimal dasselbe. Warum die Shortlist von der Rangfolge abweicht: Platz 1 fasst die drei punktgleichen AutoIdent-Anbieter zusammen. Nect steht mit 1,55 unter cidaas, IDnow, WebID und AusweisIDent — der Rückstand entsteht aber allein daraus, dass der KJM-Status eine Eigenangabe ist und wir Eigenangaben nur mit 2 statt 3 Punkten bewerten. Es ist also ein Beleg-Rückstand, kein Leistungsrückstand, und er ist in einem einzigen Gespräch aufzulösen. Dafür ist Nect der einzige Anbieter, der alle drei Stufen aus einer Hand abdecken könnte. POSTIDENT und IN Groupe liegen mit 1,65 vor Nect, sind aber beide Trichterkiller (Filialbesuch beziehungsweise eigene App-Installation).</t>
  </si>
  <si>
    <t xml:space="preserve">#</t>
  </si>
  <si>
    <t xml:space="preserve">Verfahrensart</t>
  </si>
  <si>
    <t xml:space="preserve">Begründung</t>
  </si>
  <si>
    <t xml:space="preserve">1</t>
  </si>
  <si>
    <t xml:space="preserve">IDnow, WebID Solutions oder cidaas (Widas ID)</t>
  </si>
  <si>
    <t xml:space="preserve">Automatisiertes Ident (AutoIdent)</t>
  </si>
  <si>
    <t xml:space="preserve">Alle drei sitzen in Deutschland und haben eine durch KJM-Pressemitteilung belegte Positivbewertung als Modul mit automatisierter Identifizierung — cidaas als jüngste am 20.01.2026. Sie sind funktional nahezu deckungsgleich und teilen sich die Spitze der Bewertung (cidaas 1,90 · IDnow und WebID je 1,80). Genau deshalb alle drei anfragen: Bei drei gleichwertigen Angeboten entsteht ein echter Preisvergleich, und Preis ist bei diesem Anbietertyp die einzige Variable, die sich verhandeln lässt. Für den Trichtertest wird danach einer ausgewählt.</t>
  </si>
  <si>
    <t xml:space="preserve">2</t>
  </si>
  <si>
    <t xml:space="preserve">Nect</t>
  </si>
  <si>
    <t xml:space="preserve">Drei Stufen aus einer Hand, inklusive eID und Wiederverwendung</t>
  </si>
  <si>
    <t xml:space="preserve">Der einzige Anbieter im Feld, der das Stufenmodell aus Handbuch A aus einer Hand abbilden könnte: günstige Prüfung für die Grundnutzung, härtere Stufe für den Album-Bereich, dazu Wiederverwendung über die Wallet. Die Wiederverwendung ist der einzige Mechanismus im gesamten Feld, der den Trichter nicht kostet, sondern entlastet. Der KJM-Status beruht auf einer Eigenangabe und muss im Gespräch belegt werden.</t>
  </si>
  <si>
    <t xml:space="preserve">3</t>
  </si>
  <si>
    <t xml:space="preserve">AusweisIDent (eID)</t>
  </si>
  <si>
    <t xml:space="preserve">Staatliche eID, ohne Biometrie beim Anbieter</t>
  </si>
  <si>
    <t xml:space="preserve">Die datenschutzrechtlich sauberste Variante und die einzige, bei der die KI-VO-Frage aus Nr. 24 gar nicht erst entsteht — es werden keine biometrischen Daten beim Anbieter verarbeitet. Sie passt ohne Erklärung zur Positionierung. Der Test muss die entscheidende Schwäche messen: Wie viele Menschen brechen ab, wenn sie ihre eID-PIN suchen müssen? Wenn die Quote erträglich ist, ist das der beste Weg im gesamten Feld.</t>
  </si>
  <si>
    <t xml:space="preserve">Bewusst nicht auf der Shortlist</t>
  </si>
  <si>
    <t xml:space="preserve">Yoti</t>
  </si>
  <si>
    <t xml:space="preserve">Marktführer bei Altersschätzung, ausgereifte Einbindung, sofortige Löschung nach Anbieterangabe — und Sitz im Vereinigten Königreich. Der Angemessenheitsbeschluss wurde bis 27.12.2031 verlängert, es wäre also zulässig. Unsere eigene Festlegung lautet aber „kein Auftragsverarbeiter außerhalb der EU", und die gesamte Positionierung lebt davon. Wer Yoti will, muss diese Regel bewusst ändern — nicht stillschweigend umgehen. Als Vergleichsangebot trotzdem anfragen.</t>
  </si>
  <si>
    <t xml:space="preserve">POSTIDENT</t>
  </si>
  <si>
    <t xml:space="preserve">Der rechtssicherste Weg im ganzen Feld und der einzige ohne Biometrie. Für den Regelbetrieb untauglich: Wer eine Cruising-App nutzen will, geht dafür nicht in eine Postfiliale. Als Rückfallposition für den Album-Bereich im Hinterkopf behalten, falls der Anwalt die geschlossene Benutzergruppe bejaht.</t>
  </si>
  <si>
    <t xml:space="preserve">Veriff, Didit</t>
  </si>
  <si>
    <t xml:space="preserve">EU-Sitz beziehungsweise günstigster Preis — aber ohne belegten KJM-Bezug und bei Didit ohne geklärten Sitz. Nachfassen lohnt sich nur, wenn sie von sich aus eine KJM-Bewertung nachweisen können.</t>
  </si>
  <si>
    <t xml:space="preserve">Der Befund, der über allem steht</t>
  </si>
  <si>
    <t xml:space="preserve">Das AVS-Raster der KJM (gültig seit 12.05.2022) verlangt für eine geschlossene Benutzergruppe grundsätzlich eine **einmalige Identifizierung durch persönlichen Kontakt** — Angesichts-Kontrolle mit Vergleich amtlicher Ausweisdaten. Automatisierte Verfahren sind inzwischen als Module positiv bewertet, aber eine reine Altersschätzung aus einem Selfie genügt nach diesem Raster nicht als alleinige Identifizierung. Damit bestätigt die Recherche die Architektur aus Handbuch A: günstige Schätzung für die Grundnutzung, härtere Stufe nur für den Bereich, der sie auslöst. Ob dieser Bereich bei uns überhaupt entsteht, entscheidet die Anwaltsfrage Nr. 1 — nicht dieser Vergleich. — KORREKTUR 15.09.2026 (R-01): Die Aussage zur reinen Altersschätzung ist zu eng. Die KJM-Datenbank führt reine KI-Altersschätzung als positiv bewertetes Identifizierungsmodul, zuletzt im März 2026 airis:ident (Irisnet GmbH, Düsseldorf) mit einem nicht änderbaren Puffer von drei Jahren. Wie jedes Identifizierungsmodul braucht sie ein Authentifizierungsmodul dazu. Einzelheiten und Folgen im Blatt „Nachtrag 15.09.2026“.</t>
  </si>
  <si>
    <t xml:space="preserve">Zehn Fragen für die Anbietergespräche</t>
  </si>
  <si>
    <t xml:space="preserve">Reihenfolge ist Absicht: Wenn Frage 1 oder 2 nicht zufriedenstellend beantwortet wird, erübrigt sich der Rest. Antworten in der gelben Spalte festhalten, je Anbieter eine eigene Kopie dieses Blattes anlegen.</t>
  </si>
  <si>
    <t xml:space="preserve">Anbieter:</t>
  </si>
  <si>
    <t xml:space="preserve">Gespräch am:</t>
  </si>
  <si>
    <t xml:space="preserve">Thema</t>
  </si>
  <si>
    <t xml:space="preserve">Frage</t>
  </si>
  <si>
    <t xml:space="preserve">Warum wir das fragen</t>
  </si>
  <si>
    <t xml:space="preserve">Antwort</t>
  </si>
  <si>
    <t xml:space="preserve">Bewertung</t>
  </si>
  <si>
    <t xml:space="preserve">Sitz und Verarbeitung</t>
  </si>
  <si>
    <t xml:space="preserve">Wo genau werden die Daten verarbeitet und gespeichert — Land, Rechenzentrum, Unterauftragsverarbeiter? Können Sie vertraglich zusichern, dass keine Verarbeitung außerhalb der EU stattfindet, auch nicht durch Unterauftragnehmer und auch nicht für Support oder Modelltraining?</t>
  </si>
  <si>
    <t xml:space="preserve">Unsere gesamte Positionierung beruht darauf. Ein einziger Unterauftragnehmer außerhalb der EU macht die Aussage unhaltbar.</t>
  </si>
  <si>
    <t xml:space="preserve">Können Sie vertraglich zusichern, dass Selfie und Ausweisbild unmittelbar nach der Prüfung gelöscht werden und wir nur ein Ja oder Nein erhalten? Wie weisen Sie das nach — Protokoll, Zertifikat, Audit?</t>
  </si>
  <si>
    <t xml:space="preserve">Handbuch A sagt dem Nutzer wörtlich zu: „Wir sehen dein Selfie nie. Unser Prüfpartner löscht es sofort." Ohne vertragliche Zusage dürfen wir diesen Satz nicht schreiben.</t>
  </si>
  <si>
    <t xml:space="preserve">Ist Ihr Verfahren von der KJM positiv bewertet — als Gesamtkonzept oder als Modul, und für welche Stufe (Identifizierung, Authentifizierung)? Bitte Datum und Fundstelle. Was genau müssten wir ergänzen, um eine geschlossene Benutzergruppe darzustellen?</t>
  </si>
  <si>
    <t xml:space="preserve">Ein Modul allein stellt keine geschlossene Benutzergruppe her. Wir müssen wissen, was fehlt und wer es liefert.</t>
  </si>
  <si>
    <t xml:space="preserve">4</t>
  </si>
  <si>
    <t xml:space="preserve">Preis und Modell</t>
  </si>
  <si>
    <t xml:space="preserve">Preis je Prüfung, gestaffelt nach Menge. Gibt es Grund- oder Mindestgebühren, Einrichtungskosten, Mindestlaufzeit? Was kostet eine fehlgeschlagene Prüfung, und was ein zweiter Versuch derselben Person?</t>
  </si>
  <si>
    <t xml:space="preserve">Handbuch B rechnet mit rund 0,40 € für eine Altersschätzung. Fehlversuche sind der Posten, der Kalkulationen kippt.</t>
  </si>
  <si>
    <t xml:space="preserve">5</t>
  </si>
  <si>
    <t xml:space="preserve">Zwei Stufen</t>
  </si>
  <si>
    <t xml:space="preserve">Können wir zwei Stufen kombinieren — eine günstige Altersschätzung für die Grundnutzung und eine härtere Identifizierung nur für einen abgegrenzten Bereich? Zu welchen Konditionen, und geht das bei Ihnen aus einer Hand?</t>
  </si>
  <si>
    <t xml:space="preserve">Das ist die Architektur aus Handbuch A. Ob sie wirtschaftlich trägt, entscheidet sich an dieser Frage.</t>
  </si>
  <si>
    <t xml:space="preserve">6</t>
  </si>
  <si>
    <t xml:space="preserve">Abbruchquote</t>
  </si>
  <si>
    <t xml:space="preserve">Welche Abschlussquote sehen Sie bei vergleichbaren Kunden — wie viele Menschen, die die Prüfung beginnen, schließen sie ab? Bitte nach Verfahren getrennt.</t>
  </si>
  <si>
    <t xml:space="preserve">Ein Verfahren mit 60 % Abschlussquote ist doppelt so teuer wie eines mit 90 %, egal was auf der Rechnung steht.</t>
  </si>
  <si>
    <t xml:space="preserve">7</t>
  </si>
  <si>
    <t xml:space="preserve">Einbindung</t>
  </si>
  <si>
    <t xml:space="preserve">Funktioniert Ihr SDK in einer Progressive Web App ohne App-Store-Installation? Gibt es Webhooks für das Ergebnis? Wie lange dauert eine Integration erfahrungsgemäß, und gibt es eine Testumgebung ohne Vertrag?</t>
  </si>
  <si>
    <t xml:space="preserve">Wir starten als Web-App. Ein SDK, das eine native App voraussetzt, ist für die erste Ausbaustufe unbrauchbar.</t>
  </si>
  <si>
    <t xml:space="preserve">8</t>
  </si>
  <si>
    <t xml:space="preserve">KI-Verordnung</t>
  </si>
  <si>
    <t xml:space="preserve">Wie ordnen Sie Ihr Verfahren nach der KI-Verordnung ein? Liegt eine Konformitätsbewertung oder ein Rechtsgutachten vor, das wir unserem Anwalt vorlegen können?</t>
  </si>
  <si>
    <t xml:space="preserve">Art. 5 Abs. 1 lit. g verbietet biometrische Kategorisierung, die auf die sexuelle Ausrichtung schließt. Wir betreiben eine App für schwule Männer. Diese Frage muss gestellt werden, bevor ein Vertrag entsteht.</t>
  </si>
  <si>
    <t xml:space="preserve">9</t>
  </si>
  <si>
    <t xml:space="preserve">Auftragsverarbeitung</t>
  </si>
  <si>
    <t xml:space="preserve">Legen Sie uns Ihren AV-Vertrag, Ihr Verzeichnis der Unterauftragnehmer und Ihre TOM vor. Sind Sie bereit, für Artikel-9-Daten Zusatzvereinbarungen zu treffen?</t>
  </si>
  <si>
    <t xml:space="preserve">Bei besonderen Kategorien personenbezogener Daten reichen Standardverträge oft nicht. Das muss vor Vertragsschluss geklärt sein, nicht danach.</t>
  </si>
  <si>
    <t xml:space="preserve">10</t>
  </si>
  <si>
    <t xml:space="preserve">Ausfall und Ausstieg</t>
  </si>
  <si>
    <t xml:space="preserve">Was passiert bei einem Ausfall Ihres Dienstes — können sich Nutzer dann gar nicht registrieren? Wie kommen wir wieder heraus: Kündigungsfrist, Datenrückgabe, Umstellung auf einen anderen Anbieter ohne erneute Prüfung aller Bestandsnutzer?</t>
  </si>
  <si>
    <t xml:space="preserve">Ein Verifizierungsanbieter ist eine Abhängigkeit an der Eingangstür. Der Ausstieg muss geklärt sein, bevor man einsteigt.</t>
  </si>
  <si>
    <t xml:space="preserve">K.-o.-Regel</t>
  </si>
  <si>
    <t xml:space="preserve">Frage 1 (Verarbeitung ausschließlich in der EU) und Frage 2 (vertraglich zugesicherte Sofortlöschung) sind K.-o.-Fragen. Wer eine davon nicht schriftlich zusichern kann, kommt nicht in den Trichtertest — unabhängig vom Preis. Beide Zusagen stehen wörtlich in unseren Nutzertexten; ohne sie müssten wir die Texte ändern und damit die Positionierung.</t>
  </si>
  <si>
    <t xml:space="preserve">Quellen und Lesehilfe</t>
  </si>
  <si>
    <t xml:space="preserve">Alle Quellen abgerufen am 27.07.2026.</t>
  </si>
  <si>
    <t xml:space="preserve">Nr</t>
  </si>
  <si>
    <t xml:space="preserve">Link</t>
  </si>
  <si>
    <t xml:space="preserve">Was daraus stammt</t>
  </si>
  <si>
    <t xml:space="preserve">KJM: KJM bewertet weitere Altersverifikationssysteme positiv (01/2026, 20.01.2026)</t>
  </si>
  <si>
    <t xml:space="preserve">https://www.kjm-online.de/pressemitteilungen/kjm-bewertet-weitere-altersverifikationssysteme-positiv-2-2/</t>
  </si>
  <si>
    <t xml:space="preserve">cidaas ID validator (Modul), IN ID (Gesamtkonzept); AVS-Raster gültig seit 12.05.2022; persönlicher Kontakt als Grundsatz</t>
  </si>
  <si>
    <t xml:space="preserve">Q2</t>
  </si>
  <si>
    <t xml:space="preserve">Yoti: Facial Age Estimation und FAQ</t>
  </si>
  <si>
    <t xml:space="preserve">https://www.yoti.com/business/facial-age-estimation/</t>
  </si>
  <si>
    <t xml:space="preserve">Sofortige dauerhafte Löschung nach Anbieterangabe; Einsatz bei großen Plattformen</t>
  </si>
  <si>
    <t xml:space="preserve">KJM: Erstmals Module zur Altersverifikation mit automatisierter Identifizierung positiv bewertet</t>
  </si>
  <si>
    <t xml:space="preserve">https://www.kjm-online.de/presse/pressemitteilungen/erstmals-module-zur-altersverifikation-mit-automatisierter-identifizierung-positiv-bewertet/</t>
  </si>
  <si>
    <t xml:space="preserve">IDnow AutoIdent und WebID AVS als Teillösungen</t>
  </si>
  <si>
    <t xml:space="preserve">Bundesdruckerei-Gruppe: Case Study AusweisIDent und Nect Ident</t>
  </si>
  <si>
    <t xml:space="preserve">https://www.bundesdruckerei.de/de/innovation-hub/case-study-ausweisident-nect-ident</t>
  </si>
  <si>
    <t xml:space="preserve">Nect integriert AusweisIDent (D-Trust, Governikus) als eID-Verfahren</t>
  </si>
  <si>
    <t xml:space="preserve">Q5</t>
  </si>
  <si>
    <t xml:space="preserve">IT-Finanzmagazin: Nect Wallet kann jetzt auch Jugendschutz</t>
  </si>
  <si>
    <t xml:space="preserve">https://www.it-finanzmagazin.de/nect-wallet-kann-jetzt-jugendschutz-146098/</t>
  </si>
  <si>
    <t xml:space="preserve">Drei Verfahren (Wiederverwendung, KI-Ident, eID) nach Anbieterangabe KJM-zertifiziert</t>
  </si>
  <si>
    <t xml:space="preserve">Q6</t>
  </si>
  <si>
    <t xml:space="preserve">EU-Kommission / Fachpresse: UK-Angemessenheitsbeschluss verlängert</t>
  </si>
  <si>
    <t xml:space="preserve">https://dataagenda.de/eu-uk-angemessenheitsbeschluss-bleibt-bis-dezember-2031-gueltig/</t>
  </si>
  <si>
    <t xml:space="preserve">Rückwirkend ab 27.12.2025 bis 27.12.2031, Zwischenprüfung 2029</t>
  </si>
  <si>
    <t xml:space="preserve">Veriff — Anbieterseite</t>
  </si>
  <si>
    <t xml:space="preserve">https://www.veriff.com/</t>
  </si>
  <si>
    <t xml:space="preserve">Sitz Tallinn, Estland; kein KJM-Nachweis gefunden</t>
  </si>
  <si>
    <t xml:space="preserve">Didit: Altersverifizierung 2026 — Software im Vergleich (Unternehmensblog)</t>
  </si>
  <si>
    <t xml:space="preserve">https://didit.me/de/blog/top-age-verification-software-alternatives-2026/</t>
  </si>
  <si>
    <t xml:space="preserve">Preisangaben 0,10 $ bzw. 0,20 $ je Prüfung — Marketingquelle des Anbieters selbst</t>
  </si>
  <si>
    <t xml:space="preserve">Q9</t>
  </si>
  <si>
    <t xml:space="preserve">KJM: AVS-Kriterien und unzulässige Inhalte</t>
  </si>
  <si>
    <t xml:space="preserve">https://www.kjm-online.de/themen/technischer-jugendmedienschutz/unzulaessige-inhalte/</t>
  </si>
  <si>
    <t xml:space="preserve">Zweistufigkeit: Identifizierung plus Authentifizierung bei jeder Nutzung</t>
  </si>
  <si>
    <t xml:space="preserve">Q10</t>
  </si>
  <si>
    <t xml:space="preserve">Projektintern: jmstv-problem-und-einschaetzung.md (24.07.2026)</t>
  </si>
  <si>
    <t xml:space="preserve">10-recht-gruendung/jmstv-problem-und-einschaetzung.md</t>
  </si>
  <si>
    <t xml:space="preserve">Ausgangsanalyse, EU-Altersverifikations-App seit 04/2026 technisch fertig, EUDI-Wallet bis 24.12.2026</t>
  </si>
  <si>
    <t xml:space="preserve">Was diese Tabelle nicht leistet</t>
  </si>
  <si>
    <t xml:space="preserve">Preise</t>
  </si>
  <si>
    <t xml:space="preserve">Kein einziger Anbieter im Feld veröffentlicht belastbare Preise für unseren Anwendungsfall. Die einzige öffentliche Zahl (Didit, 0,10 $) stammt aus dem Marketingblog des Anbieters selbst und ist kein Angebot.</t>
  </si>
  <si>
    <t xml:space="preserve">Serverstandorte</t>
  </si>
  <si>
    <t xml:space="preserve">Für keinen Anbieter ließ sich der tatsächliche Verarbeitungsort öffentlich belegen. Ein deutscher Firmensitz sagt nichts über die Rechenzentren und nichts über Unterauftragnehmer.</t>
  </si>
  <si>
    <t xml:space="preserve">Vollständige KJM-Liste</t>
  </si>
  <si>
    <t xml:space="preserve">Die KJM führt rund 104 positiv bewertete Konzepte und Module. Wir haben nur die Pressemitteilungen gesichtet. Ein fehlender Nachweis in dieser Tabelle bedeutet nicht, dass keine Bewertung vorliegt. Nachtrag 15.09.2026: Die Datenbank ist inzwischen gesichtet — Ergebnis im Blatt „Nachtrag 15.09.2026“.</t>
  </si>
  <si>
    <t xml:space="preserve">Abbruchquoten</t>
  </si>
  <si>
    <t xml:space="preserve">Die für die Wirtschaftlichkeit entscheidende Zahl. Sie ist nirgends öffentlich und nur im Gespräch oder im eigenen Test zu bekommen — deshalb Frage 6.</t>
  </si>
  <si>
    <t xml:space="preserve">KI-VO-Einordnung</t>
  </si>
  <si>
    <t xml:space="preserve">Ist eine Rechtsfrage, keine Anbietereigenschaft. Gehört zum Anwalt (offene Entscheidung Nr. 24), nicht in diese Tabelle.</t>
  </si>
  <si>
    <t xml:space="preserve">Nächste Handlungen</t>
  </si>
  <si>
    <t xml:space="preserve">[M]</t>
  </si>
  <si>
    <t xml:space="preserve">Die drei Anbieter der Shortlist anschreiben und Blatt 2 als Gesprächsleitfaden nutzen. Kein Vertrag, nur Angebote.</t>
  </si>
  <si>
    <t xml:space="preserve">IDnow und WebID parallel anfragen — ohne zweites Angebot gibt es keinen Preisvergleich.</t>
  </si>
  <si>
    <t xml:space="preserve">Yoti als Vergleichsangebot anfragen und die Antwort neben die EU-Anbieter legen. Die Preisdifferenz ist der Preis unserer eigenen Regel — sie sollte beziffert sein, bevor man über die Regel diskutiert.</t>
  </si>
  <si>
    <t xml:space="preserve">[M/Anwalt]</t>
  </si>
  <si>
    <t xml:space="preserve">Frage 8 (KI-VO) gehört in denselben Anwaltstermin wie die JMStV-Frage. Beide entscheiden über dieselbe Architektur.</t>
  </si>
  <si>
    <t xml:space="preserve">[KI]</t>
  </si>
  <si>
    <t xml:space="preserve">Nach den Gesprächen: Tabelle mit echten Zahlen fortschreiben und die Verifizierungskosten ins Finanzmodell A-13 übernehmen — beide Kostenpfade, günstig und teuer.</t>
  </si>
  <si>
    <t xml:space="preserve">Erst danach: Trichtertest mit drei Verfahren an echten Menschen aus den Interviewkontakten.</t>
  </si>
  <si>
    <t xml:space="preserve">Nachtrag 15.09.2026 — KJM-positiv bewertete Altersschätzung</t>
  </si>
  <si>
    <t xml:space="preserve">Lauf 1 der Rechts- und Wettbewerbsbeobachtung (R-01) · Quelle: KJM-Datenbank positiv bewerteter Altersverifikationssysteme und KJM-Pressemitteilungen, abgerufen am 15.09.2026 · Ergänzt Blatt 1, ersetzt keine Zeile.</t>
  </si>
  <si>
    <t xml:space="preserve">KORREKTUR: Die bisherige Annahme „reine Altersschätzung genügt nicht als Identifizierung“ (Blatt 1, Zeile 13 und Kernbefund Zeile 56; ebenso Handbuch A) ist zu eng. Die KJM führt reine KI-Altersschätzung als positiv bewertetes IDENTIFIZIERUNGSMODUL — mit einem nicht änderbaren Puffer (Bewertungen 2026: drei Jahre) und Lebenderkennung. Wie jedes Identifizierungsmodul braucht sie ein Authentifizierungsmodul dazu. Wer unter der Puffergrenze liegt (bei drei Jahren: geschätzt jünger als 21), braucht einen zweiten Weg, etwa die eID.</t>
  </si>
  <si>
    <t xml:space="preserve">Modul</t>
  </si>
  <si>
    <t xml:space="preserve">Art und Verfahren (Wortlaut KJM, gekürzt)</t>
  </si>
  <si>
    <t xml:space="preserve">KJM-Bewertung</t>
  </si>
  <si>
    <t xml:space="preserve">Puffer</t>
  </si>
  <si>
    <t xml:space="preserve">Lebenderkennung</t>
  </si>
  <si>
    <t xml:space="preserve">Einordnung für uns</t>
  </si>
  <si>
    <t xml:space="preserve">N1</t>
  </si>
  <si>
    <t xml:space="preserve">airis:ident</t>
  </si>
  <si>
    <t xml:space="preserve">Irisnet GmbH</t>
  </si>
  <si>
    <t xml:space="preserve">Identifizierungsmodul · „Tool zur Alterseinschätzung mittels künstlicher Intelligenz“, neuronales Netz, Live-Aufnahme</t>
  </si>
  <si>
    <t xml:space="preserve">März 2026</t>
  </si>
  <si>
    <t xml:space="preserve">3 Jahre, „nicht-änderbare Voreinstellung“</t>
  </si>
  <si>
    <t xml:space="preserve">ja</t>
  </si>
  <si>
    <t xml:space="preserve">Düsseldorf (Handelsregisterauskunft)</t>
  </si>
  <si>
    <t xml:space="preserve">Der wichtigste Fund dieses Nachtrags: ein deutscher Anbieter, 2026 positiv bewertet. Passt zur Regel „kein Auftragsverarbeiter außerhalb der EU“, sofern auch die Verarbeitung in der EU liegt. Preis, Serverstandort, Löschzusage und KI-VO-Einordnung im Gespräch klären. In die Anbietergespräche aufnehmen.</t>
  </si>
  <si>
    <t xml:space="preserve">N2</t>
  </si>
  <si>
    <t xml:space="preserve">ComplyCube</t>
  </si>
  <si>
    <t xml:space="preserve">ComplyCube Ltd</t>
  </si>
  <si>
    <t xml:space="preserve">Identifizierungsmodul · „Tool zur Alterseinschätzung mittels künstlicher Intelligenz“, biometrische Datenanalyse, Live-Aufnahme</t>
  </si>
  <si>
    <t xml:space="preserve">nicht geprüft</t>
  </si>
  <si>
    <t xml:space="preserve">Zweiter 2026 bewerteter Schätzer. Sitz und Verarbeitungsort zuerst klären; liegt beides außerhalb der EU, gilt dieselbe Grundsatzfrage wie bei Yoti (Blatt 1).</t>
  </si>
  <si>
    <t xml:space="preserve">N3</t>
  </si>
  <si>
    <t xml:space="preserve">Ageware</t>
  </si>
  <si>
    <t xml:space="preserve">Biometric Ventures s.r.o.</t>
  </si>
  <si>
    <t xml:space="preserve">Identifizierungsmodul · „Tool zur Altersschätzung mittels künstlicher Intelligenz“, Live-Aufnahme</t>
  </si>
  <si>
    <t xml:space="preserve">November 2022</t>
  </si>
  <si>
    <t xml:space="preserve">in der Datenbank nicht genannt</t>
  </si>
  <si>
    <t xml:space="preserve">Früher reiner Schätzer. Puffer beim Anbieter erfragen, bevor er verglichen wird.</t>
  </si>
  <si>
    <t xml:space="preserve">N4</t>
  </si>
  <si>
    <t xml:space="preserve">FaceAssure</t>
  </si>
  <si>
    <t xml:space="preserve">Privately SA</t>
  </si>
  <si>
    <t xml:space="preserve">Reine Altersschätzung aus Gesichtsmerkmalen; laut KJM „Teillösung auf der Identifizierungsebene“</t>
  </si>
  <si>
    <t xml:space="preserve">07.11.2022 (Pressemitteilung 22/2022)</t>
  </si>
  <si>
    <t xml:space="preserve">5 Jahre (Mindestalter 23 erkannt)</t>
  </si>
  <si>
    <t xml:space="preserve">Verarbeitung laut KJM ausschließlich auf dem Endgerät</t>
  </si>
  <si>
    <t xml:space="preserve">Belegt, dass die KJM reine Schätzung schon 2022 als Identifizierung anerkannt hat. Verarbeitung auf dem Gerät ist die datenschutzfreundlichste Bauart — als Anforderung an alle Anbieter mitnehmen.</t>
  </si>
  <si>
    <t xml:space="preserve">N5</t>
  </si>
  <si>
    <t xml:space="preserve">ICU – Anonymous Age Estimation</t>
  </si>
  <si>
    <t xml:space="preserve">Innovative Technology Ltd</t>
  </si>
  <si>
    <t xml:space="preserve">Reine Altersschätzung anhand biometrischer Merkmale</t>
  </si>
  <si>
    <t xml:space="preserve">01.08.2023 (Pressemitteilung)</t>
  </si>
  <si>
    <t xml:space="preserve">nicht erfasst</t>
  </si>
  <si>
    <t xml:space="preserve">Zweiter Beleg aus den Pressemitteilungen.</t>
  </si>
  <si>
    <t xml:space="preserve">N6</t>
  </si>
  <si>
    <t xml:space="preserve">AgeGo</t>
  </si>
  <si>
    <t xml:space="preserve">Age Verification Technology S.L.</t>
  </si>
  <si>
    <t xml:space="preserve">Identifizierungsmodul mit mehreren Wegen: Selfie-Analyse mit Gesichtserkennung, digitale ID, Kreditkarte, AgeGo-Konto</t>
  </si>
  <si>
    <t xml:space="preserve">Juli 2026</t>
  </si>
  <si>
    <t xml:space="preserve">Jüngste Bewertung. Sitz, Unterauftragnehmer und die Anbieter hinter den einzelnen Wegen klären, bevor es in Betracht kommt.</t>
  </si>
  <si>
    <t xml:space="preserve">Zur Einordnung: Gesamtkonzepte ohne Altersschätzung, 2025/2026 bewertet</t>
  </si>
  <si>
    <t xml:space="preserve">Konzept</t>
  </si>
  <si>
    <t xml:space="preserve">Art und Verfahren</t>
  </si>
  <si>
    <t xml:space="preserve">G1</t>
  </si>
  <si>
    <t xml:space="preserve">insic</t>
  </si>
  <si>
    <t xml:space="preserve">Insic GmbH</t>
  </si>
  <si>
    <t xml:space="preserve">Gesamtkonzept · SCHUFA-Abgleich, Geburtstagsprüfung und „finAPI GiroIdent Basis“ (Bankverifikation über Online-Banking-Login)</t>
  </si>
  <si>
    <t xml:space="preserve">Mai 2026</t>
  </si>
  <si>
    <t xml:space="preserve">Ohne Biometrie. Aber: Abfrage bei einer Auskunftei und über das Bankkonto. Ob und wie die Nutzung dabei für Dritte sichtbar wird, ist für diese Zielgruppe eine ernste Frage und vor jeder Erwägung datenschutzrechtlich zu prüfen.</t>
  </si>
  <si>
    <t xml:space="preserve">G2</t>
  </si>
  <si>
    <t xml:space="preserve">Sign in with Klarna</t>
  </si>
  <si>
    <t xml:space="preserve">Klarna Bank AB</t>
  </si>
  <si>
    <t xml:space="preserve">Gesamtkonzept · bereits erfolgte Identitätsprüfung oder Ausweisabgleich mit Gesichtserkennung; Authentifizierung über das Klarna-Konto mit Zwei-Faktor-Anmeldung</t>
  </si>
  <si>
    <t xml:space="preserve">Dezember 2025</t>
  </si>
  <si>
    <t xml:space="preserve">Zeigt, dass Konzepte über bestehende Konten KJM-fähig sind. Nachteil für uns: Ein Zahlungsdienst erfährt von der Nutzung — für Menschen, die Diskretion suchen, ein Gegenargument.</t>
  </si>
  <si>
    <t xml:space="preserve">Was das für die Zwei-Stufen-Architektur bedeutet (Entscheidungen Nr. 39 und Nr. 40)</t>
  </si>
  <si>
    <t xml:space="preserve">Stufe 2 könnte mit einem positiv bewerteten Schätzmodul plus Authentifizierungsmodul gebaut werden — vorbehaltlich der Anwaltsfragen (Nachtrag 01, Frage 1; Nachtrag 02, Frage 2).</t>
  </si>
  <si>
    <t xml:space="preserve">Wer geschätzt unter der Puffergrenze liegt, braucht einen zweiten Weg (eID, ab 2027 Wallet). Der Anteil dieser Gruppe bestimmt die Kosten; bei einer Zielgruppe von 18 bis 60 ist er klein, aber nicht null — und er trifft ausgerechnet die Jüngsten.</t>
  </si>
  <si>
    <t xml:space="preserve">Das Finanzmodell kennt diesen Weg noch nicht. Sobald ein Stückpreis vorliegt, bekommt der JMStV-Schalter eine fünfte Stellung (R-02). Vorher wird nichts eingerechnet — ein geschätzter Preis wäre eine erfundene Zahl.</t>
  </si>
  <si>
    <t xml:space="preserve">Die KI-VO-Frage (Nr. 24) wird wichtiger, nicht unwichtiger: Der voraussichtlich günstigste Weg ist ein biometrischer.</t>
  </si>
  <si>
    <t xml:space="preserve">Was dieser Nachtrag nicht klärt</t>
  </si>
  <si>
    <t xml:space="preserve">—</t>
  </si>
  <si>
    <t xml:space="preserve">Kein Anbieter nennt öffentlich einen Stückpreis.</t>
  </si>
  <si>
    <t xml:space="preserve">Verarbeitungsort</t>
  </si>
  <si>
    <t xml:space="preserve">Ein Firmensitz sagt nichts über Rechenzentren und Unterauftragnehmer.</t>
  </si>
  <si>
    <t xml:space="preserve">Fehlschätzungen</t>
  </si>
  <si>
    <t xml:space="preserve">Wie oft 21- bis 25-Jährige unter die Grenze fallen, ist nur im Gespräch oder im eigenen Trichtertest zu erfahren.</t>
  </si>
  <si>
    <t xml:space="preserve">Tragweite der Bewertung</t>
  </si>
  <si>
    <t xml:space="preserve">Ob die Bewertung eines Moduls für unsere Einbindung (PWA, eigener Authentifizierungsweg) ohne Weiteres trägt, ist eine Frage an den Anwalt und an den Anbieter.</t>
  </si>
  <si>
    <t xml:space="preserve">Irisnet (airis:ident) in die Anbietergespräche aufnehmen; Blatt 2 als Leitfaden verwenden, Frage 8 (KI-Verordnung) und Frage 10 (Ausfall und Ausstieg — siehe auch das Ende von Verimi zum Jahresende 2026) eingeschlossen.</t>
  </si>
  <si>
    <t xml:space="preserve">Nachtrag 02, Frage 2 im Anwaltstermin stellen: `10-recht-gruendung/anwaltstermin/nachtrag-02-stand-september-2026.md`.</t>
  </si>
  <si>
    <t xml:space="preserve">Nach den Gesprächen: Stückpreis und Rückfallquote ins Finanzmodell übernehmen (R-02), als fünfte Schalterstellung.</t>
  </si>
  <si>
    <t xml:space="preserve">Quellen (abgerufen am 15.09.2026)</t>
  </si>
  <si>
    <t xml:space="preserve">Q11</t>
  </si>
  <si>
    <t xml:space="preserve">KJM: Technischer Jugendmedienschutz — Datenbank positiv bewerteter AVS (Einträge airis:ident, ComplyCube, Ageware, AgeGo, insic, Sign in with Klarna)</t>
  </si>
  <si>
    <t xml:space="preserve">https://www.kjm-online.de/themen/technischer-jugendmedienschutz/</t>
  </si>
  <si>
    <t xml:space="preserve">Q12</t>
  </si>
  <si>
    <t xml:space="preserve">KJM: Altersverifikationssystem mit biometrischer Alterskontrolle positiv bewertet (FaceAssure, 07.11.2022)</t>
  </si>
  <si>
    <t xml:space="preserve">https://www.kjm-online.de/presse/pressemitteilungen/kjm-bewertet-altersverifikationssystem-mit-biometrischer-alterskontrolle-positiv/</t>
  </si>
  <si>
    <t xml:space="preserve">Q13</t>
  </si>
  <si>
    <t xml:space="preserve">KJM: zwei weitere Altersverifikationssysteme positiv bewertet (ICU, 01.08.2023)</t>
  </si>
  <si>
    <t xml:space="preserve">https://www.kjm-online.de/presse/pressemitteilungen/kjm-bewertet-zwei-weitere-altersverifikationssysteme-positiv-2/</t>
  </si>
  <si>
    <t xml:space="preserve">Q14</t>
  </si>
  <si>
    <t xml:space="preserve">Creditreform-Firmenauskunft: irisnet GmbH, Düsseldorf</t>
  </si>
  <si>
    <t xml:space="preserve">https://firmeneintrag.creditreform.de/40547/5050835789/IRISNET_GMBH</t>
  </si>
</sst>
</file>

<file path=xl/styles.xml><?xml version="1.0" encoding="utf-8"?>
<styleSheet xmlns="http://schemas.openxmlformats.org/spreadsheetml/2006/main">
  <numFmts count="2">
    <numFmt numFmtId="164" formatCode="General"/>
    <numFmt numFmtId="165" formatCode="0%"/>
  </numFmts>
  <fonts count="19">
    <font>
      <sz val="11"/>
      <color theme="1"/>
      <name val="Calibri"/>
      <family val="2"/>
      <charset val="1"/>
    </font>
    <font>
      <sz val="10"/>
      <name val="Arial"/>
      <family val="0"/>
    </font>
    <font>
      <sz val="10"/>
      <name val="Arial"/>
      <family val="0"/>
    </font>
    <font>
      <sz val="10"/>
      <name val="Arial"/>
      <family val="0"/>
    </font>
    <font>
      <b val="true"/>
      <sz val="16"/>
      <color rgb="FF1F3A5F"/>
      <name val="Arial"/>
      <family val="0"/>
      <charset val="1"/>
    </font>
    <font>
      <i val="true"/>
      <sz val="9"/>
      <color rgb="FF595959"/>
      <name val="Arial"/>
      <family val="0"/>
      <charset val="1"/>
    </font>
    <font>
      <b val="true"/>
      <sz val="10"/>
      <color rgb="FFAA3333"/>
      <name val="Arial"/>
      <family val="0"/>
      <charset val="1"/>
    </font>
    <font>
      <b val="true"/>
      <sz val="10"/>
      <color rgb="FFFFFFFF"/>
      <name val="Arial"/>
      <family val="0"/>
      <charset val="1"/>
    </font>
    <font>
      <b val="true"/>
      <sz val="9"/>
      <name val="Arial"/>
      <family val="0"/>
      <charset val="1"/>
    </font>
    <font>
      <sz val="9"/>
      <name val="Arial"/>
      <family val="0"/>
      <charset val="1"/>
    </font>
    <font>
      <b val="true"/>
      <sz val="13"/>
      <color rgb="FF1F3A5F"/>
      <name val="Arial"/>
      <family val="0"/>
      <charset val="1"/>
    </font>
    <font>
      <b val="true"/>
      <sz val="9"/>
      <color rgb="FFFFFFFF"/>
      <name val="Arial"/>
      <family val="0"/>
      <charset val="1"/>
    </font>
    <font>
      <sz val="9"/>
      <color rgb="FF0000FF"/>
      <name val="Arial"/>
      <family val="0"/>
      <charset val="1"/>
    </font>
    <font>
      <i val="true"/>
      <sz val="8"/>
      <color rgb="FF595959"/>
      <name val="Arial"/>
      <family val="0"/>
      <charset val="1"/>
    </font>
    <font>
      <b val="true"/>
      <sz val="11"/>
      <color rgb="FF1F3A5F"/>
      <name val="Arial"/>
      <family val="0"/>
      <charset val="1"/>
    </font>
    <font>
      <b val="true"/>
      <sz val="12"/>
      <color rgb="FF1F3A5F"/>
      <name val="Arial"/>
      <family val="0"/>
      <charset val="1"/>
    </font>
    <font>
      <sz val="10"/>
      <name val="Arial"/>
      <family val="0"/>
      <charset val="1"/>
    </font>
    <font>
      <b val="true"/>
      <sz val="10"/>
      <name val="Arial"/>
      <family val="0"/>
      <charset val="1"/>
    </font>
    <font>
      <sz val="9"/>
      <color rgb="FF595959"/>
      <name val="Arial"/>
      <family val="0"/>
      <charset val="1"/>
    </font>
  </fonts>
  <fills count="8">
    <fill>
      <patternFill patternType="none"/>
    </fill>
    <fill>
      <patternFill patternType="gray125"/>
    </fill>
    <fill>
      <patternFill patternType="solid">
        <fgColor rgb="FFFDF3E7"/>
        <bgColor rgb="FFF2F2F2"/>
      </patternFill>
    </fill>
    <fill>
      <patternFill patternType="solid">
        <fgColor rgb="FF1F3A5F"/>
        <bgColor rgb="FF333333"/>
      </patternFill>
    </fill>
    <fill>
      <patternFill patternType="solid">
        <fgColor rgb="FFF2F2F2"/>
        <bgColor rgb="FFEDF2F8"/>
      </patternFill>
    </fill>
    <fill>
      <patternFill patternType="solid">
        <fgColor rgb="FFFCE4E4"/>
        <bgColor rgb="FFFDF3E7"/>
      </patternFill>
    </fill>
    <fill>
      <patternFill patternType="solid">
        <fgColor rgb="FFEDF2F8"/>
        <bgColor rgb="FFF2F2F2"/>
      </patternFill>
    </fill>
    <fill>
      <patternFill patternType="solid">
        <fgColor rgb="FFFFFF00"/>
        <bgColor rgb="FFFFFF00"/>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general" vertical="bottom" textRotation="0" wrapText="false" indent="0" shrinkToFit="false"/>
      <protection locked="true" hidden="false"/>
    </xf>
    <xf numFmtId="164" fontId="7" fillId="3" borderId="1" xfId="0" applyFont="true" applyBorder="true" applyAlignment="true" applyProtection="false">
      <alignment horizontal="general" vertical="center"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9" fillId="2"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center" vertical="top" textRotation="0" wrapText="false" indent="0" shrinkToFit="false"/>
      <protection locked="true" hidden="false"/>
    </xf>
    <xf numFmtId="164" fontId="8" fillId="4" borderId="1" xfId="0" applyFont="true" applyBorder="true" applyAlignment="true" applyProtection="false">
      <alignment horizontal="general" vertical="top" textRotation="0" wrapText="true" indent="0" shrinkToFit="false"/>
      <protection locked="true" hidden="false"/>
    </xf>
    <xf numFmtId="164" fontId="9" fillId="4" borderId="1" xfId="0" applyFont="true" applyBorder="true" applyAlignment="true" applyProtection="false">
      <alignment horizontal="general" vertical="top" textRotation="0" wrapText="true" indent="0" shrinkToFit="false"/>
      <protection locked="true" hidden="false"/>
    </xf>
    <xf numFmtId="164" fontId="9" fillId="4" borderId="1" xfId="0" applyFont="true" applyBorder="true" applyAlignment="true" applyProtection="false">
      <alignment horizontal="center" vertical="top" textRotation="0" wrapText="false" indent="0" shrinkToFit="false"/>
      <protection locked="true" hidden="false"/>
    </xf>
    <xf numFmtId="164" fontId="9" fillId="5" borderId="1" xfId="0" applyFont="true" applyBorder="true" applyAlignment="true" applyProtection="false">
      <alignment horizontal="center" vertical="top"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bottom" textRotation="0" wrapText="false" indent="0" shrinkToFit="false"/>
      <protection locked="true" hidden="false"/>
    </xf>
    <xf numFmtId="164" fontId="11" fillId="3" borderId="1" xfId="0" applyFont="true" applyBorder="true" applyAlignment="true" applyProtection="false">
      <alignment horizontal="general" vertical="center" textRotation="0" wrapText="true" indent="0" shrinkToFit="false"/>
      <protection locked="true" hidden="false"/>
    </xf>
    <xf numFmtId="164" fontId="8" fillId="0" borderId="1" xfId="0" applyFont="true" applyBorder="true" applyAlignment="true" applyProtection="false">
      <alignment horizontal="general" vertical="bottom" textRotation="0" wrapText="false" indent="0" shrinkToFit="false"/>
      <protection locked="true" hidden="false"/>
    </xf>
    <xf numFmtId="164" fontId="12" fillId="0" borderId="1" xfId="0" applyFont="true" applyBorder="true" applyAlignment="true" applyProtection="false">
      <alignment horizontal="center" vertical="bottom" textRotation="0" wrapText="false" indent="0" shrinkToFit="false"/>
      <protection locked="true" hidden="false"/>
    </xf>
    <xf numFmtId="164" fontId="9" fillId="0" borderId="1" xfId="0" applyFont="true" applyBorder="true" applyAlignment="true" applyProtection="false">
      <alignment horizontal="center" vertical="bottom" textRotation="0" wrapText="false" indent="0" shrinkToFit="false"/>
      <protection locked="true" hidden="false"/>
    </xf>
    <xf numFmtId="164" fontId="8" fillId="4" borderId="1" xfId="0" applyFont="true" applyBorder="true" applyAlignment="true" applyProtection="false">
      <alignment horizontal="general" vertical="bottom" textRotation="0" wrapText="false" indent="0" shrinkToFit="false"/>
      <protection locked="true" hidden="false"/>
    </xf>
    <xf numFmtId="164" fontId="12" fillId="4" borderId="1" xfId="0" applyFont="true" applyBorder="true" applyAlignment="true" applyProtection="false">
      <alignment horizontal="center" vertical="bottom" textRotation="0" wrapText="false" indent="0" shrinkToFit="false"/>
      <protection locked="true" hidden="false"/>
    </xf>
    <xf numFmtId="164" fontId="9" fillId="4" borderId="1" xfId="0" applyFont="true" applyBorder="true" applyAlignment="true" applyProtection="false">
      <alignment horizontal="center"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5" fontId="12" fillId="0" borderId="1" xfId="0" applyFont="true" applyBorder="true" applyAlignment="true" applyProtection="false">
      <alignment horizontal="center" vertical="bottom" textRotation="0" wrapText="false" indent="0" shrinkToFit="false"/>
      <protection locked="true" hidden="false"/>
    </xf>
    <xf numFmtId="165" fontId="8" fillId="0" borderId="0" xfId="0" applyFont="true" applyBorder="false" applyAlignment="tru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general" vertical="bottom" textRotation="0" wrapText="false" indent="0" shrinkToFit="false"/>
      <protection locked="true" hidden="false"/>
    </xf>
    <xf numFmtId="164" fontId="14" fillId="0"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xf numFmtId="164" fontId="7" fillId="3" borderId="1" xfId="0" applyFont="true" applyBorder="true" applyAlignment="true" applyProtection="false">
      <alignment horizontal="general" vertical="bottom" textRotation="0" wrapText="false" indent="0" shrinkToFit="false"/>
      <protection locked="true" hidden="false"/>
    </xf>
    <xf numFmtId="164" fontId="15" fillId="0" borderId="0" xfId="0" applyFont="true" applyBorder="false" applyAlignment="true" applyProtection="false">
      <alignment horizontal="general" vertical="bottom" textRotation="0" wrapText="false" indent="0" shrinkToFit="false"/>
      <protection locked="true" hidden="false"/>
    </xf>
    <xf numFmtId="164" fontId="16" fillId="6" borderId="0" xfId="0" applyFont="true" applyBorder="true" applyAlignment="true" applyProtection="false">
      <alignment horizontal="general" vertical="top" textRotation="0" wrapText="true" indent="0" shrinkToFit="false"/>
      <protection locked="true" hidden="false"/>
    </xf>
    <xf numFmtId="164" fontId="17" fillId="0" borderId="0" xfId="0" applyFont="true" applyBorder="false" applyAlignment="true" applyProtection="false">
      <alignment horizontal="general" vertical="bottom" textRotation="0" wrapText="false" indent="0" shrinkToFit="false"/>
      <protection locked="true" hidden="false"/>
    </xf>
    <xf numFmtId="164" fontId="0" fillId="7" borderId="1" xfId="0" applyFont="false" applyBorder="true" applyAlignment="true" applyProtection="false">
      <alignment horizontal="general" vertical="bottom" textRotation="0" wrapText="false" indent="0" shrinkToFit="false"/>
      <protection locked="true" hidden="false"/>
    </xf>
    <xf numFmtId="164" fontId="9" fillId="7" borderId="1" xfId="0" applyFont="true" applyBorder="true" applyAlignment="true" applyProtection="false">
      <alignment horizontal="general" vertical="top" textRotation="0" wrapText="true" indent="0" shrinkToFit="false"/>
      <protection locked="true" hidden="false"/>
    </xf>
    <xf numFmtId="164" fontId="16" fillId="2" borderId="0" xfId="0" applyFont="true" applyBorder="true" applyAlignment="true" applyProtection="false">
      <alignment horizontal="general" vertical="top" textRotation="0" wrapText="true" indent="0" shrinkToFit="false"/>
      <protection locked="true" hidden="false"/>
    </xf>
    <xf numFmtId="164" fontId="4" fillId="0" borderId="0" xfId="0" applyFont="true" applyBorder="false" applyAlignment="true" applyProtection="false">
      <alignment horizontal="general" vertical="top" textRotation="0" wrapText="false" indent="0" shrinkToFit="false"/>
      <protection locked="true" hidden="false"/>
    </xf>
    <xf numFmtId="164" fontId="18" fillId="0" borderId="0" xfId="0" applyFont="true" applyBorder="false" applyAlignment="true" applyProtection="false">
      <alignment horizontal="general" vertical="top" textRotation="0" wrapText="false" indent="0" shrinkToFit="false"/>
      <protection locked="true" hidden="false"/>
    </xf>
    <xf numFmtId="164" fontId="6" fillId="2" borderId="0" xfId="0" applyFont="true" applyBorder="true" applyAlignment="true" applyProtection="false">
      <alignment horizontal="general" vertical="top" textRotation="0" wrapText="tru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xf numFmtId="164" fontId="14" fillId="0" borderId="0" xfId="0" applyFont="true" applyBorder="false" applyAlignment="true" applyProtection="false">
      <alignment horizontal="general" vertical="top"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AA3333"/>
      <rgbColor rgb="FFFDF3E7"/>
      <rgbColor rgb="FFEDF2F8"/>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F2F2F2"/>
      <rgbColor rgb="FFCCFFCC"/>
      <rgbColor rgb="FFFFFF99"/>
      <rgbColor rgb="FF99CCFF"/>
      <rgbColor rgb="FFFF99CC"/>
      <rgbColor rgb="FFCC99FF"/>
      <rgbColor rgb="FFFCE4E4"/>
      <rgbColor rgb="FF3366FF"/>
      <rgbColor rgb="FF33CCCC"/>
      <rgbColor rgb="FF99CC00"/>
      <rgbColor rgb="FFFFCC00"/>
      <rgbColor rgb="FFFF9900"/>
      <rgbColor rgb="FFFF6600"/>
      <rgbColor rgb="FF595959"/>
      <rgbColor rgb="FF969696"/>
      <rgbColor rgb="FF1F3A5F"/>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1" width="24"/>
    <col collapsed="false" customWidth="true" hidden="false" outlineLevel="0" max="2" min="2" style="1" width="20"/>
    <col collapsed="false" customWidth="true" hidden="false" outlineLevel="0" max="3" min="3" style="1" width="22"/>
    <col collapsed="false" customWidth="true" hidden="false" outlineLevel="0" max="5" min="4" style="1" width="44"/>
    <col collapsed="false" customWidth="true" hidden="false" outlineLevel="0" max="6" min="6" style="1" width="26"/>
    <col collapsed="false" customWidth="true" hidden="false" outlineLevel="0" max="7" min="7" style="1" width="34"/>
    <col collapsed="false" customWidth="true" hidden="false" outlineLevel="0" max="8" min="8" style="1" width="26"/>
    <col collapsed="false" customWidth="true" hidden="false" outlineLevel="0" max="9" min="9" style="1" width="34"/>
    <col collapsed="false" customWidth="true" hidden="false" outlineLevel="0" max="10" min="10" style="1" width="12"/>
    <col collapsed="false" customWidth="true" hidden="false" outlineLevel="0" max="11" min="11" style="1" width="10"/>
    <col collapsed="false" customWidth="true" hidden="false" outlineLevel="0" max="12" min="12" style="1" width="52"/>
  </cols>
  <sheetData>
    <row r="1" customFormat="false" ht="19.5" hidden="false" customHeight="true" outlineLevel="0" collapsed="false">
      <c r="A1" s="2" t="s">
        <v>0</v>
      </c>
    </row>
    <row r="2" customFormat="false" ht="25.5" hidden="false" customHeight="true" outlineLevel="0" collapsed="false">
      <c r="A2" s="3" t="s">
        <v>1</v>
      </c>
    </row>
    <row r="3" customFormat="false" ht="27.75" hidden="false" customHeight="true" outlineLevel="0" collapsed="false">
      <c r="A3" s="4" t="s">
        <v>2</v>
      </c>
    </row>
    <row r="5" customFormat="false" ht="42" hidden="false" customHeight="true" outlineLevel="0" collapsed="false">
      <c r="A5" s="5" t="s">
        <v>3</v>
      </c>
      <c r="B5" s="5" t="s">
        <v>4</v>
      </c>
      <c r="C5" s="5" t="s">
        <v>5</v>
      </c>
      <c r="D5" s="5" t="s">
        <v>6</v>
      </c>
      <c r="E5" s="5" t="s">
        <v>7</v>
      </c>
      <c r="F5" s="5" t="s">
        <v>8</v>
      </c>
      <c r="G5" s="5" t="s">
        <v>9</v>
      </c>
      <c r="H5" s="5" t="s">
        <v>10</v>
      </c>
      <c r="I5" s="5" t="s">
        <v>11</v>
      </c>
      <c r="J5" s="5" t="s">
        <v>12</v>
      </c>
      <c r="K5" s="5" t="s">
        <v>13</v>
      </c>
      <c r="L5" s="5" t="s">
        <v>14</v>
      </c>
    </row>
    <row r="6" customFormat="false" ht="96" hidden="false" customHeight="true" outlineLevel="0" collapsed="false">
      <c r="A6" s="6" t="s">
        <v>15</v>
      </c>
      <c r="B6" s="7" t="s">
        <v>16</v>
      </c>
      <c r="C6" s="7" t="s">
        <v>17</v>
      </c>
      <c r="D6" s="7" t="s">
        <v>18</v>
      </c>
      <c r="E6" s="7" t="s">
        <v>19</v>
      </c>
      <c r="F6" s="8" t="s">
        <v>17</v>
      </c>
      <c r="G6" s="7" t="s">
        <v>17</v>
      </c>
      <c r="H6" s="7" t="s">
        <v>17</v>
      </c>
      <c r="I6" s="7" t="s">
        <v>20</v>
      </c>
      <c r="J6" s="9" t="s">
        <v>21</v>
      </c>
      <c r="K6" s="7" t="s">
        <v>22</v>
      </c>
      <c r="L6" s="7" t="s">
        <v>23</v>
      </c>
    </row>
    <row r="7" customFormat="false" ht="96" hidden="false" customHeight="true" outlineLevel="0" collapsed="false">
      <c r="A7" s="10" t="s">
        <v>24</v>
      </c>
      <c r="B7" s="11" t="s">
        <v>25</v>
      </c>
      <c r="C7" s="11" t="s">
        <v>17</v>
      </c>
      <c r="D7" s="11" t="s">
        <v>26</v>
      </c>
      <c r="E7" s="11" t="s">
        <v>27</v>
      </c>
      <c r="F7" s="8" t="s">
        <v>17</v>
      </c>
      <c r="G7" s="11" t="s">
        <v>17</v>
      </c>
      <c r="H7" s="11" t="s">
        <v>17</v>
      </c>
      <c r="I7" s="11" t="s">
        <v>28</v>
      </c>
      <c r="J7" s="12" t="s">
        <v>21</v>
      </c>
      <c r="K7" s="11" t="s">
        <v>29</v>
      </c>
      <c r="L7" s="11" t="s">
        <v>30</v>
      </c>
    </row>
    <row r="8" customFormat="false" ht="96" hidden="false" customHeight="true" outlineLevel="0" collapsed="false">
      <c r="A8" s="6" t="s">
        <v>31</v>
      </c>
      <c r="B8" s="7" t="s">
        <v>32</v>
      </c>
      <c r="C8" s="7" t="s">
        <v>17</v>
      </c>
      <c r="D8" s="7" t="s">
        <v>33</v>
      </c>
      <c r="E8" s="7" t="s">
        <v>34</v>
      </c>
      <c r="F8" s="8" t="s">
        <v>17</v>
      </c>
      <c r="G8" s="7" t="s">
        <v>17</v>
      </c>
      <c r="H8" s="7" t="s">
        <v>17</v>
      </c>
      <c r="I8" s="7" t="s">
        <v>35</v>
      </c>
      <c r="J8" s="9" t="s">
        <v>21</v>
      </c>
      <c r="K8" s="7" t="s">
        <v>29</v>
      </c>
      <c r="L8" s="7" t="s">
        <v>36</v>
      </c>
    </row>
    <row r="9" customFormat="false" ht="96" hidden="false" customHeight="true" outlineLevel="0" collapsed="false">
      <c r="A9" s="10" t="s">
        <v>37</v>
      </c>
      <c r="B9" s="11" t="s">
        <v>38</v>
      </c>
      <c r="C9" s="11" t="s">
        <v>17</v>
      </c>
      <c r="D9" s="11" t="s">
        <v>39</v>
      </c>
      <c r="E9" s="11" t="s">
        <v>40</v>
      </c>
      <c r="F9" s="8" t="s">
        <v>17</v>
      </c>
      <c r="G9" s="11" t="s">
        <v>17</v>
      </c>
      <c r="H9" s="11" t="s">
        <v>41</v>
      </c>
      <c r="I9" s="11" t="s">
        <v>42</v>
      </c>
      <c r="J9" s="12" t="s">
        <v>21</v>
      </c>
      <c r="K9" s="11" t="s">
        <v>43</v>
      </c>
      <c r="L9" s="11" t="s">
        <v>44</v>
      </c>
    </row>
    <row r="10" customFormat="false" ht="96" hidden="false" customHeight="true" outlineLevel="0" collapsed="false">
      <c r="A10" s="6" t="s">
        <v>45</v>
      </c>
      <c r="B10" s="7" t="s">
        <v>46</v>
      </c>
      <c r="C10" s="7" t="s">
        <v>17</v>
      </c>
      <c r="D10" s="7" t="s">
        <v>47</v>
      </c>
      <c r="E10" s="7" t="s">
        <v>48</v>
      </c>
      <c r="F10" s="8" t="s">
        <v>17</v>
      </c>
      <c r="G10" s="7" t="s">
        <v>17</v>
      </c>
      <c r="H10" s="7" t="s">
        <v>17</v>
      </c>
      <c r="I10" s="7" t="s">
        <v>49</v>
      </c>
      <c r="J10" s="9" t="s">
        <v>21</v>
      </c>
      <c r="K10" s="7" t="s">
        <v>43</v>
      </c>
      <c r="L10" s="7" t="s">
        <v>50</v>
      </c>
    </row>
    <row r="11" customFormat="false" ht="96" hidden="false" customHeight="true" outlineLevel="0" collapsed="false">
      <c r="A11" s="10" t="s">
        <v>51</v>
      </c>
      <c r="B11" s="11" t="s">
        <v>52</v>
      </c>
      <c r="C11" s="11" t="s">
        <v>53</v>
      </c>
      <c r="D11" s="11" t="s">
        <v>54</v>
      </c>
      <c r="E11" s="11" t="s">
        <v>55</v>
      </c>
      <c r="F11" s="8" t="s">
        <v>17</v>
      </c>
      <c r="G11" s="11" t="s">
        <v>56</v>
      </c>
      <c r="H11" s="11" t="s">
        <v>17</v>
      </c>
      <c r="I11" s="11" t="s">
        <v>57</v>
      </c>
      <c r="J11" s="12" t="s">
        <v>21</v>
      </c>
      <c r="K11" s="11" t="s">
        <v>43</v>
      </c>
      <c r="L11" s="11" t="s">
        <v>58</v>
      </c>
    </row>
    <row r="12" customFormat="false" ht="96" hidden="false" customHeight="true" outlineLevel="0" collapsed="false">
      <c r="A12" s="6" t="s">
        <v>59</v>
      </c>
      <c r="B12" s="7" t="s">
        <v>60</v>
      </c>
      <c r="C12" s="7" t="s">
        <v>17</v>
      </c>
      <c r="D12" s="7" t="s">
        <v>61</v>
      </c>
      <c r="E12" s="7" t="s">
        <v>62</v>
      </c>
      <c r="F12" s="8" t="s">
        <v>17</v>
      </c>
      <c r="G12" s="7" t="s">
        <v>63</v>
      </c>
      <c r="H12" s="7" t="s">
        <v>17</v>
      </c>
      <c r="I12" s="7" t="s">
        <v>64</v>
      </c>
      <c r="J12" s="9" t="s">
        <v>21</v>
      </c>
      <c r="K12" s="7" t="s">
        <v>65</v>
      </c>
      <c r="L12" s="7" t="s">
        <v>66</v>
      </c>
    </row>
    <row r="13" customFormat="false" ht="96" hidden="false" customHeight="true" outlineLevel="0" collapsed="false">
      <c r="A13" s="10" t="s">
        <v>67</v>
      </c>
      <c r="B13" s="11" t="s">
        <v>68</v>
      </c>
      <c r="C13" s="11" t="s">
        <v>69</v>
      </c>
      <c r="D13" s="11" t="s">
        <v>70</v>
      </c>
      <c r="E13" s="11" t="s">
        <v>71</v>
      </c>
      <c r="F13" s="8" t="s">
        <v>72</v>
      </c>
      <c r="G13" s="11" t="s">
        <v>73</v>
      </c>
      <c r="H13" s="11" t="s">
        <v>74</v>
      </c>
      <c r="I13" s="11" t="s">
        <v>75</v>
      </c>
      <c r="J13" s="12" t="s">
        <v>21</v>
      </c>
      <c r="K13" s="11" t="s">
        <v>76</v>
      </c>
      <c r="L13" s="11" t="s">
        <v>77</v>
      </c>
    </row>
    <row r="14" customFormat="false" ht="96" hidden="false" customHeight="true" outlineLevel="0" collapsed="false">
      <c r="A14" s="6" t="s">
        <v>78</v>
      </c>
      <c r="B14" s="7" t="s">
        <v>79</v>
      </c>
      <c r="C14" s="7" t="s">
        <v>17</v>
      </c>
      <c r="D14" s="7" t="s">
        <v>80</v>
      </c>
      <c r="E14" s="7" t="s">
        <v>81</v>
      </c>
      <c r="F14" s="8" t="s">
        <v>17</v>
      </c>
      <c r="G14" s="7" t="s">
        <v>17</v>
      </c>
      <c r="H14" s="7" t="s">
        <v>17</v>
      </c>
      <c r="I14" s="7" t="s">
        <v>35</v>
      </c>
      <c r="J14" s="13" t="s">
        <v>82</v>
      </c>
      <c r="K14" s="7" t="s">
        <v>83</v>
      </c>
      <c r="L14" s="7" t="s">
        <v>84</v>
      </c>
    </row>
    <row r="15" customFormat="false" ht="96" hidden="false" customHeight="true" outlineLevel="0" collapsed="false">
      <c r="A15" s="10" t="s">
        <v>85</v>
      </c>
      <c r="B15" s="11" t="s">
        <v>86</v>
      </c>
      <c r="C15" s="11" t="s">
        <v>17</v>
      </c>
      <c r="D15" s="11" t="s">
        <v>87</v>
      </c>
      <c r="E15" s="11" t="s">
        <v>88</v>
      </c>
      <c r="F15" s="8" t="s">
        <v>89</v>
      </c>
      <c r="G15" s="11" t="s">
        <v>17</v>
      </c>
      <c r="H15" s="11" t="s">
        <v>17</v>
      </c>
      <c r="I15" s="11" t="s">
        <v>90</v>
      </c>
      <c r="J15" s="13" t="s">
        <v>82</v>
      </c>
      <c r="K15" s="11" t="s">
        <v>91</v>
      </c>
      <c r="L15" s="11" t="s">
        <v>92</v>
      </c>
    </row>
    <row r="17" customFormat="false" ht="15.75" hidden="false" customHeight="true" outlineLevel="0" collapsed="false">
      <c r="A17" s="14" t="s">
        <v>93</v>
      </c>
    </row>
    <row r="18" customFormat="false" ht="27.75" hidden="false" customHeight="true" outlineLevel="0" collapsed="false">
      <c r="A18" s="15" t="s">
        <v>94</v>
      </c>
      <c r="B18" s="15"/>
      <c r="C18" s="15"/>
      <c r="D18" s="15"/>
      <c r="E18" s="15"/>
      <c r="F18" s="15"/>
      <c r="G18" s="15"/>
      <c r="H18" s="15"/>
      <c r="I18" s="15"/>
      <c r="J18" s="15"/>
      <c r="K18" s="15"/>
      <c r="L18" s="15"/>
    </row>
    <row r="19" customFormat="false" ht="55.5" hidden="false" customHeight="true" outlineLevel="0" collapsed="false">
      <c r="A19" s="16" t="s">
        <v>3</v>
      </c>
      <c r="B19" s="16" t="s">
        <v>95</v>
      </c>
      <c r="C19" s="16" t="s">
        <v>96</v>
      </c>
      <c r="D19" s="16" t="s">
        <v>97</v>
      </c>
      <c r="E19" s="16" t="s">
        <v>98</v>
      </c>
      <c r="F19" s="16" t="s">
        <v>99</v>
      </c>
      <c r="G19" s="16" t="s">
        <v>100</v>
      </c>
      <c r="H19" s="16" t="s">
        <v>101</v>
      </c>
      <c r="I19" s="16" t="s">
        <v>12</v>
      </c>
    </row>
    <row r="20" customFormat="false" ht="15" hidden="false" customHeight="true" outlineLevel="0" collapsed="false">
      <c r="A20" s="17" t="s">
        <v>15</v>
      </c>
      <c r="B20" s="18" t="n">
        <v>3</v>
      </c>
      <c r="C20" s="18" t="n">
        <v>2</v>
      </c>
      <c r="D20" s="18" t="n">
        <v>0</v>
      </c>
      <c r="E20" s="18" t="n">
        <v>2</v>
      </c>
      <c r="F20" s="18" t="n">
        <v>0</v>
      </c>
      <c r="G20" s="18" t="n">
        <v>0</v>
      </c>
      <c r="H20" s="17" t="n">
        <f aca="false">ROUND(B20*$B$31+C20*$C$31+D20*$D$31+E20*$E$31+F20*$F$31+G20*$G$31,2)</f>
        <v>1.55</v>
      </c>
      <c r="I20" s="19" t="s">
        <v>21</v>
      </c>
    </row>
    <row r="21" customFormat="false" ht="15" hidden="false" customHeight="true" outlineLevel="0" collapsed="false">
      <c r="A21" s="20" t="s">
        <v>24</v>
      </c>
      <c r="B21" s="21" t="n">
        <v>3</v>
      </c>
      <c r="C21" s="21" t="n">
        <v>3</v>
      </c>
      <c r="D21" s="21" t="n">
        <v>0</v>
      </c>
      <c r="E21" s="21" t="n">
        <v>2</v>
      </c>
      <c r="F21" s="21" t="n">
        <v>0</v>
      </c>
      <c r="G21" s="21" t="n">
        <v>0</v>
      </c>
      <c r="H21" s="20" t="n">
        <f aca="false">ROUND(B21*$B$31+C21*$C$31+D21*$D$31+E21*$E$31+F21*$F$31+G21*$G$31,2)</f>
        <v>1.8</v>
      </c>
      <c r="I21" s="22" t="s">
        <v>21</v>
      </c>
    </row>
    <row r="22" customFormat="false" ht="15" hidden="false" customHeight="true" outlineLevel="0" collapsed="false">
      <c r="A22" s="17" t="s">
        <v>31</v>
      </c>
      <c r="B22" s="18" t="n">
        <v>3</v>
      </c>
      <c r="C22" s="18" t="n">
        <v>3</v>
      </c>
      <c r="D22" s="18" t="n">
        <v>0</v>
      </c>
      <c r="E22" s="18" t="n">
        <v>2</v>
      </c>
      <c r="F22" s="18" t="n">
        <v>0</v>
      </c>
      <c r="G22" s="18" t="n">
        <v>0</v>
      </c>
      <c r="H22" s="17" t="n">
        <f aca="false">ROUND(B22*$B$31+C22*$C$31+D22*$D$31+E22*$E$31+F22*$F$31+G22*$G$31,2)</f>
        <v>1.8</v>
      </c>
      <c r="I22" s="19" t="s">
        <v>21</v>
      </c>
    </row>
    <row r="23" customFormat="false" ht="15" hidden="false" customHeight="true" outlineLevel="0" collapsed="false">
      <c r="A23" s="20" t="s">
        <v>37</v>
      </c>
      <c r="B23" s="21" t="n">
        <v>3</v>
      </c>
      <c r="C23" s="21" t="n">
        <v>3</v>
      </c>
      <c r="D23" s="21" t="n">
        <v>0</v>
      </c>
      <c r="E23" s="21" t="n">
        <v>2</v>
      </c>
      <c r="F23" s="21" t="n">
        <v>1</v>
      </c>
      <c r="G23" s="21" t="n">
        <v>0</v>
      </c>
      <c r="H23" s="20" t="n">
        <f aca="false">ROUND(B23*$B$31+C23*$C$31+D23*$D$31+E23*$E$31+F23*$F$31+G23*$G$31,2)</f>
        <v>1.9</v>
      </c>
      <c r="I23" s="22" t="s">
        <v>21</v>
      </c>
    </row>
    <row r="24" customFormat="false" ht="15" hidden="false" customHeight="true" outlineLevel="0" collapsed="false">
      <c r="A24" s="17" t="s">
        <v>45</v>
      </c>
      <c r="B24" s="18" t="n">
        <v>3</v>
      </c>
      <c r="C24" s="18" t="n">
        <v>3</v>
      </c>
      <c r="D24" s="18" t="n">
        <v>0</v>
      </c>
      <c r="E24" s="18" t="n">
        <v>1</v>
      </c>
      <c r="F24" s="18" t="n">
        <v>0</v>
      </c>
      <c r="G24" s="18" t="n">
        <v>0</v>
      </c>
      <c r="H24" s="17" t="n">
        <f aca="false">ROUND(B24*$B$31+C24*$C$31+D24*$D$31+E24*$E$31+F24*$F$31+G24*$G$31,2)</f>
        <v>1.65</v>
      </c>
      <c r="I24" s="19" t="s">
        <v>21</v>
      </c>
    </row>
    <row r="25" customFormat="false" ht="15" hidden="false" customHeight="true" outlineLevel="0" collapsed="false">
      <c r="A25" s="20" t="s">
        <v>51</v>
      </c>
      <c r="B25" s="21" t="n">
        <v>3</v>
      </c>
      <c r="C25" s="21" t="n">
        <v>3</v>
      </c>
      <c r="D25" s="21" t="n">
        <v>1</v>
      </c>
      <c r="E25" s="21" t="n">
        <v>0</v>
      </c>
      <c r="F25" s="21" t="n">
        <v>0</v>
      </c>
      <c r="G25" s="21" t="n">
        <v>0</v>
      </c>
      <c r="H25" s="20" t="n">
        <f aca="false">ROUND(B25*$B$31+C25*$C$31+D25*$D$31+E25*$E$31+F25*$F$31+G25*$G$31,2)</f>
        <v>1.65</v>
      </c>
      <c r="I25" s="22" t="s">
        <v>21</v>
      </c>
    </row>
    <row r="26" customFormat="false" ht="15" hidden="false" customHeight="true" outlineLevel="0" collapsed="false">
      <c r="A26" s="17" t="s">
        <v>59</v>
      </c>
      <c r="B26" s="18" t="n">
        <v>3</v>
      </c>
      <c r="C26" s="18" t="n">
        <v>2</v>
      </c>
      <c r="D26" s="18" t="n">
        <v>3</v>
      </c>
      <c r="E26" s="18" t="n">
        <v>1</v>
      </c>
      <c r="F26" s="18" t="n">
        <v>0</v>
      </c>
      <c r="G26" s="18" t="n">
        <v>0</v>
      </c>
      <c r="H26" s="17" t="n">
        <f aca="false">ROUND(B26*$B$31+C26*$C$31+D26*$D$31+E26*$E$31+F26*$F$31+G26*$G$31,2)</f>
        <v>1.85</v>
      </c>
      <c r="I26" s="19" t="s">
        <v>21</v>
      </c>
    </row>
    <row r="27" customFormat="false" ht="15" hidden="false" customHeight="true" outlineLevel="0" collapsed="false">
      <c r="A27" s="20" t="s">
        <v>67</v>
      </c>
      <c r="B27" s="21" t="n">
        <v>1</v>
      </c>
      <c r="C27" s="21" t="n">
        <v>0</v>
      </c>
      <c r="D27" s="21" t="n">
        <v>2</v>
      </c>
      <c r="E27" s="21" t="n">
        <v>3</v>
      </c>
      <c r="F27" s="21" t="n">
        <v>3</v>
      </c>
      <c r="G27" s="21" t="n">
        <v>0</v>
      </c>
      <c r="H27" s="20" t="n">
        <f aca="false">ROUND(B27*$B$31+C27*$C$31+D27*$D$31+E27*$E$31+F27*$F$31+G27*$G$31,2)</f>
        <v>1.3</v>
      </c>
      <c r="I27" s="22" t="s">
        <v>21</v>
      </c>
    </row>
    <row r="28" customFormat="false" ht="15" hidden="false" customHeight="true" outlineLevel="0" collapsed="false">
      <c r="A28" s="17" t="s">
        <v>78</v>
      </c>
      <c r="B28" s="18" t="n">
        <v>3</v>
      </c>
      <c r="C28" s="18" t="n">
        <v>0</v>
      </c>
      <c r="D28" s="18" t="n">
        <v>0</v>
      </c>
      <c r="E28" s="18" t="n">
        <v>2</v>
      </c>
      <c r="F28" s="18" t="n">
        <v>0</v>
      </c>
      <c r="G28" s="18" t="n">
        <v>0</v>
      </c>
      <c r="H28" s="17" t="n">
        <f aca="false">ROUND(B28*$B$31+C28*$C$31+D28*$D$31+E28*$E$31+F28*$F$31+G28*$G$31,2)</f>
        <v>1.05</v>
      </c>
      <c r="I28" s="19" t="s">
        <v>82</v>
      </c>
    </row>
    <row r="29" customFormat="false" ht="15" hidden="false" customHeight="true" outlineLevel="0" collapsed="false">
      <c r="A29" s="20" t="s">
        <v>85</v>
      </c>
      <c r="B29" s="21" t="n">
        <v>0</v>
      </c>
      <c r="C29" s="21" t="n">
        <v>0</v>
      </c>
      <c r="D29" s="21" t="n">
        <v>0</v>
      </c>
      <c r="E29" s="21" t="n">
        <v>3</v>
      </c>
      <c r="F29" s="21" t="n">
        <v>0</v>
      </c>
      <c r="G29" s="21" t="n">
        <v>3</v>
      </c>
      <c r="H29" s="20" t="n">
        <f aca="false">ROUND(B29*$B$31+C29*$C$31+D29*$D$31+E29*$E$31+F29*$F$31+G29*$G$31,2)</f>
        <v>0.75</v>
      </c>
      <c r="I29" s="22" t="s">
        <v>82</v>
      </c>
    </row>
    <row r="31" customFormat="false" ht="15" hidden="false" customHeight="true" outlineLevel="0" collapsed="false">
      <c r="A31" s="23" t="s">
        <v>102</v>
      </c>
      <c r="B31" s="24" t="n">
        <v>0.25</v>
      </c>
      <c r="C31" s="24" t="n">
        <v>0.25</v>
      </c>
      <c r="D31" s="24" t="n">
        <v>0.15</v>
      </c>
      <c r="E31" s="24" t="n">
        <v>0.15</v>
      </c>
      <c r="F31" s="24" t="n">
        <v>0.1</v>
      </c>
      <c r="G31" s="24" t="n">
        <v>0.1</v>
      </c>
      <c r="H31" s="25" t="n">
        <f aca="false">SUM(B31:G31)</f>
        <v>1</v>
      </c>
    </row>
    <row r="32" customFormat="false" ht="15" hidden="false" customHeight="true" outlineLevel="0" collapsed="false">
      <c r="A32" s="26" t="s">
        <v>103</v>
      </c>
    </row>
    <row r="34" customFormat="false" ht="15" hidden="false" customHeight="true" outlineLevel="0" collapsed="false">
      <c r="A34" s="27" t="s">
        <v>104</v>
      </c>
    </row>
    <row r="35" customFormat="false" ht="15" hidden="false" customHeight="true" outlineLevel="0" collapsed="false">
      <c r="A35" s="23" t="s">
        <v>105</v>
      </c>
      <c r="C35" s="28" t="s">
        <v>106</v>
      </c>
      <c r="D35" s="28"/>
      <c r="E35" s="28"/>
      <c r="F35" s="28"/>
      <c r="G35" s="28"/>
      <c r="H35" s="28"/>
      <c r="I35" s="28"/>
    </row>
    <row r="36" customFormat="false" ht="15" hidden="false" customHeight="true" outlineLevel="0" collapsed="false">
      <c r="A36" s="23" t="s">
        <v>107</v>
      </c>
      <c r="C36" s="28" t="s">
        <v>108</v>
      </c>
      <c r="D36" s="28"/>
      <c r="E36" s="28"/>
      <c r="F36" s="28"/>
      <c r="G36" s="28"/>
      <c r="H36" s="28"/>
      <c r="I36" s="28"/>
    </row>
    <row r="37" customFormat="false" ht="15" hidden="false" customHeight="true" outlineLevel="0" collapsed="false">
      <c r="A37" s="23" t="s">
        <v>109</v>
      </c>
      <c r="C37" s="28" t="s">
        <v>110</v>
      </c>
      <c r="D37" s="28"/>
      <c r="E37" s="28"/>
      <c r="F37" s="28"/>
      <c r="G37" s="28"/>
      <c r="H37" s="28"/>
      <c r="I37" s="28"/>
    </row>
    <row r="38" customFormat="false" ht="15" hidden="false" customHeight="true" outlineLevel="0" collapsed="false">
      <c r="A38" s="23" t="s">
        <v>111</v>
      </c>
      <c r="C38" s="28" t="s">
        <v>112</v>
      </c>
      <c r="D38" s="28"/>
      <c r="E38" s="28"/>
      <c r="F38" s="28"/>
      <c r="G38" s="28"/>
      <c r="H38" s="28"/>
      <c r="I38" s="28"/>
    </row>
    <row r="39" customFormat="false" ht="15" hidden="false" customHeight="true" outlineLevel="0" collapsed="false">
      <c r="A39" s="23" t="s">
        <v>113</v>
      </c>
      <c r="C39" s="28" t="s">
        <v>114</v>
      </c>
      <c r="D39" s="28"/>
      <c r="E39" s="28"/>
      <c r="F39" s="28"/>
      <c r="G39" s="28"/>
      <c r="H39" s="28"/>
      <c r="I39" s="28"/>
    </row>
    <row r="40" customFormat="false" ht="15" hidden="false" customHeight="true" outlineLevel="0" collapsed="false">
      <c r="A40" s="23" t="s">
        <v>115</v>
      </c>
      <c r="C40" s="28" t="s">
        <v>116</v>
      </c>
      <c r="D40" s="28"/>
      <c r="E40" s="28"/>
      <c r="F40" s="28"/>
      <c r="G40" s="28"/>
      <c r="H40" s="28"/>
      <c r="I40" s="28"/>
    </row>
    <row r="42" customFormat="false" ht="15.75" hidden="false" customHeight="true" outlineLevel="0" collapsed="false">
      <c r="A42" s="14" t="s">
        <v>117</v>
      </c>
    </row>
    <row r="43" customFormat="false" ht="57.75" hidden="false" customHeight="true" outlineLevel="0" collapsed="false">
      <c r="A43" s="15" t="s">
        <v>118</v>
      </c>
      <c r="B43" s="15"/>
      <c r="C43" s="15"/>
      <c r="D43" s="15"/>
      <c r="E43" s="15"/>
      <c r="F43" s="15"/>
      <c r="G43" s="15"/>
      <c r="H43" s="15"/>
      <c r="I43" s="15"/>
      <c r="J43" s="15"/>
      <c r="K43" s="15"/>
      <c r="L43" s="15"/>
    </row>
    <row r="45" customFormat="false" ht="15" hidden="false" customHeight="true" outlineLevel="0" collapsed="false">
      <c r="A45" s="29" t="s">
        <v>119</v>
      </c>
      <c r="B45" s="29" t="s">
        <v>3</v>
      </c>
      <c r="C45" s="29" t="s">
        <v>120</v>
      </c>
      <c r="D45" s="29" t="s">
        <v>121</v>
      </c>
    </row>
    <row r="46" customFormat="false" ht="85.5" hidden="false" customHeight="true" outlineLevel="0" collapsed="false">
      <c r="A46" s="7" t="s">
        <v>122</v>
      </c>
      <c r="B46" s="6" t="s">
        <v>123</v>
      </c>
      <c r="C46" s="7" t="s">
        <v>124</v>
      </c>
      <c r="D46" s="7" t="s">
        <v>125</v>
      </c>
      <c r="E46" s="7"/>
      <c r="F46" s="7"/>
      <c r="G46" s="7"/>
      <c r="H46" s="7"/>
      <c r="I46" s="7"/>
      <c r="J46" s="7"/>
      <c r="K46" s="7"/>
      <c r="L46" s="7"/>
    </row>
    <row r="47" customFormat="false" ht="85.5" hidden="false" customHeight="true" outlineLevel="0" collapsed="false">
      <c r="A47" s="7" t="s">
        <v>126</v>
      </c>
      <c r="B47" s="6" t="s">
        <v>127</v>
      </c>
      <c r="C47" s="7" t="s">
        <v>128</v>
      </c>
      <c r="D47" s="7" t="s">
        <v>129</v>
      </c>
      <c r="E47" s="7"/>
      <c r="F47" s="7"/>
      <c r="G47" s="7"/>
      <c r="H47" s="7"/>
      <c r="I47" s="7"/>
      <c r="J47" s="7"/>
      <c r="K47" s="7"/>
      <c r="L47" s="7"/>
    </row>
    <row r="48" customFormat="false" ht="85.5" hidden="false" customHeight="true" outlineLevel="0" collapsed="false">
      <c r="A48" s="7" t="s">
        <v>130</v>
      </c>
      <c r="B48" s="6" t="s">
        <v>131</v>
      </c>
      <c r="C48" s="7" t="s">
        <v>132</v>
      </c>
      <c r="D48" s="7" t="s">
        <v>133</v>
      </c>
      <c r="E48" s="7"/>
      <c r="F48" s="7"/>
      <c r="G48" s="7"/>
      <c r="H48" s="7"/>
      <c r="I48" s="7"/>
      <c r="J48" s="7"/>
      <c r="K48" s="7"/>
      <c r="L48" s="7"/>
    </row>
    <row r="50" customFormat="false" ht="15" hidden="false" customHeight="true" outlineLevel="0" collapsed="false">
      <c r="A50" s="27" t="s">
        <v>134</v>
      </c>
    </row>
    <row r="51" customFormat="false" ht="54" hidden="false" customHeight="true" outlineLevel="0" collapsed="false">
      <c r="A51" s="23" t="s">
        <v>135</v>
      </c>
      <c r="B51" s="28" t="s">
        <v>136</v>
      </c>
      <c r="C51" s="28"/>
      <c r="D51" s="28"/>
      <c r="E51" s="28"/>
      <c r="F51" s="28"/>
      <c r="G51" s="28"/>
      <c r="H51" s="28"/>
      <c r="I51" s="28"/>
      <c r="J51" s="28"/>
      <c r="K51" s="28"/>
      <c r="L51" s="28"/>
    </row>
    <row r="52" customFormat="false" ht="54" hidden="false" customHeight="true" outlineLevel="0" collapsed="false">
      <c r="A52" s="23" t="s">
        <v>137</v>
      </c>
      <c r="B52" s="28" t="s">
        <v>138</v>
      </c>
      <c r="C52" s="28"/>
      <c r="D52" s="28"/>
      <c r="E52" s="28"/>
      <c r="F52" s="28"/>
      <c r="G52" s="28"/>
      <c r="H52" s="28"/>
      <c r="I52" s="28"/>
      <c r="J52" s="28"/>
      <c r="K52" s="28"/>
      <c r="L52" s="28"/>
    </row>
    <row r="53" customFormat="false" ht="54" hidden="false" customHeight="true" outlineLevel="0" collapsed="false">
      <c r="A53" s="23" t="s">
        <v>139</v>
      </c>
      <c r="B53" s="28" t="s">
        <v>140</v>
      </c>
      <c r="C53" s="28"/>
      <c r="D53" s="28"/>
      <c r="E53" s="28"/>
      <c r="F53" s="28"/>
      <c r="G53" s="28"/>
      <c r="H53" s="28"/>
      <c r="I53" s="28"/>
      <c r="J53" s="28"/>
      <c r="K53" s="28"/>
      <c r="L53" s="28"/>
    </row>
    <row r="55" customFormat="false" ht="15" hidden="false" customHeight="true" outlineLevel="0" collapsed="false">
      <c r="A55" s="30" t="s">
        <v>141</v>
      </c>
    </row>
    <row r="56" customFormat="false" ht="111.75" hidden="false" customHeight="true" outlineLevel="0" collapsed="false">
      <c r="A56" s="31" t="s">
        <v>142</v>
      </c>
      <c r="B56" s="31"/>
      <c r="C56" s="31"/>
      <c r="D56" s="31"/>
      <c r="E56" s="31"/>
      <c r="F56" s="31"/>
      <c r="G56" s="31"/>
      <c r="H56" s="31"/>
      <c r="I56" s="31"/>
      <c r="J56" s="31"/>
      <c r="K56" s="31"/>
      <c r="L56" s="31"/>
    </row>
  </sheetData>
  <mergeCells count="15">
    <mergeCell ref="A18:L18"/>
    <mergeCell ref="C35:I35"/>
    <mergeCell ref="C36:I36"/>
    <mergeCell ref="C37:I37"/>
    <mergeCell ref="C38:I38"/>
    <mergeCell ref="C39:I39"/>
    <mergeCell ref="C40:I40"/>
    <mergeCell ref="A43:L43"/>
    <mergeCell ref="D46:L46"/>
    <mergeCell ref="D47:L47"/>
    <mergeCell ref="D48:L48"/>
    <mergeCell ref="B51:L51"/>
    <mergeCell ref="B52:L52"/>
    <mergeCell ref="B53:L53"/>
    <mergeCell ref="A56:L5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20"/>
    <col collapsed="false" customWidth="true" hidden="false" outlineLevel="0" max="3" min="3" style="1" width="66"/>
    <col collapsed="false" customWidth="true" hidden="false" outlineLevel="0" max="4" min="4" style="1" width="52"/>
    <col collapsed="false" customWidth="true" hidden="false" outlineLevel="0" max="5" min="5" style="1" width="46"/>
    <col collapsed="false" customWidth="true" hidden="false" outlineLevel="0" max="6" min="6" style="1" width="14"/>
  </cols>
  <sheetData>
    <row r="1" customFormat="false" ht="19.5" hidden="false" customHeight="true" outlineLevel="0" collapsed="false">
      <c r="A1" s="2" t="s">
        <v>143</v>
      </c>
    </row>
    <row r="2" customFormat="false" ht="25.5" hidden="false" customHeight="true" outlineLevel="0" collapsed="false">
      <c r="A2" s="3" t="s">
        <v>144</v>
      </c>
    </row>
    <row r="3" customFormat="false" ht="15" hidden="false" customHeight="true" outlineLevel="0" collapsed="false">
      <c r="A3" s="32" t="s">
        <v>145</v>
      </c>
      <c r="B3" s="33"/>
      <c r="C3" s="32" t="s">
        <v>146</v>
      </c>
      <c r="D3" s="33"/>
    </row>
    <row r="5" customFormat="false" ht="15" hidden="false" customHeight="true" outlineLevel="0" collapsed="false">
      <c r="A5" s="5" t="s">
        <v>119</v>
      </c>
      <c r="B5" s="5" t="s">
        <v>147</v>
      </c>
      <c r="C5" s="5" t="s">
        <v>148</v>
      </c>
      <c r="D5" s="5" t="s">
        <v>149</v>
      </c>
      <c r="E5" s="5" t="s">
        <v>150</v>
      </c>
      <c r="F5" s="5" t="s">
        <v>151</v>
      </c>
    </row>
    <row r="6" customFormat="false" ht="72" hidden="false" customHeight="true" outlineLevel="0" collapsed="false">
      <c r="A6" s="7" t="s">
        <v>122</v>
      </c>
      <c r="B6" s="6" t="s">
        <v>152</v>
      </c>
      <c r="C6" s="7" t="s">
        <v>153</v>
      </c>
      <c r="D6" s="7" t="s">
        <v>154</v>
      </c>
      <c r="E6" s="34"/>
      <c r="F6" s="34"/>
    </row>
    <row r="7" customFormat="false" ht="72" hidden="false" customHeight="true" outlineLevel="0" collapsed="false">
      <c r="A7" s="11" t="s">
        <v>126</v>
      </c>
      <c r="B7" s="10" t="s">
        <v>9</v>
      </c>
      <c r="C7" s="11" t="s">
        <v>155</v>
      </c>
      <c r="D7" s="11" t="s">
        <v>156</v>
      </c>
      <c r="E7" s="34"/>
      <c r="F7" s="34"/>
    </row>
    <row r="8" customFormat="false" ht="72" hidden="false" customHeight="true" outlineLevel="0" collapsed="false">
      <c r="A8" s="7" t="s">
        <v>130</v>
      </c>
      <c r="B8" s="6" t="s">
        <v>7</v>
      </c>
      <c r="C8" s="7" t="s">
        <v>157</v>
      </c>
      <c r="D8" s="7" t="s">
        <v>158</v>
      </c>
      <c r="E8" s="34"/>
      <c r="F8" s="34"/>
    </row>
    <row r="9" customFormat="false" ht="72" hidden="false" customHeight="true" outlineLevel="0" collapsed="false">
      <c r="A9" s="11" t="s">
        <v>159</v>
      </c>
      <c r="B9" s="10" t="s">
        <v>160</v>
      </c>
      <c r="C9" s="11" t="s">
        <v>161</v>
      </c>
      <c r="D9" s="11" t="s">
        <v>162</v>
      </c>
      <c r="E9" s="34"/>
      <c r="F9" s="34"/>
    </row>
    <row r="10" customFormat="false" ht="72" hidden="false" customHeight="true" outlineLevel="0" collapsed="false">
      <c r="A10" s="7" t="s">
        <v>163</v>
      </c>
      <c r="B10" s="6" t="s">
        <v>164</v>
      </c>
      <c r="C10" s="7" t="s">
        <v>165</v>
      </c>
      <c r="D10" s="7" t="s">
        <v>166</v>
      </c>
      <c r="E10" s="34"/>
      <c r="F10" s="34"/>
    </row>
    <row r="11" customFormat="false" ht="72" hidden="false" customHeight="true" outlineLevel="0" collapsed="false">
      <c r="A11" s="11" t="s">
        <v>167</v>
      </c>
      <c r="B11" s="10" t="s">
        <v>168</v>
      </c>
      <c r="C11" s="11" t="s">
        <v>169</v>
      </c>
      <c r="D11" s="11" t="s">
        <v>170</v>
      </c>
      <c r="E11" s="34"/>
      <c r="F11" s="34"/>
    </row>
    <row r="12" customFormat="false" ht="72" hidden="false" customHeight="true" outlineLevel="0" collapsed="false">
      <c r="A12" s="7" t="s">
        <v>171</v>
      </c>
      <c r="B12" s="6" t="s">
        <v>172</v>
      </c>
      <c r="C12" s="7" t="s">
        <v>173</v>
      </c>
      <c r="D12" s="7" t="s">
        <v>174</v>
      </c>
      <c r="E12" s="34"/>
      <c r="F12" s="34"/>
    </row>
    <row r="13" customFormat="false" ht="72" hidden="false" customHeight="true" outlineLevel="0" collapsed="false">
      <c r="A13" s="11" t="s">
        <v>175</v>
      </c>
      <c r="B13" s="10" t="s">
        <v>176</v>
      </c>
      <c r="C13" s="11" t="s">
        <v>177</v>
      </c>
      <c r="D13" s="11" t="s">
        <v>178</v>
      </c>
      <c r="E13" s="34"/>
      <c r="F13" s="34"/>
    </row>
    <row r="14" customFormat="false" ht="72" hidden="false" customHeight="true" outlineLevel="0" collapsed="false">
      <c r="A14" s="7" t="s">
        <v>179</v>
      </c>
      <c r="B14" s="6" t="s">
        <v>180</v>
      </c>
      <c r="C14" s="7" t="s">
        <v>181</v>
      </c>
      <c r="D14" s="7" t="s">
        <v>182</v>
      </c>
      <c r="E14" s="34"/>
      <c r="F14" s="34"/>
    </row>
    <row r="15" customFormat="false" ht="72" hidden="false" customHeight="true" outlineLevel="0" collapsed="false">
      <c r="A15" s="11" t="s">
        <v>183</v>
      </c>
      <c r="B15" s="10" t="s">
        <v>184</v>
      </c>
      <c r="C15" s="11" t="s">
        <v>185</v>
      </c>
      <c r="D15" s="11" t="s">
        <v>186</v>
      </c>
      <c r="E15" s="34"/>
      <c r="F15" s="34"/>
    </row>
    <row r="17" customFormat="false" ht="15" hidden="false" customHeight="true" outlineLevel="0" collapsed="false">
      <c r="A17" s="27" t="s">
        <v>187</v>
      </c>
    </row>
    <row r="18" customFormat="false" ht="51.75" hidden="false" customHeight="true" outlineLevel="0" collapsed="false">
      <c r="A18" s="35" t="s">
        <v>188</v>
      </c>
      <c r="B18" s="35"/>
      <c r="C18" s="35"/>
      <c r="D18" s="35"/>
      <c r="E18" s="35"/>
      <c r="F18" s="35"/>
    </row>
  </sheetData>
  <mergeCells count="1">
    <mergeCell ref="A18:F1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7"/>
    <col collapsed="false" customWidth="true" hidden="false" outlineLevel="0" max="2" min="2" style="1" width="52"/>
    <col collapsed="false" customWidth="true" hidden="false" outlineLevel="0" max="3" min="3" style="1" width="58"/>
    <col collapsed="false" customWidth="true" hidden="false" outlineLevel="0" max="4" min="4" style="1" width="62"/>
  </cols>
  <sheetData>
    <row r="1" customFormat="false" ht="19.5" hidden="false" customHeight="true" outlineLevel="0" collapsed="false">
      <c r="A1" s="2" t="s">
        <v>189</v>
      </c>
    </row>
    <row r="2" customFormat="false" ht="15" hidden="false" customHeight="true" outlineLevel="0" collapsed="false">
      <c r="A2" s="3" t="s">
        <v>190</v>
      </c>
    </row>
    <row r="4" customFormat="false" ht="15" hidden="false" customHeight="true" outlineLevel="0" collapsed="false">
      <c r="A4" s="29" t="s">
        <v>191</v>
      </c>
      <c r="B4" s="29" t="s">
        <v>13</v>
      </c>
      <c r="C4" s="29" t="s">
        <v>192</v>
      </c>
      <c r="D4" s="29" t="s">
        <v>193</v>
      </c>
    </row>
    <row r="5" customFormat="false" ht="36" hidden="false" customHeight="true" outlineLevel="0" collapsed="false">
      <c r="A5" s="7" t="s">
        <v>43</v>
      </c>
      <c r="B5" s="7" t="s">
        <v>194</v>
      </c>
      <c r="C5" s="7" t="s">
        <v>195</v>
      </c>
      <c r="D5" s="7" t="s">
        <v>196</v>
      </c>
    </row>
    <row r="6" customFormat="false" ht="36" hidden="false" customHeight="true" outlineLevel="0" collapsed="false">
      <c r="A6" s="7" t="s">
        <v>197</v>
      </c>
      <c r="B6" s="7" t="s">
        <v>198</v>
      </c>
      <c r="C6" s="7" t="s">
        <v>199</v>
      </c>
      <c r="D6" s="7" t="s">
        <v>200</v>
      </c>
    </row>
    <row r="7" customFormat="false" ht="36" hidden="false" customHeight="true" outlineLevel="0" collapsed="false">
      <c r="A7" s="7" t="s">
        <v>29</v>
      </c>
      <c r="B7" s="7" t="s">
        <v>201</v>
      </c>
      <c r="C7" s="7" t="s">
        <v>202</v>
      </c>
      <c r="D7" s="7" t="s">
        <v>203</v>
      </c>
    </row>
    <row r="8" customFormat="false" ht="36" hidden="false" customHeight="true" outlineLevel="0" collapsed="false">
      <c r="A8" s="7" t="s">
        <v>65</v>
      </c>
      <c r="B8" s="7" t="s">
        <v>204</v>
      </c>
      <c r="C8" s="7" t="s">
        <v>205</v>
      </c>
      <c r="D8" s="7" t="s">
        <v>206</v>
      </c>
    </row>
    <row r="9" customFormat="false" ht="36" hidden="false" customHeight="true" outlineLevel="0" collapsed="false">
      <c r="A9" s="7" t="s">
        <v>207</v>
      </c>
      <c r="B9" s="7" t="s">
        <v>208</v>
      </c>
      <c r="C9" s="7" t="s">
        <v>209</v>
      </c>
      <c r="D9" s="7" t="s">
        <v>210</v>
      </c>
    </row>
    <row r="10" customFormat="false" ht="36" hidden="false" customHeight="true" outlineLevel="0" collapsed="false">
      <c r="A10" s="7" t="s">
        <v>211</v>
      </c>
      <c r="B10" s="7" t="s">
        <v>212</v>
      </c>
      <c r="C10" s="7" t="s">
        <v>213</v>
      </c>
      <c r="D10" s="7" t="s">
        <v>214</v>
      </c>
    </row>
    <row r="11" customFormat="false" ht="36" hidden="false" customHeight="true" outlineLevel="0" collapsed="false">
      <c r="A11" s="7" t="s">
        <v>83</v>
      </c>
      <c r="B11" s="7" t="s">
        <v>215</v>
      </c>
      <c r="C11" s="7" t="s">
        <v>216</v>
      </c>
      <c r="D11" s="7" t="s">
        <v>217</v>
      </c>
    </row>
    <row r="12" customFormat="false" ht="36" hidden="false" customHeight="true" outlineLevel="0" collapsed="false">
      <c r="A12" s="7" t="s">
        <v>91</v>
      </c>
      <c r="B12" s="7" t="s">
        <v>218</v>
      </c>
      <c r="C12" s="7" t="s">
        <v>219</v>
      </c>
      <c r="D12" s="7" t="s">
        <v>220</v>
      </c>
    </row>
    <row r="13" customFormat="false" ht="36" hidden="false" customHeight="true" outlineLevel="0" collapsed="false">
      <c r="A13" s="7" t="s">
        <v>221</v>
      </c>
      <c r="B13" s="7" t="s">
        <v>222</v>
      </c>
      <c r="C13" s="7" t="s">
        <v>223</v>
      </c>
      <c r="D13" s="7" t="s">
        <v>224</v>
      </c>
    </row>
    <row r="14" customFormat="false" ht="36" hidden="false" customHeight="true" outlineLevel="0" collapsed="false">
      <c r="A14" s="7" t="s">
        <v>225</v>
      </c>
      <c r="B14" s="7" t="s">
        <v>226</v>
      </c>
      <c r="C14" s="7" t="s">
        <v>227</v>
      </c>
      <c r="D14" s="7" t="s">
        <v>228</v>
      </c>
    </row>
    <row r="17" customFormat="false" ht="15" hidden="false" customHeight="true" outlineLevel="0" collapsed="false">
      <c r="A17" s="30" t="s">
        <v>229</v>
      </c>
    </row>
    <row r="18" customFormat="false" ht="42" hidden="false" customHeight="true" outlineLevel="0" collapsed="false">
      <c r="A18" s="23" t="s">
        <v>230</v>
      </c>
      <c r="B18" s="28" t="s">
        <v>231</v>
      </c>
      <c r="C18" s="28"/>
      <c r="D18" s="28"/>
    </row>
    <row r="19" customFormat="false" ht="42" hidden="false" customHeight="true" outlineLevel="0" collapsed="false">
      <c r="A19" s="23" t="s">
        <v>232</v>
      </c>
      <c r="B19" s="28" t="s">
        <v>233</v>
      </c>
      <c r="C19" s="28"/>
      <c r="D19" s="28"/>
    </row>
    <row r="20" customFormat="false" ht="42" hidden="false" customHeight="true" outlineLevel="0" collapsed="false">
      <c r="A20" s="23" t="s">
        <v>234</v>
      </c>
      <c r="B20" s="28" t="s">
        <v>235</v>
      </c>
      <c r="C20" s="28"/>
      <c r="D20" s="28"/>
    </row>
    <row r="21" customFormat="false" ht="42" hidden="false" customHeight="true" outlineLevel="0" collapsed="false">
      <c r="A21" s="23" t="s">
        <v>236</v>
      </c>
      <c r="B21" s="28" t="s">
        <v>237</v>
      </c>
      <c r="C21" s="28"/>
      <c r="D21" s="28"/>
    </row>
    <row r="22" customFormat="false" ht="42" hidden="false" customHeight="true" outlineLevel="0" collapsed="false">
      <c r="A22" s="23" t="s">
        <v>238</v>
      </c>
      <c r="B22" s="28" t="s">
        <v>239</v>
      </c>
      <c r="C22" s="28"/>
      <c r="D22" s="28"/>
    </row>
    <row r="24" customFormat="false" ht="15" hidden="false" customHeight="true" outlineLevel="0" collapsed="false">
      <c r="A24" s="30" t="s">
        <v>240</v>
      </c>
    </row>
    <row r="25" customFormat="false" ht="27.75" hidden="false" customHeight="true" outlineLevel="0" collapsed="false">
      <c r="A25" s="23" t="s">
        <v>241</v>
      </c>
      <c r="B25" s="28" t="s">
        <v>242</v>
      </c>
      <c r="C25" s="28"/>
      <c r="D25" s="28"/>
    </row>
    <row r="26" customFormat="false" ht="27.75" hidden="false" customHeight="true" outlineLevel="0" collapsed="false">
      <c r="A26" s="23" t="s">
        <v>241</v>
      </c>
      <c r="B26" s="28" t="s">
        <v>243</v>
      </c>
      <c r="C26" s="28"/>
      <c r="D26" s="28"/>
    </row>
    <row r="27" customFormat="false" ht="27.75" hidden="false" customHeight="true" outlineLevel="0" collapsed="false">
      <c r="A27" s="23" t="s">
        <v>241</v>
      </c>
      <c r="B27" s="28" t="s">
        <v>244</v>
      </c>
      <c r="C27" s="28"/>
      <c r="D27" s="28"/>
    </row>
    <row r="28" customFormat="false" ht="27.75" hidden="false" customHeight="true" outlineLevel="0" collapsed="false">
      <c r="A28" s="23" t="s">
        <v>245</v>
      </c>
      <c r="B28" s="28" t="s">
        <v>246</v>
      </c>
      <c r="C28" s="28"/>
      <c r="D28" s="28"/>
    </row>
    <row r="29" customFormat="false" ht="27.75" hidden="false" customHeight="true" outlineLevel="0" collapsed="false">
      <c r="A29" s="23" t="s">
        <v>247</v>
      </c>
      <c r="B29" s="28" t="s">
        <v>248</v>
      </c>
      <c r="C29" s="28"/>
      <c r="D29" s="28"/>
    </row>
    <row r="30" customFormat="false" ht="27.75" hidden="false" customHeight="true" outlineLevel="0" collapsed="false">
      <c r="A30" s="23" t="s">
        <v>241</v>
      </c>
      <c r="B30" s="28" t="s">
        <v>249</v>
      </c>
      <c r="C30" s="28"/>
      <c r="D30" s="28"/>
    </row>
  </sheetData>
  <mergeCells count="11">
    <mergeCell ref="B18:D18"/>
    <mergeCell ref="B19:D19"/>
    <mergeCell ref="B20:D20"/>
    <mergeCell ref="B21:D21"/>
    <mergeCell ref="B22:D22"/>
    <mergeCell ref="B25:D25"/>
    <mergeCell ref="B26:D26"/>
    <mergeCell ref="B27:D27"/>
    <mergeCell ref="B28:D28"/>
    <mergeCell ref="B29:D29"/>
    <mergeCell ref="B30:D3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6"/>
    <col collapsed="false" customWidth="true" hidden="false" outlineLevel="0" max="2" min="2" style="1" width="20"/>
    <col collapsed="false" customWidth="true" hidden="false" outlineLevel="0" max="3" min="3" style="1" width="24"/>
    <col collapsed="false" customWidth="true" hidden="false" outlineLevel="0" max="4" min="4" style="1" width="40"/>
    <col collapsed="false" customWidth="true" hidden="false" outlineLevel="0" max="5" min="5" style="1" width="14"/>
    <col collapsed="false" customWidth="true" hidden="false" outlineLevel="0" max="6" min="6" style="1" width="20"/>
    <col collapsed="false" customWidth="true" hidden="false" outlineLevel="0" max="7" min="7" style="1" width="16"/>
    <col collapsed="false" customWidth="true" hidden="false" outlineLevel="0" max="8" min="8" style="1" width="22"/>
    <col collapsed="false" customWidth="true" hidden="false" outlineLevel="0" max="9" min="9" style="1" width="58"/>
  </cols>
  <sheetData>
    <row r="1" customFormat="false" ht="19.5" hidden="false" customHeight="true" outlineLevel="0" collapsed="false">
      <c r="A1" s="36" t="s">
        <v>250</v>
      </c>
    </row>
    <row r="2" customFormat="false" ht="15" hidden="false" customHeight="true" outlineLevel="0" collapsed="false">
      <c r="A2" s="37" t="s">
        <v>251</v>
      </c>
    </row>
    <row r="3" customFormat="false" ht="78" hidden="false" customHeight="true" outlineLevel="0" collapsed="false">
      <c r="A3" s="38" t="s">
        <v>252</v>
      </c>
      <c r="B3" s="38"/>
      <c r="C3" s="38"/>
      <c r="D3" s="38"/>
      <c r="E3" s="38"/>
      <c r="F3" s="38"/>
      <c r="G3" s="38"/>
      <c r="H3" s="38"/>
      <c r="I3" s="38"/>
    </row>
    <row r="5" customFormat="false" ht="23.25" hidden="false" customHeight="true" outlineLevel="0" collapsed="false">
      <c r="A5" s="39" t="s">
        <v>191</v>
      </c>
      <c r="B5" s="39" t="s">
        <v>253</v>
      </c>
      <c r="C5" s="39" t="s">
        <v>3</v>
      </c>
      <c r="D5" s="39" t="s">
        <v>254</v>
      </c>
      <c r="E5" s="39" t="s">
        <v>255</v>
      </c>
      <c r="F5" s="39" t="s">
        <v>256</v>
      </c>
      <c r="G5" s="39" t="s">
        <v>257</v>
      </c>
      <c r="H5" s="39" t="s">
        <v>4</v>
      </c>
      <c r="I5" s="39" t="s">
        <v>258</v>
      </c>
    </row>
    <row r="6" customFormat="false" ht="91.5" hidden="false" customHeight="true" outlineLevel="0" collapsed="false">
      <c r="A6" s="7" t="s">
        <v>259</v>
      </c>
      <c r="B6" s="7" t="s">
        <v>260</v>
      </c>
      <c r="C6" s="7" t="s">
        <v>261</v>
      </c>
      <c r="D6" s="7" t="s">
        <v>262</v>
      </c>
      <c r="E6" s="7" t="s">
        <v>263</v>
      </c>
      <c r="F6" s="7" t="s">
        <v>264</v>
      </c>
      <c r="G6" s="7" t="s">
        <v>265</v>
      </c>
      <c r="H6" s="7" t="s">
        <v>266</v>
      </c>
      <c r="I6" s="7" t="s">
        <v>267</v>
      </c>
    </row>
    <row r="7" customFormat="false" ht="91.5" hidden="false" customHeight="true" outlineLevel="0" collapsed="false">
      <c r="A7" s="11" t="s">
        <v>268</v>
      </c>
      <c r="B7" s="11" t="s">
        <v>269</v>
      </c>
      <c r="C7" s="11" t="s">
        <v>270</v>
      </c>
      <c r="D7" s="11" t="s">
        <v>271</v>
      </c>
      <c r="E7" s="11" t="s">
        <v>263</v>
      </c>
      <c r="F7" s="11" t="s">
        <v>264</v>
      </c>
      <c r="G7" s="11" t="s">
        <v>265</v>
      </c>
      <c r="H7" s="11" t="s">
        <v>272</v>
      </c>
      <c r="I7" s="11" t="s">
        <v>273</v>
      </c>
    </row>
    <row r="8" customFormat="false" ht="91.5" hidden="false" customHeight="true" outlineLevel="0" collapsed="false">
      <c r="A8" s="7" t="s">
        <v>274</v>
      </c>
      <c r="B8" s="7" t="s">
        <v>275</v>
      </c>
      <c r="C8" s="7" t="s">
        <v>276</v>
      </c>
      <c r="D8" s="7" t="s">
        <v>277</v>
      </c>
      <c r="E8" s="7" t="s">
        <v>278</v>
      </c>
      <c r="F8" s="7" t="s">
        <v>279</v>
      </c>
      <c r="G8" s="7" t="s">
        <v>265</v>
      </c>
      <c r="H8" s="7" t="s">
        <v>272</v>
      </c>
      <c r="I8" s="7" t="s">
        <v>280</v>
      </c>
    </row>
    <row r="9" customFormat="false" ht="91.5" hidden="false" customHeight="true" outlineLevel="0" collapsed="false">
      <c r="A9" s="11" t="s">
        <v>281</v>
      </c>
      <c r="B9" s="11" t="s">
        <v>282</v>
      </c>
      <c r="C9" s="11" t="s">
        <v>283</v>
      </c>
      <c r="D9" s="11" t="s">
        <v>284</v>
      </c>
      <c r="E9" s="11" t="s">
        <v>285</v>
      </c>
      <c r="F9" s="11" t="s">
        <v>286</v>
      </c>
      <c r="G9" s="11" t="s">
        <v>287</v>
      </c>
      <c r="H9" s="11" t="s">
        <v>272</v>
      </c>
      <c r="I9" s="11" t="s">
        <v>288</v>
      </c>
    </row>
    <row r="10" customFormat="false" ht="91.5" hidden="false" customHeight="true" outlineLevel="0" collapsed="false">
      <c r="A10" s="7" t="s">
        <v>289</v>
      </c>
      <c r="B10" s="7" t="s">
        <v>290</v>
      </c>
      <c r="C10" s="7" t="s">
        <v>291</v>
      </c>
      <c r="D10" s="7" t="s">
        <v>292</v>
      </c>
      <c r="E10" s="7" t="s">
        <v>293</v>
      </c>
      <c r="F10" s="7" t="s">
        <v>286</v>
      </c>
      <c r="G10" s="7" t="s">
        <v>294</v>
      </c>
      <c r="H10" s="7" t="s">
        <v>272</v>
      </c>
      <c r="I10" s="7" t="s">
        <v>295</v>
      </c>
    </row>
    <row r="11" customFormat="false" ht="91.5" hidden="false" customHeight="true" outlineLevel="0" collapsed="false">
      <c r="A11" s="11" t="s">
        <v>296</v>
      </c>
      <c r="B11" s="11" t="s">
        <v>297</v>
      </c>
      <c r="C11" s="11" t="s">
        <v>298</v>
      </c>
      <c r="D11" s="11" t="s">
        <v>299</v>
      </c>
      <c r="E11" s="11" t="s">
        <v>300</v>
      </c>
      <c r="F11" s="11" t="s">
        <v>294</v>
      </c>
      <c r="G11" s="11" t="s">
        <v>294</v>
      </c>
      <c r="H11" s="11" t="s">
        <v>272</v>
      </c>
      <c r="I11" s="11" t="s">
        <v>301</v>
      </c>
    </row>
    <row r="13" customFormat="false" ht="15" hidden="false" customHeight="true" outlineLevel="0" collapsed="false">
      <c r="A13" s="40" t="s">
        <v>302</v>
      </c>
    </row>
    <row r="14" customFormat="false" ht="23.25" hidden="false" customHeight="true" outlineLevel="0" collapsed="false">
      <c r="A14" s="39" t="s">
        <v>191</v>
      </c>
      <c r="B14" s="39" t="s">
        <v>303</v>
      </c>
      <c r="C14" s="39" t="s">
        <v>3</v>
      </c>
      <c r="D14" s="39" t="s">
        <v>304</v>
      </c>
      <c r="E14" s="39" t="s">
        <v>255</v>
      </c>
      <c r="F14" s="39"/>
      <c r="G14" s="39"/>
      <c r="H14" s="39"/>
      <c r="I14" s="39" t="s">
        <v>258</v>
      </c>
    </row>
    <row r="15" customFormat="false" ht="79.5" hidden="false" customHeight="true" outlineLevel="0" collapsed="false">
      <c r="A15" s="7" t="s">
        <v>305</v>
      </c>
      <c r="B15" s="7" t="s">
        <v>306</v>
      </c>
      <c r="C15" s="7" t="s">
        <v>307</v>
      </c>
      <c r="D15" s="7" t="s">
        <v>308</v>
      </c>
      <c r="E15" s="7" t="s">
        <v>309</v>
      </c>
      <c r="F15" s="7"/>
      <c r="G15" s="7"/>
      <c r="H15" s="7"/>
      <c r="I15" s="7" t="s">
        <v>310</v>
      </c>
    </row>
    <row r="16" customFormat="false" ht="79.5" hidden="false" customHeight="true" outlineLevel="0" collapsed="false">
      <c r="A16" s="7" t="s">
        <v>311</v>
      </c>
      <c r="B16" s="7" t="s">
        <v>312</v>
      </c>
      <c r="C16" s="7" t="s">
        <v>313</v>
      </c>
      <c r="D16" s="7" t="s">
        <v>314</v>
      </c>
      <c r="E16" s="7" t="s">
        <v>315</v>
      </c>
      <c r="F16" s="7"/>
      <c r="G16" s="7"/>
      <c r="H16" s="7"/>
      <c r="I16" s="7" t="s">
        <v>316</v>
      </c>
    </row>
    <row r="18" customFormat="false" ht="15" hidden="false" customHeight="true" outlineLevel="0" collapsed="false">
      <c r="A18" s="40" t="s">
        <v>317</v>
      </c>
    </row>
    <row r="19" customFormat="false" ht="30" hidden="false" customHeight="true" outlineLevel="0" collapsed="false">
      <c r="A19" s="41" t="s">
        <v>122</v>
      </c>
      <c r="B19" s="28" t="s">
        <v>318</v>
      </c>
      <c r="C19" s="28"/>
      <c r="D19" s="28"/>
      <c r="E19" s="28"/>
      <c r="F19" s="28"/>
      <c r="G19" s="28"/>
      <c r="H19" s="28"/>
      <c r="I19" s="28"/>
    </row>
    <row r="20" customFormat="false" ht="30" hidden="false" customHeight="true" outlineLevel="0" collapsed="false">
      <c r="A20" s="41" t="s">
        <v>126</v>
      </c>
      <c r="B20" s="28" t="s">
        <v>319</v>
      </c>
      <c r="C20" s="28"/>
      <c r="D20" s="28"/>
      <c r="E20" s="28"/>
      <c r="F20" s="28"/>
      <c r="G20" s="28"/>
      <c r="H20" s="28"/>
      <c r="I20" s="28"/>
    </row>
    <row r="21" customFormat="false" ht="30" hidden="false" customHeight="true" outlineLevel="0" collapsed="false">
      <c r="A21" s="41" t="s">
        <v>130</v>
      </c>
      <c r="B21" s="28" t="s">
        <v>320</v>
      </c>
      <c r="C21" s="28"/>
      <c r="D21" s="28"/>
      <c r="E21" s="28"/>
      <c r="F21" s="28"/>
      <c r="G21" s="28"/>
      <c r="H21" s="28"/>
      <c r="I21" s="28"/>
    </row>
    <row r="22" customFormat="false" ht="30" hidden="false" customHeight="true" outlineLevel="0" collapsed="false">
      <c r="A22" s="41" t="s">
        <v>159</v>
      </c>
      <c r="B22" s="28" t="s">
        <v>321</v>
      </c>
      <c r="C22" s="28"/>
      <c r="D22" s="28"/>
      <c r="E22" s="28"/>
      <c r="F22" s="28"/>
      <c r="G22" s="28"/>
      <c r="H22" s="28"/>
      <c r="I22" s="28"/>
    </row>
    <row r="24" customFormat="false" ht="15" hidden="false" customHeight="true" outlineLevel="0" collapsed="false">
      <c r="A24" s="40" t="s">
        <v>322</v>
      </c>
    </row>
    <row r="25" customFormat="false" ht="25.5" hidden="false" customHeight="true" outlineLevel="0" collapsed="false">
      <c r="A25" s="42" t="s">
        <v>323</v>
      </c>
      <c r="B25" s="41" t="s">
        <v>230</v>
      </c>
      <c r="C25" s="28" t="s">
        <v>324</v>
      </c>
      <c r="D25" s="28"/>
      <c r="E25" s="28"/>
      <c r="F25" s="28"/>
      <c r="G25" s="28"/>
      <c r="H25" s="28"/>
      <c r="I25" s="28"/>
    </row>
    <row r="26" customFormat="false" ht="25.5" hidden="false" customHeight="true" outlineLevel="0" collapsed="false">
      <c r="A26" s="42" t="s">
        <v>323</v>
      </c>
      <c r="B26" s="41" t="s">
        <v>325</v>
      </c>
      <c r="C26" s="28" t="s">
        <v>326</v>
      </c>
      <c r="D26" s="28"/>
      <c r="E26" s="28"/>
      <c r="F26" s="28"/>
      <c r="G26" s="28"/>
      <c r="H26" s="28"/>
      <c r="I26" s="28"/>
    </row>
    <row r="27" customFormat="false" ht="25.5" hidden="false" customHeight="true" outlineLevel="0" collapsed="false">
      <c r="A27" s="42" t="s">
        <v>323</v>
      </c>
      <c r="B27" s="41" t="s">
        <v>327</v>
      </c>
      <c r="C27" s="28" t="s">
        <v>328</v>
      </c>
      <c r="D27" s="28"/>
      <c r="E27" s="28"/>
      <c r="F27" s="28"/>
      <c r="G27" s="28"/>
      <c r="H27" s="28"/>
      <c r="I27" s="28"/>
    </row>
    <row r="28" customFormat="false" ht="25.5" hidden="false" customHeight="true" outlineLevel="0" collapsed="false">
      <c r="A28" s="42" t="s">
        <v>323</v>
      </c>
      <c r="B28" s="41" t="s">
        <v>329</v>
      </c>
      <c r="C28" s="28" t="s">
        <v>330</v>
      </c>
      <c r="D28" s="28"/>
      <c r="E28" s="28"/>
      <c r="F28" s="28"/>
      <c r="G28" s="28"/>
      <c r="H28" s="28"/>
      <c r="I28" s="28"/>
    </row>
    <row r="30" customFormat="false" ht="15" hidden="false" customHeight="true" outlineLevel="0" collapsed="false">
      <c r="A30" s="40" t="s">
        <v>240</v>
      </c>
    </row>
    <row r="31" customFormat="false" ht="25.5" hidden="false" customHeight="true" outlineLevel="0" collapsed="false">
      <c r="A31" s="41" t="s">
        <v>241</v>
      </c>
      <c r="B31" s="28" t="s">
        <v>331</v>
      </c>
      <c r="C31" s="28"/>
      <c r="D31" s="28"/>
      <c r="E31" s="28"/>
      <c r="F31" s="28"/>
      <c r="G31" s="28"/>
      <c r="H31" s="28"/>
      <c r="I31" s="28"/>
    </row>
    <row r="32" customFormat="false" ht="25.5" hidden="false" customHeight="true" outlineLevel="0" collapsed="false">
      <c r="A32" s="41" t="s">
        <v>245</v>
      </c>
      <c r="B32" s="28" t="s">
        <v>332</v>
      </c>
      <c r="C32" s="28"/>
      <c r="D32" s="28"/>
      <c r="E32" s="28"/>
      <c r="F32" s="28"/>
      <c r="G32" s="28"/>
      <c r="H32" s="28"/>
      <c r="I32" s="28"/>
    </row>
    <row r="33" customFormat="false" ht="25.5" hidden="false" customHeight="true" outlineLevel="0" collapsed="false">
      <c r="A33" s="41" t="s">
        <v>247</v>
      </c>
      <c r="B33" s="28" t="s">
        <v>333</v>
      </c>
      <c r="C33" s="28"/>
      <c r="D33" s="28"/>
      <c r="E33" s="28"/>
      <c r="F33" s="28"/>
      <c r="G33" s="28"/>
      <c r="H33" s="28"/>
      <c r="I33" s="28"/>
    </row>
    <row r="35" customFormat="false" ht="15" hidden="false" customHeight="true" outlineLevel="0" collapsed="false">
      <c r="A35" s="40" t="s">
        <v>334</v>
      </c>
    </row>
    <row r="36" customFormat="false" ht="25.5" hidden="false" customHeight="true" outlineLevel="0" collapsed="false">
      <c r="A36" s="41" t="s">
        <v>335</v>
      </c>
      <c r="B36" s="28" t="s">
        <v>336</v>
      </c>
      <c r="C36" s="28"/>
      <c r="D36" s="28"/>
      <c r="E36" s="28" t="s">
        <v>337</v>
      </c>
      <c r="F36" s="28"/>
      <c r="G36" s="28"/>
      <c r="H36" s="28"/>
      <c r="I36" s="28"/>
    </row>
    <row r="37" customFormat="false" ht="25.5" hidden="false" customHeight="true" outlineLevel="0" collapsed="false">
      <c r="A37" s="41" t="s">
        <v>338</v>
      </c>
      <c r="B37" s="28" t="s">
        <v>339</v>
      </c>
      <c r="C37" s="28"/>
      <c r="D37" s="28"/>
      <c r="E37" s="28" t="s">
        <v>340</v>
      </c>
      <c r="F37" s="28"/>
      <c r="G37" s="28"/>
      <c r="H37" s="28"/>
      <c r="I37" s="28"/>
    </row>
    <row r="38" customFormat="false" ht="25.5" hidden="false" customHeight="true" outlineLevel="0" collapsed="false">
      <c r="A38" s="41" t="s">
        <v>341</v>
      </c>
      <c r="B38" s="28" t="s">
        <v>342</v>
      </c>
      <c r="C38" s="28"/>
      <c r="D38" s="28"/>
      <c r="E38" s="28" t="s">
        <v>343</v>
      </c>
      <c r="F38" s="28"/>
      <c r="G38" s="28"/>
      <c r="H38" s="28"/>
      <c r="I38" s="28"/>
    </row>
    <row r="39" customFormat="false" ht="25.5" hidden="false" customHeight="true" outlineLevel="0" collapsed="false">
      <c r="A39" s="41" t="s">
        <v>344</v>
      </c>
      <c r="B39" s="28" t="s">
        <v>345</v>
      </c>
      <c r="C39" s="28"/>
      <c r="D39" s="28"/>
      <c r="E39" s="28" t="s">
        <v>346</v>
      </c>
      <c r="F39" s="28"/>
      <c r="G39" s="28"/>
      <c r="H39" s="28"/>
      <c r="I39" s="28"/>
    </row>
  </sheetData>
  <mergeCells count="20">
    <mergeCell ref="A3:I3"/>
    <mergeCell ref="B19:I19"/>
    <mergeCell ref="B20:I20"/>
    <mergeCell ref="B21:I21"/>
    <mergeCell ref="B22:I22"/>
    <mergeCell ref="C25:I25"/>
    <mergeCell ref="C26:I26"/>
    <mergeCell ref="C27:I27"/>
    <mergeCell ref="C28:I28"/>
    <mergeCell ref="B31:I31"/>
    <mergeCell ref="B32:I32"/>
    <mergeCell ref="B33:I33"/>
    <mergeCell ref="B36:D36"/>
    <mergeCell ref="E36:I36"/>
    <mergeCell ref="B37:D37"/>
    <mergeCell ref="E37:I37"/>
    <mergeCell ref="B38:D38"/>
    <mergeCell ref="E38:I38"/>
    <mergeCell ref="B39:D39"/>
    <mergeCell ref="E39:I3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2026-07-26T10:49:52Z</dcterms:created>
  <dc:creator>openpyxl</dc:creator>
  <dc:description/>
  <dc:language>en-US</dc:language>
  <cp:lastModifiedBy/>
  <dcterms:modified xsi:type="dcterms:W3CDTF">2026-09-15T13:15:13Z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