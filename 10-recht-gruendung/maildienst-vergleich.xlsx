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leitung" sheetId="1" state="visible" r:id="rId3"/>
    <sheet name="Übersicht" sheetId="2" state="visible" r:id="rId4"/>
    <sheet name="Kriterien" sheetId="3" state="visible" r:id="rId5"/>
    <sheet name="Testmail-Prüfung" sheetId="4" state="visible" r:id="rId6"/>
    <sheet name="Quellen" sheetId="5" state="visible" r:id="rId7"/>
  </sheets>
  <definedNames>
    <definedName function="false" hidden="true" localSheetId="2" name="_xlnm._FilterDatabase" vbProcedure="false">Kriterien!$A$5:$J$75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<sst xmlns="http://schemas.openxmlformats.org/spreadsheetml/2006/main" count="821" uniqueCount="249">
  <si>
    <t xml:space="preserve">Maildienst-Vergleich — EU, ohne Öffnungs- und Klickmessung</t>
  </si>
  <si>
    <t xml:space="preserve">Aufgabe A-42 · erstellt 16.09.2026 · Rolle: Datenschutz-Beschaffer · Grundlage: 10-recht-gruendung/datenschutzhinweis-warteliste-ENTWURF.md (A-03), 30-marketing-kanaele/newsletter/newsletter-geruest.md (A-17), 30-marketing-kanaele/terminservice-konzept.md (A-16), 70-entwicklung-ab-monat-4/code-planer.md · Alle Angaben per Websuche am 16.09.2026 abgerufen. Kein Vertrag, keine Anmeldung.</t>
  </si>
  <si>
    <t xml:space="preserve">LEGENDE: Gelb mit blauer Schrift = von den Gründern zu pflegen (Status nach Bestätigung, Datum, Notiz, Testmail). Blau hinterlegt = rechnet sich. Status: „erfüllt“ = mit Quelle belegt · „nicht erfüllt“ = mit Quelle widerlegt · „offen“ = nicht belegt oder nicht geprüft.</t>
  </si>
  <si>
    <t xml:space="preserve">Wozu diese Datei</t>
  </si>
  <si>
    <t xml:space="preserve">Der Datenschutzhinweis (A-03) und das Newsletter-Gerüst (A-17) versprechen: kein Zählpixel, keine umgeleiteten Links, Double-Opt-in, Abmeldung mit einem Klick, Verarbeitung in der EU. Diese Datei prüft, welcher Maildienst das technisch einhalten lässt — mit Quelle und Abrufdatum je Angabe.</t>
  </si>
  <si>
    <t xml:space="preserve">Sieben Dienste: vier Cloud-Dienste großer Anbieter, zwei kleinere Cloud-Dienste mit quelloffener Software und listmonk als Software zum Selbstbetrieb.</t>
  </si>
  <si>
    <t xml:space="preserve">Nichts ist beauftragt, nichts abgeschlossen. Der Vertrag ist eine Menschen-Handlung und fällt in V4, vor der Freischaltung der Warteliste (Mai 2028).</t>
  </si>
  <si>
    <t xml:space="preserve">So benutzt ihr sie</t>
  </si>
  <si>
    <t xml:space="preserve">1.</t>
  </si>
  <si>
    <t xml:space="preserve">Blatt „Übersicht“ lesen: Dort steht je Dienst, wie viele Muss-Kriterien belegt, widerlegt oder offen sind.</t>
  </si>
  <si>
    <t xml:space="preserve">2.</t>
  </si>
  <si>
    <t xml:space="preserve">Für die engere Wahl die offenen Muss-Kriterien beim Anbieter schriftlich klären, im Blatt „Kriterien“ den Status anpassen und das Datum in „Beim Anbieter bestätigt am“ eintragen.</t>
  </si>
  <si>
    <t xml:space="preserve">3.</t>
  </si>
  <si>
    <t xml:space="preserve">Mit einem Testkonto eine Testmail an die eigene Adresse schicken und nach dem Blatt „Testmail-Prüfung“ prüfen. Erst ein bestandener Test belegt, dass die Einstellung wirkt.</t>
  </si>
  <si>
    <t xml:space="preserve">4.</t>
  </si>
  <si>
    <t xml:space="preserve">Einen Dienst mit einem widerlegten Muss-Kriterium nicht vorschlagen und nicht beauftragen.</t>
  </si>
  <si>
    <t xml:space="preserve">5.</t>
  </si>
  <si>
    <t xml:space="preserve">Die Entscheidung trägt ihr in Entscheidung Nr. 63 ein.</t>
  </si>
  <si>
    <t xml:space="preserve">Muss- und Soll-Kriterien</t>
  </si>
  <si>
    <t xml:space="preserve">Kriterium</t>
  </si>
  <si>
    <t xml:space="preserve">Art</t>
  </si>
  <si>
    <t xml:space="preserve">Warum</t>
  </si>
  <si>
    <t xml:space="preserve">K1 · Verarbeitung in der EU (Sitz, Server)</t>
  </si>
  <si>
    <t xml:space="preserve">Muss</t>
  </si>
  <si>
    <t xml:space="preserve">Handbuch A: Hosting in Deutschland oder der EU; A-03 und A-17 setzen einen „[MAILDIENST, EU]“ voraus.</t>
  </si>
  <si>
    <t xml:space="preserve">K2 · Keine US-Unternehmen in der Verarbeitungskette</t>
  </si>
  <si>
    <t xml:space="preserve">Handbuch A, „Nicht verhandelbar“: keine US-Auftragsverarbeiter — „ein einziger Ausrutscher entwertet die gesamte Positionierung“ (vgl. Nr. 58).</t>
  </si>
  <si>
    <t xml:space="preserve">K3 · Vertrag nach Art. 28 DSGVO</t>
  </si>
  <si>
    <t xml:space="preserve">Auftragsverarbeitung braucht einen Vertrag.</t>
  </si>
  <si>
    <t xml:space="preserve">K4 · Double-Opt-in mit Nachweis (Zeitpunkt, IP-Adresse)</t>
  </si>
  <si>
    <t xml:space="preserve">Datenschutzhinweis A-03. Nach VG Düsseldorf (27.07.2026) reicht das allein nicht — Einwilligungstext, Formularversion und Bestätigungsmail zusätzlich dokumentieren (Blatt „Anleitung“, Befund 4).</t>
  </si>
  <si>
    <t xml:space="preserve">K5 · Abmeldung mit einem Klick</t>
  </si>
  <si>
    <t xml:space="preserve">A-03; Abmeldelink in jeder Mail, möglichst auch als Kopfzeile für den Ein-Klick-Abmeldeknopf der Mailprogramme.</t>
  </si>
  <si>
    <t xml:space="preserve">K6 · Öffnungs- und Klickmessung für das ganze Konto abschaltbar</t>
  </si>
  <si>
    <t xml:space="preserve">Versprechen „kein Zählpixel“ (A-02, A-17). Anonymisieren genügt nicht.</t>
  </si>
  <si>
    <t xml:space="preserve">K7 · Versand als reiner Text, ohne Bilder</t>
  </si>
  <si>
    <t xml:space="preserve">Newsletter-Gerüst A-17: keine Bilder, damit beim Öffnen nichts nachgeladen wird.</t>
  </si>
  <si>
    <t xml:space="preserve">K8 · Segmentierung nach Postleitzahl</t>
  </si>
  <si>
    <t xml:space="preserve">Soll</t>
  </si>
  <si>
    <t xml:space="preserve">Sonderausgabe S2 „Start in deiner Gegend“ (A-17).</t>
  </si>
  <si>
    <t xml:space="preserve">K9 · Eingang per Webhook für termine@</t>
  </si>
  <si>
    <t xml:space="preserve">Terminservice A-16, Code-Planer: „E-Mail-Ingest für termine@ (EU)“.</t>
  </si>
  <si>
    <t xml:space="preserve">K10 · Preis bei 1.000 / 5.000 / 20.000 Empfängern</t>
  </si>
  <si>
    <t xml:space="preserve">Info</t>
  </si>
  <si>
    <t xml:space="preserve">Kostenvergleich; ein Versand je Monat angenommen (Nr. 53).</t>
  </si>
  <si>
    <t xml:space="preserve">Befunde</t>
  </si>
  <si>
    <t xml:space="preserve">Befund</t>
  </si>
  <si>
    <t xml:space="preserve">Was daraus folgt</t>
  </si>
  <si>
    <t xml:space="preserve">Quelle</t>
  </si>
  <si>
    <t xml:space="preserve">1 · Kein Dienst erfüllt nach öffentlichen Angaben nachweislich alle Muss-Kriterien. Bei jedem bleibt mindestens ein Muss-Punkt offen — meist Ein-Klick-Abmeldung und reiner Text, die in dieser Recherche nicht geprüft werden konnten.</t>
  </si>
  <si>
    <t xml:space="preserve">Das Fehlen ist benannt, wie die Aufgabe verlangt. Am nächsten kommen rapidmail (Tracking kontoweit aus, deutsche Hosting-Unternehmen laut AVV-Muster 2022), Mailcoach Cloud (EU-eigene Infrastruktur, Tracking standardmäßig aus) und listmonk im Selbstbetrieb (globaler Schalter seit Februar 2026). Offene Punkte bei diesen dreien zuerst klären.</t>
  </si>
  <si>
    <t xml:space="preserve">Blatt „Übersicht“</t>
  </si>
  <si>
    <t xml:space="preserve">2 · Mailjet lässt die Messung kontoweit abschalten, betreibt seine Infrastruktur aber auf der Google Cloud Platform.</t>
  </si>
  <si>
    <t xml:space="preserve">Mit Google steht ein US-Unternehmen in der Kette — nach der Projektregel ausgeschlossen, auch bei Rechenzentren in der EU (vgl. Nr. 58).</t>
  </si>
  <si>
    <t xml:space="preserve">Q10, Q11</t>
  </si>
  <si>
    <t xml:space="preserve">3 · Für Brevo und CleverReach ist nur eine Anonymisierung der Messung dokumentiert, keine Abschaltung.</t>
  </si>
  <si>
    <t xml:space="preserve">Nicht vorschlagen, solange der Anbieter die vollständige Abschaltung nicht schriftlich bestätigt und die Testmail sie nicht zeigt.</t>
  </si>
  <si>
    <t xml:space="preserve">Q6, Q8</t>
  </si>
  <si>
    <t xml:space="preserve">4 · Double-Opt-in-Nachweis: Nach einem Bericht über ein Urteil des VG Düsseldorf vom 27.07.2026 (Az. 29 K 9714/24) beweisen IP-Adresse und Zeitstempel allein nicht, wer eingewilligt hat. Dokumentiert sein sollen die eingetragene Adresse, der Zeitpunkt der Anmeldung, der angezeigte Einwilligungstext, der Versand der Bestätigungsmail, der Klick auf den Link und die Formularversion.</t>
  </si>
  <si>
    <t xml:space="preserve">Ein Maildienst speichert davon meist nur einen Teil (rapidmail: IP-Adresse und Zeit von Anmeldung und Bestätigung). Einwilligungstext, Formularversion und Bestätigungsmail müssen wir versioniert selbst ablegen. Frage an den Anwalt (A-03, Punkt 3); Sekundärquelle — vor Verwendung an der Entscheidung prüfen.</t>
  </si>
  <si>
    <t xml:space="preserve">Q4, Q21</t>
  </si>
  <si>
    <t xml:space="preserve">5 · Abschalten hat Nebenwirkungen: Bei rapidmail entfallen dann A/B-Tests, Follow-up-Mailings und Automationen.</t>
  </si>
  <si>
    <t xml:space="preserve">Für Wartelisten- und Monatsmails unerheblich; für spätere Automationen einplanen.</t>
  </si>
  <si>
    <t xml:space="preserve">Q1</t>
  </si>
  <si>
    <t xml:space="preserve">6 · Mailcoach nennt als eigenen Versanddienst auch Amazon SES und weitere Anbieter.</t>
  </si>
  <si>
    <t xml:space="preserve">Nur den Versand von Mailcoach selbst nutzen — sonst steht wieder ein US-Konzern in der Kette.</t>
  </si>
  <si>
    <t xml:space="preserve">Q14</t>
  </si>
  <si>
    <t xml:space="preserve">7 · Für den Eingang termine@ ist keiner der geprüften Dienste als Lösung belegt.</t>
  </si>
  <si>
    <t xml:space="preserve">Eingang getrennt lösen, etwa über ein Postfach bei einem EU-Anbieter, das das Backend abruft (Code-Planer: „E-Mail-Ingest für termine@ (EU)“). Entscheidung Nr. 63 (c).</t>
  </si>
  <si>
    <t xml:space="preserve">Code-Planer</t>
  </si>
  <si>
    <t xml:space="preserve">8 · Preisseiten laden Preise teils dynamisch und sind maschinell nicht lesbar (rapidmail).</t>
  </si>
  <si>
    <t xml:space="preserve">Preise im Browser ablesen und in Spalte „Angabe“ ergänzen; nur Mailcoach und Keila sind hier beziffert.</t>
  </si>
  <si>
    <t xml:space="preserve">Q5, Q14, Q16</t>
  </si>
  <si>
    <t xml:space="preserve">9 · Mailjet fasst die Linie zweier europäischer Aufsichtsbehörden (CNIL, Garante) zusammen: Zählpixel brauchen grundsätzlich eine vorherige Einwilligung.</t>
  </si>
  <si>
    <t xml:space="preserve">Bestärkt die Entscheidung gegen Zählpixel; für Deutschland gilt § 25 TDDDG (Handbuch A).</t>
  </si>
  <si>
    <t xml:space="preserve">Q10</t>
  </si>
  <si>
    <t xml:space="preserve">Übersicht — welcher Dienst bleibt übrig?</t>
  </si>
  <si>
    <t xml:space="preserve">Alles auf diesem Blatt rechnet sich aus dem Blatt „Kriterien“. „Ausgeschlossen“ heißt: mindestens ein Muss-Kriterium ist mit Quelle widerlegt.</t>
  </si>
  <si>
    <t xml:space="preserve">Dienst</t>
  </si>
  <si>
    <t xml:space="preserve">Muss erfüllt</t>
  </si>
  <si>
    <t xml:space="preserve">Muss widerlegt</t>
  </si>
  <si>
    <t xml:space="preserve">Muss offen</t>
  </si>
  <si>
    <t xml:space="preserve">Soll erfüllt</t>
  </si>
  <si>
    <t xml:space="preserve">Ergebnis</t>
  </si>
  <si>
    <t xml:space="preserve">Tracking kontoweit aus (K6)</t>
  </si>
  <si>
    <t xml:space="preserve">Testmail bestanden</t>
  </si>
  <si>
    <t xml:space="preserve">rapidmail</t>
  </si>
  <si>
    <t xml:space="preserve">Cloud</t>
  </si>
  <si>
    <t xml:space="preserve">CleverReach</t>
  </si>
  <si>
    <t xml:space="preserve">Brevo</t>
  </si>
  <si>
    <t xml:space="preserve">Mailjet</t>
  </si>
  <si>
    <t xml:space="preserve">Mailcoach Cloud</t>
  </si>
  <si>
    <t xml:space="preserve">Cloud; Software auch selbst betreibbar</t>
  </si>
  <si>
    <t xml:space="preserve">Keila Cloud</t>
  </si>
  <si>
    <t xml:space="preserve">Cloud; Software quelloffen und selbst betreibbar</t>
  </si>
  <si>
    <t xml:space="preserve">listmonk</t>
  </si>
  <si>
    <t xml:space="preserve">Software, selbst betrieben</t>
  </si>
  <si>
    <t xml:space="preserve">Zählung</t>
  </si>
  <si>
    <t xml:space="preserve">Dienste mit allen Muss-Kriterien belegt — die Aufgabe verlangt mindestens zwei, sonst ist das Fehlen zu benennen (Blatt „Anleitung“, Befund 1).</t>
  </si>
  <si>
    <t xml:space="preserve">Dienste mit mindestens einem widerlegten Muss-Kriterium — nicht vorschlagen.</t>
  </si>
  <si>
    <t xml:space="preserve">Lesehilfe</t>
  </si>
  <si>
    <t xml:space="preserve">Der Stand ist eine Recherche vom 16.09.2026, keine Freigabe. „Offen“ heißt meist: öffentlich nicht beschrieben — nicht, dass der Dienst es nicht kann. Die Auswahl fällt erst in V4; bis dahin können sich Funktionen und Preise ändern. Vor der Entscheidung die offenen Muss-Kriterien der engeren Wahl beim Anbieter bestätigen lassen und die Testmail prüfen.</t>
  </si>
  <si>
    <t xml:space="preserve">Kriterien je Dienst</t>
  </si>
  <si>
    <t xml:space="preserve">Eine Zeile je Dienst und Kriterium. Status (gelb) nach schriftlicher Bestätigung anpassen und das Datum eintragen. Die Übersicht rechnet daraus.</t>
  </si>
  <si>
    <t xml:space="preserve">Art des Dienstes</t>
  </si>
  <si>
    <t xml:space="preserve">Muss/Soll</t>
  </si>
  <si>
    <t xml:space="preserve">Status</t>
  </si>
  <si>
    <t xml:space="preserve">Angabe</t>
  </si>
  <si>
    <t xml:space="preserve">Abgerufen</t>
  </si>
  <si>
    <t xml:space="preserve">Beim Anbieter bestätigt am</t>
  </si>
  <si>
    <t xml:space="preserve">Notiz</t>
  </si>
  <si>
    <t xml:space="preserve">erfüllt</t>
  </si>
  <si>
    <t xml:space="preserve">Verarbeitung laut Muster-AVV „ausschließlich in einem Mitgliedsstaat der Europäischen Union“; Server-Hosting durch zwei deutsche Unternehmen „an Standorten innerhalb der Bundesrepublik Deutschland“ (Muster-AVV, Stand 23.05.2022). Die Funktionsseite nennt „Serverstandort Deutschland“.</t>
  </si>
  <si>
    <t xml:space="preserve">Q3, Q22</t>
  </si>
  <si>
    <t xml:space="preserve">16.09.2026</t>
  </si>
  <si>
    <t xml:space="preserve">offen</t>
  </si>
  <si>
    <t xml:space="preserve">Muster-AVV (Stand 23.05.2022) nennt als Unterauftragsverarbeiter MEGASPACE Internet Service GmbH (Landau/Pfalz) und uvensys GmbH (Linden) — beide deutsch. Die Liste ist vier Jahre alt: aktuelle Fassung anfordern.</t>
  </si>
  <si>
    <t xml:space="preserve">Q3</t>
  </si>
  <si>
    <t xml:space="preserve">Abschluss elektronisch im Kundenkonto: Kontoeinstellungen &gt; Datenschutz &gt; „Auftragsverarbeitungs-Vertrag abschließen“.</t>
  </si>
  <si>
    <t xml:space="preserve">Q2</t>
  </si>
  <si>
    <t xml:space="preserve">„Automatisches Double-Opt-in“ (Funktionsseite). Gespeichert werden IP-Adresse, Datum und Uhrzeit von Anmeldung und Bestätigung; sichtbar im Export der Empfängerliste (Felder created, activated, status). Einwilligungstext, Formular und Inhalt der Bestätigungsmail nennt der Artikel nicht — selbst dokumentieren.</t>
  </si>
  <si>
    <t xml:space="preserve">Q4, Q21, Q22</t>
  </si>
  <si>
    <t xml:space="preserve">nicht geprüft</t>
  </si>
  <si>
    <t xml:space="preserve">—</t>
  </si>
  <si>
    <t xml:space="preserve">Öffnungs- und Klick-Tracking im Konto abschaltbar: Kontoeinstellungen &gt; Menü „Datenschutz“ &gt; Reiter „Tracking“; gilt für künftige Mailings. Dann werden keine Öffnungs- und Klickdaten erhoben; A/B-Tests, Follow-up-Mailings und Automationen sind deaktiviert.</t>
  </si>
  <si>
    <t xml:space="preserve">„Segmentierung &amp; Tagging“ laut Funktionsseite; ob nach Postleitzahl, nicht geprüft.</t>
  </si>
  <si>
    <t xml:space="preserve">Q22</t>
  </si>
  <si>
    <t xml:space="preserve">„API für weitere Systeme“ laut Funktionsseite; ein Eingang für fremde E-Mails ist dort nicht genannt.</t>
  </si>
  <si>
    <t xml:space="preserve">Die Preisseite lädt die Preistabelle dynamisch; maschinell nicht abrufbar — im Browser ablesen und hier eintragen.</t>
  </si>
  <si>
    <t xml:space="preserve">Q5</t>
  </si>
  <si>
    <t xml:space="preserve">Ein Muster-AVV (Vers. 4.5, Stand 09/2019) ist öffentlich verlinkt; nur über die Websuche gefunden, Inhalt nicht geprüft.</t>
  </si>
  <si>
    <t xml:space="preserve">Q7</t>
  </si>
  <si>
    <t xml:space="preserve">Kontoweite „Datenschutzkonformität“ (Mein Account &gt; Einstellungen &gt; Datenschutz): Reports zeigen öffnende und klickende Empfänger anonymisiert; vollständige IP-Adressen und Cookies werden nicht erhoben. Eine vollständige Abschaltung der Messung beschreibt der Artikel nicht — bis zur Bestätigung nicht vorschlagen.</t>
  </si>
  <si>
    <t xml:space="preserve">Q6</t>
  </si>
  <si>
    <t xml:space="preserve">Der Hilfeartikel beschreibt nur eine kontoweite Anonymisierung (Kampagnen: Settings &gt; Default settings &gt; Tracking; Transaktionsmails gesondert): Öffnungen und Klicks werden weiter gezählt, aber keinem Kontakt zugeordnet. Eine vollständige Abschaltung beschreibt er nicht; ein Forenbeitrag fragt genau danach — bis zur Bestätigung nicht vorschlagen.</t>
  </si>
  <si>
    <t xml:space="preserve">Q8, Q9</t>
  </si>
  <si>
    <t xml:space="preserve">Personenbezogene Daten „ausschließlich“ in Rechenzentren in der EU: Google Cloud Platform in Frankfurt und Saint-Ghislain (Belgien); Artikel aktualisiert am 18.11.2024.</t>
  </si>
  <si>
    <t xml:space="preserve">Q11</t>
  </si>
  <si>
    <t xml:space="preserve">nicht erfüllt</t>
  </si>
  <si>
    <t xml:space="preserve">Die Infrastruktur betreibt die Google Cloud Platform — ein US-Unternehmen in der Verarbeitungskette, auch wenn die Rechenzentren in der EU stehen. Widerspricht der Projektregel.</t>
  </si>
  <si>
    <t xml:space="preserve">Kontoweite Einstellung (Account &gt; Tracking), nur im Hauptkonto änderbar: Öffnungs- und Klickmessung jeweils „Enabled“, „Disabled“ oder „Anonymous“; wirkt für künftige Sendungen. Artikel vom 14.09.2026.</t>
  </si>
  <si>
    <t xml:space="preserve">„All of our infrastructure is hosted within the EU / EEA by companies owned within the EU / EEA.“ Entwickelt von Spatie, einem belgischen Softwareunternehmen.</t>
  </si>
  <si>
    <t xml:space="preserve">Q13, Q14</t>
  </si>
  <si>
    <t xml:space="preserve">Für die eigene Infrastruktur laut Anbieter nur Unternehmen im Eigentum aus EU/EWR. Achtung: Als eigenen Versanddienst nennt die Preisseite Postmark, Mailgun, Brevo und Amazon SES — mit Amazon SES stünde ein US-Konzern in der Kette. Nur den Versand von Mailcoach selbst nutzen.</t>
  </si>
  <si>
    <t xml:space="preserve">AVV herunterladen, unterschreiben und an privacy@mailcoach.app senden.</t>
  </si>
  <si>
    <t xml:space="preserve">Q13</t>
  </si>
  <si>
    <t xml:space="preserve">Double-Opt-in hat in der Dokumentation der selbst betriebenen Fassung (v6) einen eigenen Abschnitt; welche Nachweisdaten gespeichert werden, nicht geprüft.</t>
  </si>
  <si>
    <t xml:space="preserve">Q23</t>
  </si>
  <si>
    <t xml:space="preserve">Abmeldelink über den Platzhalter {{ unsubscribeUrl }}; gesendete Mails tragen die Kopfzeile „List-Unsubscribe“ (RFC 2369). Die Ein-Klick-Variante (RFC 8058) nennt die Dokumentation (selbst betriebene Fassung v6) nicht.</t>
  </si>
  <si>
    <t xml:space="preserve">„Tracking is off by default“; „Track open“ und „Track clicks“ lassen sich in den Versandeinstellungen abwählen; personenbezogene Tracking- und Maildaten werden nur 30 Tage gespeichert. Ob sich das Einschalten kontoweit sperren lässt, ist nicht beschrieben — mit der Testmail prüfen.</t>
  </si>
  <si>
    <t xml:space="preserve">Q12, Q13</t>
  </si>
  <si>
    <t xml:space="preserve">Ab 9,99 € im Monat mit 2.000 E-Mails; darüber Abrechnung je gesendeter E-Mail (Rechner auf der Preisseite); unbegrenzte Kontakte. Bei 1.000 Empfängern und einem Versand je Monat also 9,99 €; 5.000 und 20.000 im Rechner ablesen.</t>
  </si>
  <si>
    <t xml:space="preserve">„Hosted in the EU“, „Made in Germany“. Hosting-Anbieter und Land nicht genannt.</t>
  </si>
  <si>
    <t xml:space="preserve">Q15, Q16, Q17</t>
  </si>
  <si>
    <t xml:space="preserve">Hosting-Anbieter und Unterauftragsverarbeiter auf der Webseite nicht genannt — im AVV-Dokument nachsehen.</t>
  </si>
  <si>
    <t xml:space="preserve">Q17</t>
  </si>
  <si>
    <t xml:space="preserve">AVV (englisch und deutsch) ausfüllen, unterschreiben und an den Anbieter senden; eine gegengezeichnete Fassung kommt zurück.</t>
  </si>
  <si>
    <t xml:space="preserve">Messung je Kampagne über das Kästchen „Enable click/open tracking“ abschaltbar; dann werden nur gesendete E-Mails, Bounces und Spam-Beschwerden ausgewiesen. Eine kontoweite Abschaltung beschreibt die Seite nicht.</t>
  </si>
  <si>
    <t xml:space="preserve">Q15</t>
  </si>
  <si>
    <t xml:space="preserve">Segmente „based on user data“ laut Preisseite; ob nach Postleitzahl, nicht geprüft.</t>
  </si>
  <si>
    <t xml:space="preserve">Q16</t>
  </si>
  <si>
    <t xml:space="preserve">Preis nach E-Mails je Monat, sechs Stufen von XS (8 €) bis XXL (256 €) für 2.000 bis 250.000 E-Mails; S kostet 16 € für 5.000 E-Mails; kein Gratisplan; unbegrenzte Kontakte. Bei einem Versand je Monat: 1.000 Empfänger in XS (8 €), 5.000 in S (16 €), 20.000 in der passenden Stufe ablesen. Software quelloffen (AGPLv3).</t>
  </si>
  <si>
    <t xml:space="preserve">Hängt am eigenen Betrieb: Server und Versandweg (SMTP) selbst in der EU wählen.</t>
  </si>
  <si>
    <t xml:space="preserve">Q18</t>
  </si>
  <si>
    <t xml:space="preserve">Hängt am eigenen Betrieb: Server- und SMTP-Anbieter ohne US-Konzern wählen.</t>
  </si>
  <si>
    <t xml:space="preserve">Für die selbst betriebene Software gibt es keinen Auftragsverarbeiter; Verträge braucht es mit dem Hosting- und gegebenenfalls dem Versandanbieter.</t>
  </si>
  <si>
    <t xml:space="preserve">eigene Einordnung</t>
  </si>
  <si>
    <t xml:space="preserve">Double-Opt-in-Listen: Abonnenten bestätigen per Mail; Status unconfirmed, confirmed, unsubscribed. Ob Zeitpunkt und IP-Adresse der Bestätigung gespeichert werden, nicht geprüft.</t>
  </si>
  <si>
    <t xml:space="preserve">Globale Einstellung „privacy.disable_tracking“ (Pull Request #2920, gemergt am 22.02.2026): Das Zählpixel entfällt, Links bleiben unverändert, die Endpunkte zeichnen nichts auf. Vor dem Einsatz prüfen, ob die installierte Version die Einstellung enthält.</t>
  </si>
  <si>
    <t xml:space="preserve">Q19, Q20</t>
  </si>
  <si>
    <t xml:space="preserve">Abonnenten-Attribute als JSON, also auch eine Postleitzahl; die Abfrage danach nicht geprüft.</t>
  </si>
  <si>
    <t xml:space="preserve">nicht geprüft — Lizenzbedingungen sowie Kosten für Server und Versand ermitteln.</t>
  </si>
  <si>
    <t xml:space="preserve">Testmail-Prüfung — wirkt die Einstellung wirklich?</t>
  </si>
  <si>
    <t xml:space="preserve">Mit einem Testkonto je Dienst eine Mail an die eigene Adresse senden und im Quelltext prüfen. Gelbe Felder ausfüllen; das Ergebnis rechnet sich.</t>
  </si>
  <si>
    <t xml:space="preserve">Im Dienst die Öffnungs- und Klickmessung abschalten (Blatt „Kriterien“, K6) und eine Testmail im Nur-Text-Format mit einem Link auf die eigene Domain anlegen.</t>
  </si>
  <si>
    <t xml:space="preserve">Die Testmail an eine eigene Adresse schicken, die bei keinem Werbekonzern liegt.</t>
  </si>
  <si>
    <t xml:space="preserve">Im Mailprogramm den Quelltext öffnen (oft „Original anzeigen“ oder „Quelltext“).</t>
  </si>
  <si>
    <t xml:space="preserve">Nach Bildern suchen: Kommt „&lt;img“ vor, besonders mit Breite oder Höhe 1, oder eine Bildadresse beim Maildienst? Dann ist ein Zählpixel drin.</t>
  </si>
  <si>
    <t xml:space="preserve">Die Links prüfen: Zeigt der Link direkt auf die eigene Domain — oder auf eine Adresse des Maildienstes mit langer Kennung, die erst weiterleitet? Umgeleitete Links zählen Klicks.</t>
  </si>
  <si>
    <t xml:space="preserve">6.</t>
  </si>
  <si>
    <t xml:space="preserve">Die Kopfzeilen prüfen: Gibt es „List-Unsubscribe“ und „List-Unsubscribe-Post: List-Unsubscribe=One-Click“? Dann bieten Mailprogramme die Abmeldung mit einem Klick an.</t>
  </si>
  <si>
    <t xml:space="preserve">7.</t>
  </si>
  <si>
    <t xml:space="preserve">Prüfen, ob ein reiner Textteil vorhanden ist (Content-Type: text/plain) und ob die Mail ohne jedes Bild ankommt.</t>
  </si>
  <si>
    <t xml:space="preserve">8.</t>
  </si>
  <si>
    <t xml:space="preserve">Ergebnis unten eintragen. Den Test nach jeder Änderung der Einstellungen und vor dem ersten echten Versand wiederholen.</t>
  </si>
  <si>
    <t xml:space="preserve">Getestet am</t>
  </si>
  <si>
    <t xml:space="preserve">Zählpixel gefunden? (ja/nein)</t>
  </si>
  <si>
    <t xml:space="preserve">Links umgeleitet? (ja/nein)</t>
  </si>
  <si>
    <t xml:space="preserve">List-Unsubscribe vorhanden? (ja/nein)</t>
  </si>
  <si>
    <t xml:space="preserve">Ein-Klick-Kopfzeile vorhanden? (ja/nein)</t>
  </si>
  <si>
    <t xml:space="preserve">Reiner Textteil, keine Bilder? (ja/nein)</t>
  </si>
  <si>
    <t xml:space="preserve">Quellen</t>
  </si>
  <si>
    <t xml:space="preserve">Alle Adressen am 16.09.2026 abgerufen, außer wo „nicht geöffnet“ steht. Herstellerangaben können sich ändern — vor der Entscheidung erneut prüfen.</t>
  </si>
  <si>
    <t xml:space="preserve">Nr</t>
  </si>
  <si>
    <t xml:space="preserve">Adresse</t>
  </si>
  <si>
    <t xml:space="preserve">rapidmail Hilfecenter: Tracking-Einstellungen für Ihren Mailingversand verwalten</t>
  </si>
  <si>
    <t xml:space="preserve">https://help.rapidmail.de/de/articles/39-tracking-einstellungen-fur-ihren-mailingversand-mit-rapidmail-verwalten</t>
  </si>
  <si>
    <t xml:space="preserve">rapidmail Hilfecenter: Auftragsverarbeitungs-Vertrag nach EU-DSGVO abschließen</t>
  </si>
  <si>
    <t xml:space="preserve">https://help.rapidmail.de/de/articles/91-auftragsverarbeitungs-vertrag-nach-eu-dsgvo-abschliessen</t>
  </si>
  <si>
    <t xml:space="preserve">rapidmail: Muster-Auftragsverarbeitungsvertrag (Stand 23.05.2022)</t>
  </si>
  <si>
    <t xml:space="preserve">https://www.rapidmail.de/blog-content/wp-content/uploads/sites/3/2023/08/2023-08_Muster-Auftragsverarbeitungsvertrag-rapidmail.pdf</t>
  </si>
  <si>
    <t xml:space="preserve">Q4</t>
  </si>
  <si>
    <t xml:space="preserve">rapidmail Hilfecenter: Double-Opt-in-Daten Ihrer Kontakte einsehen und exportieren</t>
  </si>
  <si>
    <t xml:space="preserve">https://help.rapidmail.de/de/articles/90-double-opt-in-daten-ihrer-kontakte-einsehen-und-exportieren</t>
  </si>
  <si>
    <t xml:space="preserve">rapidmail: Preise (Tabelle dynamisch geladen)</t>
  </si>
  <si>
    <t xml:space="preserve">https://www.rapidmail.de/preise-newsletterversand</t>
  </si>
  <si>
    <t xml:space="preserve">CleverReach Support: Datenschutzkonformität</t>
  </si>
  <si>
    <t xml:space="preserve">https://support.cleverreach.com/hc/de/articles/360009837199-Datenschutzkonformit%C3%A4t</t>
  </si>
  <si>
    <t xml:space="preserve">CleverReach: Vertrag zur Auftragsverarbeitung, Vers. 4.5 (Stand 09/2019) — nur Suchergebnis</t>
  </si>
  <si>
    <t xml:space="preserve">https://eu2.cleverreach.com/assets/dpa/4.5_de_example.pdf</t>
  </si>
  <si>
    <t xml:space="preserve">16.09.2026 (nicht geöffnet)</t>
  </si>
  <si>
    <t xml:space="preserve">Q8</t>
  </si>
  <si>
    <t xml:space="preserve">Brevo Help: Can I anonymize the tracking of opens and clicks for my emails?</t>
  </si>
  <si>
    <t xml:space="preserve">https://help.brevo.com/hc/en-us/articles/11643306229906-Can-I-anonymize-the-tracking-of-opens-and-clicks-for-my-emails</t>
  </si>
  <si>
    <t xml:space="preserve">Q9</t>
  </si>
  <si>
    <t xml:space="preserve">Brevo Community: How do I disable email tracking in a Campaign? — nur Suchergebnis</t>
  </si>
  <si>
    <t xml:space="preserve">https://community.brevo.com/t/how-do-i-disable-email-tracking-in-a-campaign/479</t>
  </si>
  <si>
    <t xml:space="preserve">Mailjet Help Center: Email Tracking Pixels and Consent — CNIL and Garante Guidance (14.09.2026)</t>
  </si>
  <si>
    <t xml:space="preserve">https://documentation.mailjet.com/hc/en-us/articles/51109335532571-Email-Tracking-Pixels-and-Consent-CNIL-and-Garante-Guidance</t>
  </si>
  <si>
    <t xml:space="preserve">Mailjet Help Center: Where is my personal data stored? (aktualisiert 18.11.2024)</t>
  </si>
  <si>
    <t xml:space="preserve">https://documentation.mailjet.com/hc/en-us/articles/360042712274-Where-is-my-personal-data-stored</t>
  </si>
  <si>
    <t xml:space="preserve">Q12</t>
  </si>
  <si>
    <t xml:space="preserve">Mailcoach: Tracking is optional</t>
  </si>
  <si>
    <t xml:space="preserve">https://www.mailcoach.app/features/tracking-is-optional/</t>
  </si>
  <si>
    <t xml:space="preserve">Mailcoach: Fully GDPR compliant</t>
  </si>
  <si>
    <t xml:space="preserve">https://www.mailcoach.app/features/fully-gdpr-compliant/</t>
  </si>
  <si>
    <t xml:space="preserve">Mailcoach: Pricing</t>
  </si>
  <si>
    <t xml:space="preserve">https://www.mailcoach.app/pricing/</t>
  </si>
  <si>
    <t xml:space="preserve">Keila: Analytics and privacy</t>
  </si>
  <si>
    <t xml:space="preserve">https://www.keila.io/analytics-and-privacy/</t>
  </si>
  <si>
    <t xml:space="preserve">Keila: Pricing</t>
  </si>
  <si>
    <t xml:space="preserve">https://www.keila.io/pricing</t>
  </si>
  <si>
    <t xml:space="preserve">Keila: GDPR &amp; DPA</t>
  </si>
  <si>
    <t xml:space="preserve">https://www.keila.io/legal/gdpr-dpa</t>
  </si>
  <si>
    <t xml:space="preserve">listmonk Dokumentation: Concepts</t>
  </si>
  <si>
    <t xml:space="preserve">https://listmonk.app/docs/concepts/</t>
  </si>
  <si>
    <t xml:space="preserve">Q19</t>
  </si>
  <si>
    <t xml:space="preserve">listmonk auf GitHub: Issue #2912 (20.02.2026, geschlossen)</t>
  </si>
  <si>
    <t xml:space="preserve">https://github.com/knadh/listmonk/issues/2912</t>
  </si>
  <si>
    <t xml:space="preserve">Q20</t>
  </si>
  <si>
    <t xml:space="preserve">listmonk auf GitHub: Pull Request #2920 (gemergt 22.02.2026)</t>
  </si>
  <si>
    <t xml:space="preserve">https://github.com/knadh/listmonk/pull/2920</t>
  </si>
  <si>
    <t xml:space="preserve">Q21</t>
  </si>
  <si>
    <t xml:space="preserve">IT-Kanzlei (datenschutz-rv.de): Bericht zu VG Düsseldorf, Urteil vom 27.07.2026, Az. 29 K 9714/24 (Beitrag vom 27.08.2026) — Sekundärquelle</t>
  </si>
  <si>
    <t xml:space="preserve">https://datenschutz-rv.de/double-opt-in-reicht-nicht-ohne-nachweis-vg-duesseldorf-stoppt-werbemail-praxis/</t>
  </si>
  <si>
    <t xml:space="preserve">rapidmail: Newsletter-Funktionen</t>
  </si>
  <si>
    <t xml:space="preserve">https://www.rapidmail.de/newsletter-funktionen</t>
  </si>
  <si>
    <t xml:space="preserve">Mailcoach Self-Hosted Documentation v6: Unsubscribing from a list</t>
  </si>
  <si>
    <t xml:space="preserve">https://www.mailcoach.app/self-hosted/documentation/v6/audience/unsubscribing-from-a-list/</t>
  </si>
</sst>
</file>

<file path=xl/styles.xml><?xml version="1.0" encoding="utf-8"?>
<styleSheet xmlns="http://schemas.openxmlformats.org/spreadsheetml/2006/main">
  <numFmts count="3">
    <numFmt numFmtId="164" formatCode="General"/>
    <numFmt numFmtId="165" formatCode="General"/>
    <numFmt numFmtId="166" formatCode="dd\.mm\.yyyy"/>
  </numFmts>
  <fonts count="11">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sz val="9"/>
      <color rgb="FF595959"/>
      <name val="Arial"/>
      <family val="0"/>
      <charset val="1"/>
    </font>
    <font>
      <b val="true"/>
      <sz val="10"/>
      <name val="Arial"/>
      <family val="0"/>
      <charset val="1"/>
    </font>
    <font>
      <b val="true"/>
      <sz val="12"/>
      <color rgb="FF1F3A5F"/>
      <name val="Arial"/>
      <family val="0"/>
      <charset val="1"/>
    </font>
    <font>
      <sz val="10"/>
      <name val="Arial"/>
      <family val="0"/>
      <charset val="1"/>
    </font>
    <font>
      <b val="true"/>
      <sz val="10"/>
      <color rgb="FFFFFFFF"/>
      <name val="Arial"/>
      <family val="0"/>
      <charset val="1"/>
    </font>
    <font>
      <sz val="10"/>
      <color rgb="FF0000FF"/>
      <name val="Arial"/>
      <family val="0"/>
      <charset val="1"/>
    </font>
  </fonts>
  <fills count="6">
    <fill>
      <patternFill patternType="none"/>
    </fill>
    <fill>
      <patternFill patternType="gray125"/>
    </fill>
    <fill>
      <patternFill patternType="solid">
        <fgColor rgb="FFFDF3E7"/>
        <bgColor rgb="FFFFFFFF"/>
      </patternFill>
    </fill>
    <fill>
      <patternFill patternType="solid">
        <fgColor rgb="FF1F3A5F"/>
        <bgColor rgb="FF333333"/>
      </patternFill>
    </fill>
    <fill>
      <patternFill patternType="solid">
        <fgColor rgb="FFEAF1FB"/>
        <bgColor rgb="FFFDF3E7"/>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4"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5" fontId="6" fillId="4" borderId="1" xfId="0" applyFont="true" applyBorder="true" applyAlignment="true" applyProtection="false">
      <alignment horizontal="center" vertical="top" textRotation="0" wrapText="true" indent="0" shrinkToFit="false"/>
      <protection locked="true" hidden="false"/>
    </xf>
    <xf numFmtId="164" fontId="10" fillId="5" borderId="1" xfId="0" applyFont="true" applyBorder="true" applyAlignment="true" applyProtection="false">
      <alignment horizontal="center" vertical="top" textRotation="0" wrapText="true" indent="0" shrinkToFit="false"/>
      <protection locked="true" hidden="false"/>
    </xf>
    <xf numFmtId="166" fontId="10" fillId="5" borderId="1" xfId="0" applyFont="true" applyBorder="true" applyAlignment="true" applyProtection="false">
      <alignment horizontal="center"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bgColor rgb="FFF4CCCC"/>
        </patternFill>
      </fill>
    </dxf>
    <dxf>
      <fill>
        <patternFill>
          <bgColor rgb="FFD9EAD3"/>
        </patternFill>
      </fill>
    </dxf>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F4CCCC"/>
          <bgColor rgb="FF000000"/>
        </patternFill>
      </fill>
    </dxf>
    <dxf>
      <fill>
        <patternFill patternType="solid">
          <fgColor rgb="FFFFFF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DF3E7"/>
      <rgbColor rgb="FFEAF1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70"/>
    <col collapsed="false" customWidth="true" hidden="false" outlineLevel="0" max="3" min="3" style="0" width="22"/>
  </cols>
  <sheetData>
    <row r="1" customFormat="false" ht="19.7" hidden="false" customHeight="false" outlineLevel="0" collapsed="false">
      <c r="A1" s="1" t="s">
        <v>0</v>
      </c>
    </row>
    <row r="2" customFormat="false" ht="15" hidden="false" customHeight="false" outlineLevel="0" collapsed="false">
      <c r="A2" s="2" t="s">
        <v>1</v>
      </c>
    </row>
    <row r="3" customFormat="false" ht="45" hidden="false" customHeight="true" outlineLevel="0" collapsed="false">
      <c r="A3" s="3" t="s">
        <v>2</v>
      </c>
      <c r="B3" s="3"/>
      <c r="C3" s="3"/>
    </row>
    <row r="5" customFormat="false" ht="15" hidden="false" customHeight="false" outlineLevel="0" collapsed="false">
      <c r="A5" s="4" t="s">
        <v>3</v>
      </c>
    </row>
    <row r="6" customFormat="false" ht="42" hidden="false" customHeight="true" outlineLevel="0" collapsed="false">
      <c r="A6" s="5" t="s">
        <v>4</v>
      </c>
      <c r="B6" s="5"/>
      <c r="C6" s="5"/>
    </row>
    <row r="7" customFormat="false" ht="42" hidden="false" customHeight="true" outlineLevel="0" collapsed="false">
      <c r="A7" s="5" t="s">
        <v>5</v>
      </c>
      <c r="B7" s="5"/>
      <c r="C7" s="5"/>
    </row>
    <row r="8" customFormat="false" ht="42" hidden="false" customHeight="true" outlineLevel="0" collapsed="false">
      <c r="A8" s="5" t="s">
        <v>6</v>
      </c>
      <c r="B8" s="5"/>
      <c r="C8" s="5"/>
    </row>
    <row r="10" customFormat="false" ht="15" hidden="false" customHeight="false" outlineLevel="0" collapsed="false">
      <c r="A10" s="4" t="s">
        <v>7</v>
      </c>
    </row>
    <row r="11" customFormat="false" ht="30" hidden="false" customHeight="true" outlineLevel="0" collapsed="false">
      <c r="A11" s="6" t="s">
        <v>8</v>
      </c>
      <c r="B11" s="5" t="s">
        <v>9</v>
      </c>
      <c r="C11" s="5"/>
    </row>
    <row r="12" customFormat="false" ht="30" hidden="false" customHeight="true" outlineLevel="0" collapsed="false">
      <c r="A12" s="6" t="s">
        <v>10</v>
      </c>
      <c r="B12" s="5" t="s">
        <v>11</v>
      </c>
      <c r="C12" s="5"/>
    </row>
    <row r="13" customFormat="false" ht="30" hidden="false" customHeight="true" outlineLevel="0" collapsed="false">
      <c r="A13" s="6" t="s">
        <v>12</v>
      </c>
      <c r="B13" s="5" t="s">
        <v>13</v>
      </c>
      <c r="C13" s="5"/>
    </row>
    <row r="14" customFormat="false" ht="30" hidden="false" customHeight="true" outlineLevel="0" collapsed="false">
      <c r="A14" s="6" t="s">
        <v>14</v>
      </c>
      <c r="B14" s="5" t="s">
        <v>15</v>
      </c>
      <c r="C14" s="5"/>
    </row>
    <row r="15" customFormat="false" ht="30" hidden="false" customHeight="true" outlineLevel="0" collapsed="false">
      <c r="A15" s="6" t="s">
        <v>16</v>
      </c>
      <c r="B15" s="5" t="s">
        <v>17</v>
      </c>
      <c r="C15" s="5"/>
    </row>
    <row r="17" customFormat="false" ht="15" hidden="false" customHeight="false" outlineLevel="0" collapsed="false">
      <c r="A17" s="4" t="s">
        <v>18</v>
      </c>
    </row>
    <row r="18" customFormat="false" ht="15" hidden="false" customHeight="false" outlineLevel="0" collapsed="false">
      <c r="A18" s="7" t="s">
        <v>19</v>
      </c>
      <c r="B18" s="7" t="s">
        <v>20</v>
      </c>
      <c r="C18" s="7" t="s">
        <v>21</v>
      </c>
    </row>
    <row r="19" customFormat="false" ht="42" hidden="false" customHeight="true" outlineLevel="0" collapsed="false">
      <c r="A19" s="8" t="s">
        <v>22</v>
      </c>
      <c r="B19" s="9" t="s">
        <v>23</v>
      </c>
      <c r="C19" s="10" t="s">
        <v>24</v>
      </c>
    </row>
    <row r="20" customFormat="false" ht="42" hidden="false" customHeight="true" outlineLevel="0" collapsed="false">
      <c r="A20" s="8" t="s">
        <v>25</v>
      </c>
      <c r="B20" s="9" t="s">
        <v>23</v>
      </c>
      <c r="C20" s="10" t="s">
        <v>26</v>
      </c>
    </row>
    <row r="21" customFormat="false" ht="42" hidden="false" customHeight="true" outlineLevel="0" collapsed="false">
      <c r="A21" s="8" t="s">
        <v>27</v>
      </c>
      <c r="B21" s="9" t="s">
        <v>23</v>
      </c>
      <c r="C21" s="10" t="s">
        <v>28</v>
      </c>
    </row>
    <row r="22" customFormat="false" ht="42" hidden="false" customHeight="true" outlineLevel="0" collapsed="false">
      <c r="A22" s="8" t="s">
        <v>29</v>
      </c>
      <c r="B22" s="9" t="s">
        <v>23</v>
      </c>
      <c r="C22" s="10" t="s">
        <v>30</v>
      </c>
    </row>
    <row r="23" customFormat="false" ht="42" hidden="false" customHeight="true" outlineLevel="0" collapsed="false">
      <c r="A23" s="8" t="s">
        <v>31</v>
      </c>
      <c r="B23" s="9" t="s">
        <v>23</v>
      </c>
      <c r="C23" s="10" t="s">
        <v>32</v>
      </c>
    </row>
    <row r="24" customFormat="false" ht="42" hidden="false" customHeight="true" outlineLevel="0" collapsed="false">
      <c r="A24" s="8" t="s">
        <v>33</v>
      </c>
      <c r="B24" s="9" t="s">
        <v>23</v>
      </c>
      <c r="C24" s="10" t="s">
        <v>34</v>
      </c>
    </row>
    <row r="25" customFormat="false" ht="42" hidden="false" customHeight="true" outlineLevel="0" collapsed="false">
      <c r="A25" s="8" t="s">
        <v>35</v>
      </c>
      <c r="B25" s="9" t="s">
        <v>23</v>
      </c>
      <c r="C25" s="10" t="s">
        <v>36</v>
      </c>
    </row>
    <row r="26" customFormat="false" ht="42" hidden="false" customHeight="true" outlineLevel="0" collapsed="false">
      <c r="A26" s="8" t="s">
        <v>37</v>
      </c>
      <c r="B26" s="9" t="s">
        <v>38</v>
      </c>
      <c r="C26" s="10" t="s">
        <v>39</v>
      </c>
    </row>
    <row r="27" customFormat="false" ht="42" hidden="false" customHeight="true" outlineLevel="0" collapsed="false">
      <c r="A27" s="8" t="s">
        <v>40</v>
      </c>
      <c r="B27" s="9" t="s">
        <v>38</v>
      </c>
      <c r="C27" s="10" t="s">
        <v>41</v>
      </c>
    </row>
    <row r="28" customFormat="false" ht="42" hidden="false" customHeight="true" outlineLevel="0" collapsed="false">
      <c r="A28" s="8" t="s">
        <v>42</v>
      </c>
      <c r="B28" s="9" t="s">
        <v>43</v>
      </c>
      <c r="C28" s="10" t="s">
        <v>44</v>
      </c>
    </row>
    <row r="30" customFormat="false" ht="15" hidden="false" customHeight="false" outlineLevel="0" collapsed="false">
      <c r="A30" s="4" t="s">
        <v>45</v>
      </c>
    </row>
    <row r="31" customFormat="false" ht="15" hidden="false" customHeight="false" outlineLevel="0" collapsed="false">
      <c r="A31" s="7" t="s">
        <v>46</v>
      </c>
      <c r="B31" s="7" t="s">
        <v>47</v>
      </c>
      <c r="C31" s="7" t="s">
        <v>48</v>
      </c>
    </row>
    <row r="32" customFormat="false" ht="105" hidden="false" customHeight="true" outlineLevel="0" collapsed="false">
      <c r="A32" s="10" t="s">
        <v>49</v>
      </c>
      <c r="B32" s="10" t="s">
        <v>50</v>
      </c>
      <c r="C32" s="10" t="s">
        <v>51</v>
      </c>
    </row>
    <row r="33" customFormat="false" ht="105" hidden="false" customHeight="true" outlineLevel="0" collapsed="false">
      <c r="A33" s="10" t="s">
        <v>52</v>
      </c>
      <c r="B33" s="10" t="s">
        <v>53</v>
      </c>
      <c r="C33" s="10" t="s">
        <v>54</v>
      </c>
    </row>
    <row r="34" customFormat="false" ht="105" hidden="false" customHeight="true" outlineLevel="0" collapsed="false">
      <c r="A34" s="10" t="s">
        <v>55</v>
      </c>
      <c r="B34" s="10" t="s">
        <v>56</v>
      </c>
      <c r="C34" s="10" t="s">
        <v>57</v>
      </c>
    </row>
    <row r="35" customFormat="false" ht="105" hidden="false" customHeight="true" outlineLevel="0" collapsed="false">
      <c r="A35" s="10" t="s">
        <v>58</v>
      </c>
      <c r="B35" s="10" t="s">
        <v>59</v>
      </c>
      <c r="C35" s="10" t="s">
        <v>60</v>
      </c>
    </row>
    <row r="36" customFormat="false" ht="105" hidden="false" customHeight="true" outlineLevel="0" collapsed="false">
      <c r="A36" s="10" t="s">
        <v>61</v>
      </c>
      <c r="B36" s="10" t="s">
        <v>62</v>
      </c>
      <c r="C36" s="10" t="s">
        <v>63</v>
      </c>
    </row>
    <row r="37" customFormat="false" ht="105" hidden="false" customHeight="true" outlineLevel="0" collapsed="false">
      <c r="A37" s="10" t="s">
        <v>64</v>
      </c>
      <c r="B37" s="10" t="s">
        <v>65</v>
      </c>
      <c r="C37" s="10" t="s">
        <v>66</v>
      </c>
    </row>
    <row r="38" customFormat="false" ht="105" hidden="false" customHeight="true" outlineLevel="0" collapsed="false">
      <c r="A38" s="10" t="s">
        <v>67</v>
      </c>
      <c r="B38" s="10" t="s">
        <v>68</v>
      </c>
      <c r="C38" s="10" t="s">
        <v>69</v>
      </c>
    </row>
    <row r="39" customFormat="false" ht="105" hidden="false" customHeight="true" outlineLevel="0" collapsed="false">
      <c r="A39" s="10" t="s">
        <v>70</v>
      </c>
      <c r="B39" s="10" t="s">
        <v>71</v>
      </c>
      <c r="C39" s="10" t="s">
        <v>72</v>
      </c>
    </row>
    <row r="40" customFormat="false" ht="105" hidden="false" customHeight="true" outlineLevel="0" collapsed="false">
      <c r="A40" s="10" t="s">
        <v>73</v>
      </c>
      <c r="B40" s="10" t="s">
        <v>74</v>
      </c>
      <c r="C40" s="10" t="s">
        <v>75</v>
      </c>
    </row>
  </sheetData>
  <mergeCells count="9">
    <mergeCell ref="A3:C3"/>
    <mergeCell ref="A6:C6"/>
    <mergeCell ref="A7:C7"/>
    <mergeCell ref="A8:C8"/>
    <mergeCell ref="B11:C11"/>
    <mergeCell ref="B12:C12"/>
    <mergeCell ref="B13:C13"/>
    <mergeCell ref="B14:C14"/>
    <mergeCell ref="B15:C1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6" min="3" style="0" width="12"/>
    <col collapsed="false" customWidth="true" hidden="false" outlineLevel="0" max="7" min="7" style="0" width="30"/>
    <col collapsed="false" customWidth="true" hidden="false" outlineLevel="0" max="8" min="8" style="0" width="20"/>
    <col collapsed="false" customWidth="true" hidden="false" outlineLevel="0" max="9" min="9" style="0" width="16"/>
  </cols>
  <sheetData>
    <row r="1" customFormat="false" ht="19.7" hidden="false" customHeight="false" outlineLevel="0" collapsed="false">
      <c r="A1" s="1" t="s">
        <v>76</v>
      </c>
    </row>
    <row r="2" customFormat="false" ht="15" hidden="false" customHeight="false" outlineLevel="0" collapsed="false">
      <c r="A2" s="2" t="s">
        <v>1</v>
      </c>
    </row>
    <row r="3" customFormat="false" ht="30" hidden="false" customHeight="true" outlineLevel="0" collapsed="false">
      <c r="A3" s="3" t="s">
        <v>77</v>
      </c>
      <c r="B3" s="3"/>
      <c r="C3" s="3"/>
      <c r="D3" s="3"/>
      <c r="E3" s="3"/>
      <c r="F3" s="3"/>
      <c r="G3" s="3"/>
      <c r="H3" s="3"/>
      <c r="I3" s="3"/>
    </row>
    <row r="5" customFormat="false" ht="31.5" hidden="false" customHeight="true" outlineLevel="0" collapsed="false">
      <c r="A5" s="7" t="s">
        <v>78</v>
      </c>
      <c r="B5" s="7" t="s">
        <v>20</v>
      </c>
      <c r="C5" s="7" t="s">
        <v>79</v>
      </c>
      <c r="D5" s="7" t="s">
        <v>80</v>
      </c>
      <c r="E5" s="7" t="s">
        <v>81</v>
      </c>
      <c r="F5" s="7" t="s">
        <v>82</v>
      </c>
      <c r="G5" s="7" t="s">
        <v>83</v>
      </c>
      <c r="H5" s="7" t="s">
        <v>84</v>
      </c>
      <c r="I5" s="7" t="s">
        <v>85</v>
      </c>
    </row>
    <row r="6" customFormat="false" ht="30" hidden="false" customHeight="true" outlineLevel="0" collapsed="false">
      <c r="A6" s="8" t="s">
        <v>86</v>
      </c>
      <c r="B6" s="10" t="s">
        <v>87</v>
      </c>
      <c r="C6" s="11" t="n">
        <f aca="false">COUNTIFS(Kriterien!$A$6:$A$75,A6,Kriterien!$D$6:$D$75,"Muss",Kriterien!$E$6:$E$75,"erfüllt")</f>
        <v>4</v>
      </c>
      <c r="D6" s="11" t="n">
        <f aca="false">COUNTIFS(Kriterien!$A$6:$A$75,A6,Kriterien!$D$6:$D$75,"Muss",Kriterien!$E$6:$E$75,"nicht erfüllt")</f>
        <v>0</v>
      </c>
      <c r="E6" s="11" t="n">
        <f aca="false">COUNTIFS(Kriterien!$A$6:$A$75,A6,Kriterien!$D$6:$D$75,"Muss",Kriterien!$E$6:$E$75,"offen")</f>
        <v>3</v>
      </c>
      <c r="F6" s="11" t="str">
        <f aca="false">COUNTIFS(Kriterien!$A$6:$A$75,A6,Kriterien!$D$6:$D$75,"Soll",Kriterien!$E$6:$E$75,"erfüllt")&amp;" von "&amp;COUNTIFS(Kriterien!$A$6:$A$75,A6,Kriterien!$D$6:$D$75,"Soll")</f>
        <v>0 von 2</v>
      </c>
      <c r="G6" s="12" t="str">
        <f aca="false">IF(D6&gt;0,"ausgeschlossen",IF(E6&gt;0,"offen — "&amp;E6&amp;" Muss-Punkte klären","alle Muss-Kriterien belegt"))</f>
        <v>offen — 3 Muss-Punkte klären</v>
      </c>
      <c r="H6" s="11" t="str">
        <f aca="false">IFERROR(INDEX(Kriterien!$E$6:$E$75,MATCH(1,INDEX((Kriterien!$A$6:$A$75=A6)*(LEFT(Kriterien!$C$6:$C$75,3)="K6 "),0),0)),"—")</f>
        <v>erfüllt</v>
      </c>
      <c r="I6" s="11" t="str">
        <f aca="false">IFERROR(INDEX('Testmail-Prüfung'!$I$16:$I$22,MATCH(A6,'Testmail-Prüfung'!$A$16:$A$22,0)),"—")</f>
        <v>nicht getestet</v>
      </c>
    </row>
    <row r="7" customFormat="false" ht="30" hidden="false" customHeight="true" outlineLevel="0" collapsed="false">
      <c r="A7" s="8" t="s">
        <v>88</v>
      </c>
      <c r="B7" s="10" t="s">
        <v>87</v>
      </c>
      <c r="C7" s="11" t="n">
        <f aca="false">COUNTIFS(Kriterien!$A$6:$A$75,A7,Kriterien!$D$6:$D$75,"Muss",Kriterien!$E$6:$E$75,"erfüllt")</f>
        <v>0</v>
      </c>
      <c r="D7" s="11" t="n">
        <f aca="false">COUNTIFS(Kriterien!$A$6:$A$75,A7,Kriterien!$D$6:$D$75,"Muss",Kriterien!$E$6:$E$75,"nicht erfüllt")</f>
        <v>0</v>
      </c>
      <c r="E7" s="11" t="n">
        <f aca="false">COUNTIFS(Kriterien!$A$6:$A$75,A7,Kriterien!$D$6:$D$75,"Muss",Kriterien!$E$6:$E$75,"offen")</f>
        <v>7</v>
      </c>
      <c r="F7" s="11" t="str">
        <f aca="false">COUNTIFS(Kriterien!$A$6:$A$75,A7,Kriterien!$D$6:$D$75,"Soll",Kriterien!$E$6:$E$75,"erfüllt")&amp;" von "&amp;COUNTIFS(Kriterien!$A$6:$A$75,A7,Kriterien!$D$6:$D$75,"Soll")</f>
        <v>0 von 2</v>
      </c>
      <c r="G7" s="12" t="str">
        <f aca="false">IF(D7&gt;0,"ausgeschlossen",IF(E7&gt;0,"offen — "&amp;E7&amp;" Muss-Punkte klären","alle Muss-Kriterien belegt"))</f>
        <v>offen — 7 Muss-Punkte klären</v>
      </c>
      <c r="H7" s="11" t="str">
        <f aca="false">IFERROR(INDEX(Kriterien!$E$6:$E$75,MATCH(1,INDEX((Kriterien!$A$6:$A$75=A7)*(LEFT(Kriterien!$C$6:$C$75,3)="K6 "),0),0)),"—")</f>
        <v>offen</v>
      </c>
      <c r="I7" s="11" t="str">
        <f aca="false">IFERROR(INDEX('Testmail-Prüfung'!$I$16:$I$22,MATCH(A7,'Testmail-Prüfung'!$A$16:$A$22,0)),"—")</f>
        <v>nicht getestet</v>
      </c>
    </row>
    <row r="8" customFormat="false" ht="30" hidden="false" customHeight="true" outlineLevel="0" collapsed="false">
      <c r="A8" s="8" t="s">
        <v>89</v>
      </c>
      <c r="B8" s="10" t="s">
        <v>87</v>
      </c>
      <c r="C8" s="11" t="n">
        <f aca="false">COUNTIFS(Kriterien!$A$6:$A$75,A8,Kriterien!$D$6:$D$75,"Muss",Kriterien!$E$6:$E$75,"erfüllt")</f>
        <v>0</v>
      </c>
      <c r="D8" s="11" t="n">
        <f aca="false">COUNTIFS(Kriterien!$A$6:$A$75,A8,Kriterien!$D$6:$D$75,"Muss",Kriterien!$E$6:$E$75,"nicht erfüllt")</f>
        <v>0</v>
      </c>
      <c r="E8" s="11" t="n">
        <f aca="false">COUNTIFS(Kriterien!$A$6:$A$75,A8,Kriterien!$D$6:$D$75,"Muss",Kriterien!$E$6:$E$75,"offen")</f>
        <v>7</v>
      </c>
      <c r="F8" s="11" t="str">
        <f aca="false">COUNTIFS(Kriterien!$A$6:$A$75,A8,Kriterien!$D$6:$D$75,"Soll",Kriterien!$E$6:$E$75,"erfüllt")&amp;" von "&amp;COUNTIFS(Kriterien!$A$6:$A$75,A8,Kriterien!$D$6:$D$75,"Soll")</f>
        <v>0 von 2</v>
      </c>
      <c r="G8" s="12" t="str">
        <f aca="false">IF(D8&gt;0,"ausgeschlossen",IF(E8&gt;0,"offen — "&amp;E8&amp;" Muss-Punkte klären","alle Muss-Kriterien belegt"))</f>
        <v>offen — 7 Muss-Punkte klären</v>
      </c>
      <c r="H8" s="11" t="str">
        <f aca="false">IFERROR(INDEX(Kriterien!$E$6:$E$75,MATCH(1,INDEX((Kriterien!$A$6:$A$75=A8)*(LEFT(Kriterien!$C$6:$C$75,3)="K6 "),0),0)),"—")</f>
        <v>offen</v>
      </c>
      <c r="I8" s="11" t="str">
        <f aca="false">IFERROR(INDEX('Testmail-Prüfung'!$I$16:$I$22,MATCH(A8,'Testmail-Prüfung'!$A$16:$A$22,0)),"—")</f>
        <v>nicht getestet</v>
      </c>
    </row>
    <row r="9" customFormat="false" ht="30" hidden="false" customHeight="true" outlineLevel="0" collapsed="false">
      <c r="A9" s="8" t="s">
        <v>90</v>
      </c>
      <c r="B9" s="10" t="s">
        <v>87</v>
      </c>
      <c r="C9" s="11" t="n">
        <f aca="false">COUNTIFS(Kriterien!$A$6:$A$75,A9,Kriterien!$D$6:$D$75,"Muss",Kriterien!$E$6:$E$75,"erfüllt")</f>
        <v>2</v>
      </c>
      <c r="D9" s="11" t="n">
        <f aca="false">COUNTIFS(Kriterien!$A$6:$A$75,A9,Kriterien!$D$6:$D$75,"Muss",Kriterien!$E$6:$E$75,"nicht erfüllt")</f>
        <v>1</v>
      </c>
      <c r="E9" s="11" t="n">
        <f aca="false">COUNTIFS(Kriterien!$A$6:$A$75,A9,Kriterien!$D$6:$D$75,"Muss",Kriterien!$E$6:$E$75,"offen")</f>
        <v>4</v>
      </c>
      <c r="F9" s="11" t="str">
        <f aca="false">COUNTIFS(Kriterien!$A$6:$A$75,A9,Kriterien!$D$6:$D$75,"Soll",Kriterien!$E$6:$E$75,"erfüllt")&amp;" von "&amp;COUNTIFS(Kriterien!$A$6:$A$75,A9,Kriterien!$D$6:$D$75,"Soll")</f>
        <v>0 von 2</v>
      </c>
      <c r="G9" s="12" t="str">
        <f aca="false">IF(D9&gt;0,"ausgeschlossen",IF(E9&gt;0,"offen — "&amp;E9&amp;" Muss-Punkte klären","alle Muss-Kriterien belegt"))</f>
        <v>ausgeschlossen</v>
      </c>
      <c r="H9" s="11" t="str">
        <f aca="false">IFERROR(INDEX(Kriterien!$E$6:$E$75,MATCH(1,INDEX((Kriterien!$A$6:$A$75=A9)*(LEFT(Kriterien!$C$6:$C$75,3)="K6 "),0),0)),"—")</f>
        <v>erfüllt</v>
      </c>
      <c r="I9" s="11" t="str">
        <f aca="false">IFERROR(INDEX('Testmail-Prüfung'!$I$16:$I$22,MATCH(A9,'Testmail-Prüfung'!$A$16:$A$22,0)),"—")</f>
        <v>nicht getestet</v>
      </c>
    </row>
    <row r="10" customFormat="false" ht="30" hidden="false" customHeight="true" outlineLevel="0" collapsed="false">
      <c r="A10" s="8" t="s">
        <v>91</v>
      </c>
      <c r="B10" s="10" t="s">
        <v>92</v>
      </c>
      <c r="C10" s="11" t="n">
        <f aca="false">COUNTIFS(Kriterien!$A$6:$A$75,A10,Kriterien!$D$6:$D$75,"Muss",Kriterien!$E$6:$E$75,"erfüllt")</f>
        <v>4</v>
      </c>
      <c r="D10" s="11" t="n">
        <f aca="false">COUNTIFS(Kriterien!$A$6:$A$75,A10,Kriterien!$D$6:$D$75,"Muss",Kriterien!$E$6:$E$75,"nicht erfüllt")</f>
        <v>0</v>
      </c>
      <c r="E10" s="11" t="n">
        <f aca="false">COUNTIFS(Kriterien!$A$6:$A$75,A10,Kriterien!$D$6:$D$75,"Muss",Kriterien!$E$6:$E$75,"offen")</f>
        <v>3</v>
      </c>
      <c r="F10" s="11" t="str">
        <f aca="false">COUNTIFS(Kriterien!$A$6:$A$75,A10,Kriterien!$D$6:$D$75,"Soll",Kriterien!$E$6:$E$75,"erfüllt")&amp;" von "&amp;COUNTIFS(Kriterien!$A$6:$A$75,A10,Kriterien!$D$6:$D$75,"Soll")</f>
        <v>0 von 2</v>
      </c>
      <c r="G10" s="12" t="str">
        <f aca="false">IF(D10&gt;0,"ausgeschlossen",IF(E10&gt;0,"offen — "&amp;E10&amp;" Muss-Punkte klären","alle Muss-Kriterien belegt"))</f>
        <v>offen — 3 Muss-Punkte klären</v>
      </c>
      <c r="H10" s="11" t="str">
        <f aca="false">IFERROR(INDEX(Kriterien!$E$6:$E$75,MATCH(1,INDEX((Kriterien!$A$6:$A$75=A10)*(LEFT(Kriterien!$C$6:$C$75,3)="K6 "),0),0)),"—")</f>
        <v>erfüllt</v>
      </c>
      <c r="I10" s="11" t="str">
        <f aca="false">IFERROR(INDEX('Testmail-Prüfung'!$I$16:$I$22,MATCH(A10,'Testmail-Prüfung'!$A$16:$A$22,0)),"—")</f>
        <v>nicht getestet</v>
      </c>
    </row>
    <row r="11" customFormat="false" ht="30" hidden="false" customHeight="true" outlineLevel="0" collapsed="false">
      <c r="A11" s="8" t="s">
        <v>93</v>
      </c>
      <c r="B11" s="10" t="s">
        <v>94</v>
      </c>
      <c r="C11" s="11" t="n">
        <f aca="false">COUNTIFS(Kriterien!$A$6:$A$75,A11,Kriterien!$D$6:$D$75,"Muss",Kriterien!$E$6:$E$75,"erfüllt")</f>
        <v>2</v>
      </c>
      <c r="D11" s="11" t="n">
        <f aca="false">COUNTIFS(Kriterien!$A$6:$A$75,A11,Kriterien!$D$6:$D$75,"Muss",Kriterien!$E$6:$E$75,"nicht erfüllt")</f>
        <v>0</v>
      </c>
      <c r="E11" s="11" t="n">
        <f aca="false">COUNTIFS(Kriterien!$A$6:$A$75,A11,Kriterien!$D$6:$D$75,"Muss",Kriterien!$E$6:$E$75,"offen")</f>
        <v>5</v>
      </c>
      <c r="F11" s="11" t="str">
        <f aca="false">COUNTIFS(Kriterien!$A$6:$A$75,A11,Kriterien!$D$6:$D$75,"Soll",Kriterien!$E$6:$E$75,"erfüllt")&amp;" von "&amp;COUNTIFS(Kriterien!$A$6:$A$75,A11,Kriterien!$D$6:$D$75,"Soll")</f>
        <v>0 von 2</v>
      </c>
      <c r="G11" s="12" t="str">
        <f aca="false">IF(D11&gt;0,"ausgeschlossen",IF(E11&gt;0,"offen — "&amp;E11&amp;" Muss-Punkte klären","alle Muss-Kriterien belegt"))</f>
        <v>offen — 5 Muss-Punkte klären</v>
      </c>
      <c r="H11" s="11" t="str">
        <f aca="false">IFERROR(INDEX(Kriterien!$E$6:$E$75,MATCH(1,INDEX((Kriterien!$A$6:$A$75=A11)*(LEFT(Kriterien!$C$6:$C$75,3)="K6 "),0),0)),"—")</f>
        <v>offen</v>
      </c>
      <c r="I11" s="11" t="str">
        <f aca="false">IFERROR(INDEX('Testmail-Prüfung'!$I$16:$I$22,MATCH(A11,'Testmail-Prüfung'!$A$16:$A$22,0)),"—")</f>
        <v>nicht getestet</v>
      </c>
    </row>
    <row r="12" customFormat="false" ht="30" hidden="false" customHeight="true" outlineLevel="0" collapsed="false">
      <c r="A12" s="8" t="s">
        <v>95</v>
      </c>
      <c r="B12" s="10" t="s">
        <v>96</v>
      </c>
      <c r="C12" s="11" t="n">
        <f aca="false">COUNTIFS(Kriterien!$A$6:$A$75,A12,Kriterien!$D$6:$D$75,"Muss",Kriterien!$E$6:$E$75,"erfüllt")</f>
        <v>1</v>
      </c>
      <c r="D12" s="11" t="n">
        <f aca="false">COUNTIFS(Kriterien!$A$6:$A$75,A12,Kriterien!$D$6:$D$75,"Muss",Kriterien!$E$6:$E$75,"nicht erfüllt")</f>
        <v>0</v>
      </c>
      <c r="E12" s="11" t="n">
        <f aca="false">COUNTIFS(Kriterien!$A$6:$A$75,A12,Kriterien!$D$6:$D$75,"Muss",Kriterien!$E$6:$E$75,"offen")</f>
        <v>6</v>
      </c>
      <c r="F12" s="11" t="str">
        <f aca="false">COUNTIFS(Kriterien!$A$6:$A$75,A12,Kriterien!$D$6:$D$75,"Soll",Kriterien!$E$6:$E$75,"erfüllt")&amp;" von "&amp;COUNTIFS(Kriterien!$A$6:$A$75,A12,Kriterien!$D$6:$D$75,"Soll")</f>
        <v>0 von 2</v>
      </c>
      <c r="G12" s="12" t="str">
        <f aca="false">IF(D12&gt;0,"ausgeschlossen",IF(E12&gt;0,"offen — "&amp;E12&amp;" Muss-Punkte klären","alle Muss-Kriterien belegt"))</f>
        <v>offen — 6 Muss-Punkte klären</v>
      </c>
      <c r="H12" s="11" t="str">
        <f aca="false">IFERROR(INDEX(Kriterien!$E$6:$E$75,MATCH(1,INDEX((Kriterien!$A$6:$A$75=A12)*(LEFT(Kriterien!$C$6:$C$75,3)="K6 "),0),0)),"—")</f>
        <v>erfüllt</v>
      </c>
      <c r="I12" s="11" t="str">
        <f aca="false">IFERROR(INDEX('Testmail-Prüfung'!$I$16:$I$22,MATCH(A12,'Testmail-Prüfung'!$A$16:$A$22,0)),"—")</f>
        <v>nicht getestet</v>
      </c>
    </row>
    <row r="14" customFormat="false" ht="15" hidden="false" customHeight="false" outlineLevel="0" collapsed="false">
      <c r="A14" s="4" t="s">
        <v>97</v>
      </c>
    </row>
    <row r="15" customFormat="false" ht="30" hidden="false" customHeight="true" outlineLevel="0" collapsed="false">
      <c r="A15" s="13" t="n">
        <f aca="false">COUNTIF(G6:G12,"alle Muss-Kriterien belegt")</f>
        <v>0</v>
      </c>
      <c r="B15" s="5" t="s">
        <v>98</v>
      </c>
      <c r="C15" s="5"/>
      <c r="D15" s="5"/>
      <c r="E15" s="5"/>
      <c r="F15" s="5"/>
      <c r="G15" s="5"/>
      <c r="H15" s="5"/>
      <c r="I15" s="5"/>
    </row>
    <row r="16" customFormat="false" ht="15" hidden="false" customHeight="true" outlineLevel="0" collapsed="false">
      <c r="A16" s="13" t="n">
        <f aca="false">COUNTIF(G6:G12,"ausgeschlossen")</f>
        <v>1</v>
      </c>
      <c r="B16" s="5" t="s">
        <v>99</v>
      </c>
      <c r="C16" s="5"/>
      <c r="D16" s="5"/>
      <c r="E16" s="5"/>
      <c r="F16" s="5"/>
      <c r="G16" s="5"/>
      <c r="H16" s="5"/>
      <c r="I16" s="5"/>
    </row>
    <row r="18" customFormat="false" ht="15" hidden="false" customHeight="false" outlineLevel="0" collapsed="false">
      <c r="A18" s="4" t="s">
        <v>100</v>
      </c>
    </row>
    <row r="19" customFormat="false" ht="45" hidden="false" customHeight="true" outlineLevel="0" collapsed="false">
      <c r="A19" s="5" t="s">
        <v>101</v>
      </c>
      <c r="B19" s="5"/>
      <c r="C19" s="5"/>
      <c r="D19" s="5"/>
      <c r="E19" s="5"/>
      <c r="F19" s="5"/>
      <c r="G19" s="5"/>
      <c r="H19" s="5"/>
      <c r="I19" s="5"/>
    </row>
  </sheetData>
  <mergeCells count="4">
    <mergeCell ref="A3:I3"/>
    <mergeCell ref="B15:I15"/>
    <mergeCell ref="B16:I16"/>
    <mergeCell ref="A19:I19"/>
  </mergeCells>
  <conditionalFormatting sqref="G6:G12">
    <cfRule type="expression" priority="2" aboveAverage="0" equalAverage="0" bottom="0" percent="0" rank="0" text="" dxfId="0">
      <formula>D6&gt;0</formula>
    </cfRule>
    <cfRule type="expression" priority="3" aboveAverage="0" equalAverage="0" bottom="0" percent="0" rank="0" text="" dxfId="1">
      <formula>AND(D6=0,E6=0)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34"/>
    <col collapsed="false" customWidth="true" hidden="false" outlineLevel="0" max="4" min="4" style="0" width="10"/>
    <col collapsed="false" customWidth="true" hidden="false" outlineLevel="0" max="5" min="5" style="0" width="14"/>
    <col collapsed="false" customWidth="true" hidden="false" outlineLevel="0" max="6" min="6" style="0" width="70"/>
    <col collapsed="false" customWidth="true" hidden="false" outlineLevel="0" max="8" min="7" style="0" width="12"/>
    <col collapsed="false" customWidth="true" hidden="false" outlineLevel="0" max="9" min="9" style="0" width="16"/>
    <col collapsed="false" customWidth="true" hidden="false" outlineLevel="0" max="10" min="10" style="0" width="30"/>
  </cols>
  <sheetData>
    <row r="1" customFormat="false" ht="19.7" hidden="false" customHeight="false" outlineLevel="0" collapsed="false">
      <c r="A1" s="1" t="s">
        <v>102</v>
      </c>
    </row>
    <row r="2" customFormat="false" ht="15" hidden="false" customHeight="false" outlineLevel="0" collapsed="false">
      <c r="A2" s="2" t="s">
        <v>1</v>
      </c>
    </row>
    <row r="3" customFormat="false" ht="30" hidden="false" customHeight="true" outlineLevel="0" collapsed="false">
      <c r="A3" s="3" t="s">
        <v>103</v>
      </c>
      <c r="B3" s="3"/>
      <c r="C3" s="3"/>
      <c r="D3" s="3"/>
      <c r="E3" s="3"/>
      <c r="F3" s="3"/>
      <c r="G3" s="3"/>
      <c r="H3" s="3"/>
      <c r="I3" s="3"/>
      <c r="J3" s="3"/>
    </row>
    <row r="5" customFormat="false" ht="31.5" hidden="false" customHeight="true" outlineLevel="0" collapsed="false">
      <c r="A5" s="7" t="s">
        <v>78</v>
      </c>
      <c r="B5" s="7" t="s">
        <v>104</v>
      </c>
      <c r="C5" s="7" t="s">
        <v>19</v>
      </c>
      <c r="D5" s="7" t="s">
        <v>105</v>
      </c>
      <c r="E5" s="7" t="s">
        <v>106</v>
      </c>
      <c r="F5" s="7" t="s">
        <v>107</v>
      </c>
      <c r="G5" s="7" t="s">
        <v>48</v>
      </c>
      <c r="H5" s="7" t="s">
        <v>108</v>
      </c>
      <c r="I5" s="7" t="s">
        <v>109</v>
      </c>
      <c r="J5" s="7" t="s">
        <v>110</v>
      </c>
    </row>
    <row r="6" customFormat="false" ht="60" hidden="false" customHeight="true" outlineLevel="0" collapsed="false">
      <c r="A6" s="8" t="s">
        <v>86</v>
      </c>
      <c r="B6" s="10" t="s">
        <v>87</v>
      </c>
      <c r="C6" s="10" t="s">
        <v>22</v>
      </c>
      <c r="D6" s="9" t="s">
        <v>23</v>
      </c>
      <c r="E6" s="14" t="s">
        <v>111</v>
      </c>
      <c r="F6" s="10" t="s">
        <v>112</v>
      </c>
      <c r="G6" s="9" t="s">
        <v>113</v>
      </c>
      <c r="H6" s="9" t="s">
        <v>114</v>
      </c>
      <c r="I6" s="15"/>
      <c r="J6" s="16"/>
    </row>
    <row r="7" customFormat="false" ht="45" hidden="false" customHeight="true" outlineLevel="0" collapsed="false">
      <c r="A7" s="8" t="s">
        <v>86</v>
      </c>
      <c r="B7" s="10" t="s">
        <v>87</v>
      </c>
      <c r="C7" s="10" t="s">
        <v>25</v>
      </c>
      <c r="D7" s="9" t="s">
        <v>23</v>
      </c>
      <c r="E7" s="14" t="s">
        <v>115</v>
      </c>
      <c r="F7" s="10" t="s">
        <v>116</v>
      </c>
      <c r="G7" s="9" t="s">
        <v>117</v>
      </c>
      <c r="H7" s="9" t="s">
        <v>114</v>
      </c>
      <c r="I7" s="15"/>
      <c r="J7" s="16"/>
    </row>
    <row r="8" customFormat="false" ht="30" hidden="false" customHeight="true" outlineLevel="0" collapsed="false">
      <c r="A8" s="8" t="s">
        <v>86</v>
      </c>
      <c r="B8" s="10" t="s">
        <v>87</v>
      </c>
      <c r="C8" s="10" t="s">
        <v>27</v>
      </c>
      <c r="D8" s="9" t="s">
        <v>23</v>
      </c>
      <c r="E8" s="14" t="s">
        <v>111</v>
      </c>
      <c r="F8" s="10" t="s">
        <v>118</v>
      </c>
      <c r="G8" s="9" t="s">
        <v>119</v>
      </c>
      <c r="H8" s="9" t="s">
        <v>114</v>
      </c>
      <c r="I8" s="15"/>
      <c r="J8" s="16"/>
    </row>
    <row r="9" customFormat="false" ht="60" hidden="false" customHeight="true" outlineLevel="0" collapsed="false">
      <c r="A9" s="8" t="s">
        <v>86</v>
      </c>
      <c r="B9" s="10" t="s">
        <v>87</v>
      </c>
      <c r="C9" s="10" t="s">
        <v>29</v>
      </c>
      <c r="D9" s="9" t="s">
        <v>23</v>
      </c>
      <c r="E9" s="14" t="s">
        <v>111</v>
      </c>
      <c r="F9" s="10" t="s">
        <v>120</v>
      </c>
      <c r="G9" s="9" t="s">
        <v>121</v>
      </c>
      <c r="H9" s="9" t="s">
        <v>114</v>
      </c>
      <c r="I9" s="15"/>
      <c r="J9" s="16"/>
    </row>
    <row r="10" customFormat="false" ht="15" hidden="false" customHeight="true" outlineLevel="0" collapsed="false">
      <c r="A10" s="8" t="s">
        <v>86</v>
      </c>
      <c r="B10" s="10" t="s">
        <v>87</v>
      </c>
      <c r="C10" s="10" t="s">
        <v>31</v>
      </c>
      <c r="D10" s="9" t="s">
        <v>23</v>
      </c>
      <c r="E10" s="14" t="s">
        <v>115</v>
      </c>
      <c r="F10" s="10" t="s">
        <v>122</v>
      </c>
      <c r="G10" s="9" t="s">
        <v>123</v>
      </c>
      <c r="H10" s="9" t="s">
        <v>123</v>
      </c>
      <c r="I10" s="15"/>
      <c r="J10" s="16"/>
    </row>
    <row r="11" customFormat="false" ht="60" hidden="false" customHeight="true" outlineLevel="0" collapsed="false">
      <c r="A11" s="8" t="s">
        <v>86</v>
      </c>
      <c r="B11" s="10" t="s">
        <v>87</v>
      </c>
      <c r="C11" s="10" t="s">
        <v>33</v>
      </c>
      <c r="D11" s="9" t="s">
        <v>23</v>
      </c>
      <c r="E11" s="14" t="s">
        <v>111</v>
      </c>
      <c r="F11" s="10" t="s">
        <v>124</v>
      </c>
      <c r="G11" s="9" t="s">
        <v>63</v>
      </c>
      <c r="H11" s="9" t="s">
        <v>114</v>
      </c>
      <c r="I11" s="15"/>
      <c r="J11" s="16"/>
    </row>
    <row r="12" customFormat="false" ht="15" hidden="false" customHeight="true" outlineLevel="0" collapsed="false">
      <c r="A12" s="8" t="s">
        <v>86</v>
      </c>
      <c r="B12" s="10" t="s">
        <v>87</v>
      </c>
      <c r="C12" s="10" t="s">
        <v>35</v>
      </c>
      <c r="D12" s="9" t="s">
        <v>23</v>
      </c>
      <c r="E12" s="14" t="s">
        <v>115</v>
      </c>
      <c r="F12" s="10" t="s">
        <v>122</v>
      </c>
      <c r="G12" s="9" t="s">
        <v>123</v>
      </c>
      <c r="H12" s="9" t="s">
        <v>123</v>
      </c>
      <c r="I12" s="15"/>
      <c r="J12" s="16"/>
    </row>
    <row r="13" customFormat="false" ht="15" hidden="false" customHeight="true" outlineLevel="0" collapsed="false">
      <c r="A13" s="8" t="s">
        <v>86</v>
      </c>
      <c r="B13" s="10" t="s">
        <v>87</v>
      </c>
      <c r="C13" s="10" t="s">
        <v>37</v>
      </c>
      <c r="D13" s="9" t="s">
        <v>38</v>
      </c>
      <c r="E13" s="14" t="s">
        <v>115</v>
      </c>
      <c r="F13" s="10" t="s">
        <v>125</v>
      </c>
      <c r="G13" s="9" t="s">
        <v>126</v>
      </c>
      <c r="H13" s="9" t="s">
        <v>114</v>
      </c>
      <c r="I13" s="15"/>
      <c r="J13" s="16"/>
    </row>
    <row r="14" customFormat="false" ht="30" hidden="false" customHeight="true" outlineLevel="0" collapsed="false">
      <c r="A14" s="8" t="s">
        <v>86</v>
      </c>
      <c r="B14" s="10" t="s">
        <v>87</v>
      </c>
      <c r="C14" s="10" t="s">
        <v>40</v>
      </c>
      <c r="D14" s="9" t="s">
        <v>38</v>
      </c>
      <c r="E14" s="14" t="s">
        <v>115</v>
      </c>
      <c r="F14" s="10" t="s">
        <v>127</v>
      </c>
      <c r="G14" s="9" t="s">
        <v>126</v>
      </c>
      <c r="H14" s="9" t="s">
        <v>114</v>
      </c>
      <c r="I14" s="15"/>
      <c r="J14" s="16"/>
    </row>
    <row r="15" customFormat="false" ht="30" hidden="false" customHeight="true" outlineLevel="0" collapsed="false">
      <c r="A15" s="8" t="s">
        <v>86</v>
      </c>
      <c r="B15" s="10" t="s">
        <v>87</v>
      </c>
      <c r="C15" s="10" t="s">
        <v>42</v>
      </c>
      <c r="D15" s="9" t="s">
        <v>43</v>
      </c>
      <c r="E15" s="14" t="s">
        <v>115</v>
      </c>
      <c r="F15" s="10" t="s">
        <v>128</v>
      </c>
      <c r="G15" s="9" t="s">
        <v>129</v>
      </c>
      <c r="H15" s="9" t="s">
        <v>114</v>
      </c>
      <c r="I15" s="15"/>
      <c r="J15" s="16"/>
    </row>
    <row r="16" customFormat="false" ht="15" hidden="false" customHeight="true" outlineLevel="0" collapsed="false">
      <c r="A16" s="8" t="s">
        <v>88</v>
      </c>
      <c r="B16" s="10" t="s">
        <v>87</v>
      </c>
      <c r="C16" s="10" t="s">
        <v>22</v>
      </c>
      <c r="D16" s="9" t="s">
        <v>23</v>
      </c>
      <c r="E16" s="14" t="s">
        <v>115</v>
      </c>
      <c r="F16" s="10" t="s">
        <v>122</v>
      </c>
      <c r="G16" s="9" t="s">
        <v>123</v>
      </c>
      <c r="H16" s="9" t="s">
        <v>123</v>
      </c>
      <c r="I16" s="15"/>
      <c r="J16" s="16"/>
    </row>
    <row r="17" customFormat="false" ht="15" hidden="false" customHeight="true" outlineLevel="0" collapsed="false">
      <c r="A17" s="8" t="s">
        <v>88</v>
      </c>
      <c r="B17" s="10" t="s">
        <v>87</v>
      </c>
      <c r="C17" s="10" t="s">
        <v>25</v>
      </c>
      <c r="D17" s="9" t="s">
        <v>23</v>
      </c>
      <c r="E17" s="14" t="s">
        <v>115</v>
      </c>
      <c r="F17" s="10" t="s">
        <v>122</v>
      </c>
      <c r="G17" s="9" t="s">
        <v>123</v>
      </c>
      <c r="H17" s="9" t="s">
        <v>123</v>
      </c>
      <c r="I17" s="15"/>
      <c r="J17" s="16"/>
    </row>
    <row r="18" customFormat="false" ht="30" hidden="false" customHeight="true" outlineLevel="0" collapsed="false">
      <c r="A18" s="8" t="s">
        <v>88</v>
      </c>
      <c r="B18" s="10" t="s">
        <v>87</v>
      </c>
      <c r="C18" s="10" t="s">
        <v>27</v>
      </c>
      <c r="D18" s="9" t="s">
        <v>23</v>
      </c>
      <c r="E18" s="14" t="s">
        <v>115</v>
      </c>
      <c r="F18" s="10" t="s">
        <v>130</v>
      </c>
      <c r="G18" s="9" t="s">
        <v>131</v>
      </c>
      <c r="H18" s="9" t="s">
        <v>114</v>
      </c>
      <c r="I18" s="15"/>
      <c r="J18" s="16"/>
    </row>
    <row r="19" customFormat="false" ht="15" hidden="false" customHeight="true" outlineLevel="0" collapsed="false">
      <c r="A19" s="8" t="s">
        <v>88</v>
      </c>
      <c r="B19" s="10" t="s">
        <v>87</v>
      </c>
      <c r="C19" s="10" t="s">
        <v>29</v>
      </c>
      <c r="D19" s="9" t="s">
        <v>23</v>
      </c>
      <c r="E19" s="14" t="s">
        <v>115</v>
      </c>
      <c r="F19" s="10" t="s">
        <v>122</v>
      </c>
      <c r="G19" s="9" t="s">
        <v>123</v>
      </c>
      <c r="H19" s="9" t="s">
        <v>123</v>
      </c>
      <c r="I19" s="15"/>
      <c r="J19" s="16"/>
    </row>
    <row r="20" customFormat="false" ht="15" hidden="false" customHeight="true" outlineLevel="0" collapsed="false">
      <c r="A20" s="8" t="s">
        <v>88</v>
      </c>
      <c r="B20" s="10" t="s">
        <v>87</v>
      </c>
      <c r="C20" s="10" t="s">
        <v>31</v>
      </c>
      <c r="D20" s="9" t="s">
        <v>23</v>
      </c>
      <c r="E20" s="14" t="s">
        <v>115</v>
      </c>
      <c r="F20" s="10" t="s">
        <v>122</v>
      </c>
      <c r="G20" s="9" t="s">
        <v>123</v>
      </c>
      <c r="H20" s="9" t="s">
        <v>123</v>
      </c>
      <c r="I20" s="15"/>
      <c r="J20" s="16"/>
    </row>
    <row r="21" customFormat="false" ht="60" hidden="false" customHeight="true" outlineLevel="0" collapsed="false">
      <c r="A21" s="8" t="s">
        <v>88</v>
      </c>
      <c r="B21" s="10" t="s">
        <v>87</v>
      </c>
      <c r="C21" s="10" t="s">
        <v>33</v>
      </c>
      <c r="D21" s="9" t="s">
        <v>23</v>
      </c>
      <c r="E21" s="14" t="s">
        <v>115</v>
      </c>
      <c r="F21" s="10" t="s">
        <v>132</v>
      </c>
      <c r="G21" s="9" t="s">
        <v>133</v>
      </c>
      <c r="H21" s="9" t="s">
        <v>114</v>
      </c>
      <c r="I21" s="15"/>
      <c r="J21" s="16"/>
    </row>
    <row r="22" customFormat="false" ht="15" hidden="false" customHeight="true" outlineLevel="0" collapsed="false">
      <c r="A22" s="8" t="s">
        <v>88</v>
      </c>
      <c r="B22" s="10" t="s">
        <v>87</v>
      </c>
      <c r="C22" s="10" t="s">
        <v>35</v>
      </c>
      <c r="D22" s="9" t="s">
        <v>23</v>
      </c>
      <c r="E22" s="14" t="s">
        <v>115</v>
      </c>
      <c r="F22" s="10" t="s">
        <v>122</v>
      </c>
      <c r="G22" s="9" t="s">
        <v>123</v>
      </c>
      <c r="H22" s="9" t="s">
        <v>123</v>
      </c>
      <c r="I22" s="15"/>
      <c r="J22" s="16"/>
    </row>
    <row r="23" customFormat="false" ht="15" hidden="false" customHeight="true" outlineLevel="0" collapsed="false">
      <c r="A23" s="8" t="s">
        <v>88</v>
      </c>
      <c r="B23" s="10" t="s">
        <v>87</v>
      </c>
      <c r="C23" s="10" t="s">
        <v>37</v>
      </c>
      <c r="D23" s="9" t="s">
        <v>38</v>
      </c>
      <c r="E23" s="14" t="s">
        <v>115</v>
      </c>
      <c r="F23" s="10" t="s">
        <v>122</v>
      </c>
      <c r="G23" s="9" t="s">
        <v>123</v>
      </c>
      <c r="H23" s="9" t="s">
        <v>123</v>
      </c>
      <c r="I23" s="15"/>
      <c r="J23" s="16"/>
    </row>
    <row r="24" customFormat="false" ht="15" hidden="false" customHeight="true" outlineLevel="0" collapsed="false">
      <c r="A24" s="8" t="s">
        <v>88</v>
      </c>
      <c r="B24" s="10" t="s">
        <v>87</v>
      </c>
      <c r="C24" s="10" t="s">
        <v>40</v>
      </c>
      <c r="D24" s="9" t="s">
        <v>38</v>
      </c>
      <c r="E24" s="14" t="s">
        <v>115</v>
      </c>
      <c r="F24" s="10" t="s">
        <v>122</v>
      </c>
      <c r="G24" s="9" t="s">
        <v>123</v>
      </c>
      <c r="H24" s="9" t="s">
        <v>123</v>
      </c>
      <c r="I24" s="15"/>
      <c r="J24" s="16"/>
    </row>
    <row r="25" customFormat="false" ht="15" hidden="false" customHeight="true" outlineLevel="0" collapsed="false">
      <c r="A25" s="8" t="s">
        <v>88</v>
      </c>
      <c r="B25" s="10" t="s">
        <v>87</v>
      </c>
      <c r="C25" s="10" t="s">
        <v>42</v>
      </c>
      <c r="D25" s="9" t="s">
        <v>43</v>
      </c>
      <c r="E25" s="14" t="s">
        <v>115</v>
      </c>
      <c r="F25" s="10" t="s">
        <v>122</v>
      </c>
      <c r="G25" s="9" t="s">
        <v>123</v>
      </c>
      <c r="H25" s="9" t="s">
        <v>123</v>
      </c>
      <c r="I25" s="15"/>
      <c r="J25" s="16"/>
    </row>
    <row r="26" customFormat="false" ht="15" hidden="false" customHeight="true" outlineLevel="0" collapsed="false">
      <c r="A26" s="8" t="s">
        <v>89</v>
      </c>
      <c r="B26" s="10" t="s">
        <v>87</v>
      </c>
      <c r="C26" s="10" t="s">
        <v>22</v>
      </c>
      <c r="D26" s="9" t="s">
        <v>23</v>
      </c>
      <c r="E26" s="14" t="s">
        <v>115</v>
      </c>
      <c r="F26" s="10" t="s">
        <v>122</v>
      </c>
      <c r="G26" s="9" t="s">
        <v>123</v>
      </c>
      <c r="H26" s="9" t="s">
        <v>123</v>
      </c>
      <c r="I26" s="15"/>
      <c r="J26" s="16"/>
    </row>
    <row r="27" customFormat="false" ht="15" hidden="false" customHeight="true" outlineLevel="0" collapsed="false">
      <c r="A27" s="8" t="s">
        <v>89</v>
      </c>
      <c r="B27" s="10" t="s">
        <v>87</v>
      </c>
      <c r="C27" s="10" t="s">
        <v>25</v>
      </c>
      <c r="D27" s="9" t="s">
        <v>23</v>
      </c>
      <c r="E27" s="14" t="s">
        <v>115</v>
      </c>
      <c r="F27" s="10" t="s">
        <v>122</v>
      </c>
      <c r="G27" s="9" t="s">
        <v>123</v>
      </c>
      <c r="H27" s="9" t="s">
        <v>123</v>
      </c>
      <c r="I27" s="15"/>
      <c r="J27" s="16"/>
    </row>
    <row r="28" customFormat="false" ht="15" hidden="false" customHeight="true" outlineLevel="0" collapsed="false">
      <c r="A28" s="8" t="s">
        <v>89</v>
      </c>
      <c r="B28" s="10" t="s">
        <v>87</v>
      </c>
      <c r="C28" s="10" t="s">
        <v>27</v>
      </c>
      <c r="D28" s="9" t="s">
        <v>23</v>
      </c>
      <c r="E28" s="14" t="s">
        <v>115</v>
      </c>
      <c r="F28" s="10" t="s">
        <v>122</v>
      </c>
      <c r="G28" s="9" t="s">
        <v>123</v>
      </c>
      <c r="H28" s="9" t="s">
        <v>123</v>
      </c>
      <c r="I28" s="15"/>
      <c r="J28" s="16"/>
    </row>
    <row r="29" customFormat="false" ht="15" hidden="false" customHeight="true" outlineLevel="0" collapsed="false">
      <c r="A29" s="8" t="s">
        <v>89</v>
      </c>
      <c r="B29" s="10" t="s">
        <v>87</v>
      </c>
      <c r="C29" s="10" t="s">
        <v>29</v>
      </c>
      <c r="D29" s="9" t="s">
        <v>23</v>
      </c>
      <c r="E29" s="14" t="s">
        <v>115</v>
      </c>
      <c r="F29" s="10" t="s">
        <v>122</v>
      </c>
      <c r="G29" s="9" t="s">
        <v>123</v>
      </c>
      <c r="H29" s="9" t="s">
        <v>123</v>
      </c>
      <c r="I29" s="15"/>
      <c r="J29" s="16"/>
    </row>
    <row r="30" customFormat="false" ht="15" hidden="false" customHeight="true" outlineLevel="0" collapsed="false">
      <c r="A30" s="8" t="s">
        <v>89</v>
      </c>
      <c r="B30" s="10" t="s">
        <v>87</v>
      </c>
      <c r="C30" s="10" t="s">
        <v>31</v>
      </c>
      <c r="D30" s="9" t="s">
        <v>23</v>
      </c>
      <c r="E30" s="14" t="s">
        <v>115</v>
      </c>
      <c r="F30" s="10" t="s">
        <v>122</v>
      </c>
      <c r="G30" s="9" t="s">
        <v>123</v>
      </c>
      <c r="H30" s="9" t="s">
        <v>123</v>
      </c>
      <c r="I30" s="15"/>
      <c r="J30" s="16"/>
    </row>
    <row r="31" customFormat="false" ht="75" hidden="false" customHeight="true" outlineLevel="0" collapsed="false">
      <c r="A31" s="8" t="s">
        <v>89</v>
      </c>
      <c r="B31" s="10" t="s">
        <v>87</v>
      </c>
      <c r="C31" s="10" t="s">
        <v>33</v>
      </c>
      <c r="D31" s="9" t="s">
        <v>23</v>
      </c>
      <c r="E31" s="14" t="s">
        <v>115</v>
      </c>
      <c r="F31" s="10" t="s">
        <v>134</v>
      </c>
      <c r="G31" s="9" t="s">
        <v>135</v>
      </c>
      <c r="H31" s="9" t="s">
        <v>114</v>
      </c>
      <c r="I31" s="15"/>
      <c r="J31" s="16"/>
    </row>
    <row r="32" customFormat="false" ht="15" hidden="false" customHeight="true" outlineLevel="0" collapsed="false">
      <c r="A32" s="8" t="s">
        <v>89</v>
      </c>
      <c r="B32" s="10" t="s">
        <v>87</v>
      </c>
      <c r="C32" s="10" t="s">
        <v>35</v>
      </c>
      <c r="D32" s="9" t="s">
        <v>23</v>
      </c>
      <c r="E32" s="14" t="s">
        <v>115</v>
      </c>
      <c r="F32" s="10" t="s">
        <v>122</v>
      </c>
      <c r="G32" s="9" t="s">
        <v>123</v>
      </c>
      <c r="H32" s="9" t="s">
        <v>123</v>
      </c>
      <c r="I32" s="15"/>
      <c r="J32" s="16"/>
    </row>
    <row r="33" customFormat="false" ht="15" hidden="false" customHeight="true" outlineLevel="0" collapsed="false">
      <c r="A33" s="8" t="s">
        <v>89</v>
      </c>
      <c r="B33" s="10" t="s">
        <v>87</v>
      </c>
      <c r="C33" s="10" t="s">
        <v>37</v>
      </c>
      <c r="D33" s="9" t="s">
        <v>38</v>
      </c>
      <c r="E33" s="14" t="s">
        <v>115</v>
      </c>
      <c r="F33" s="10" t="s">
        <v>122</v>
      </c>
      <c r="G33" s="9" t="s">
        <v>123</v>
      </c>
      <c r="H33" s="9" t="s">
        <v>123</v>
      </c>
      <c r="I33" s="15"/>
      <c r="J33" s="16"/>
    </row>
    <row r="34" customFormat="false" ht="15" hidden="false" customHeight="true" outlineLevel="0" collapsed="false">
      <c r="A34" s="8" t="s">
        <v>89</v>
      </c>
      <c r="B34" s="10" t="s">
        <v>87</v>
      </c>
      <c r="C34" s="10" t="s">
        <v>40</v>
      </c>
      <c r="D34" s="9" t="s">
        <v>38</v>
      </c>
      <c r="E34" s="14" t="s">
        <v>115</v>
      </c>
      <c r="F34" s="10" t="s">
        <v>122</v>
      </c>
      <c r="G34" s="9" t="s">
        <v>123</v>
      </c>
      <c r="H34" s="9" t="s">
        <v>123</v>
      </c>
      <c r="I34" s="15"/>
      <c r="J34" s="16"/>
    </row>
    <row r="35" customFormat="false" ht="15" hidden="false" customHeight="true" outlineLevel="0" collapsed="false">
      <c r="A35" s="8" t="s">
        <v>89</v>
      </c>
      <c r="B35" s="10" t="s">
        <v>87</v>
      </c>
      <c r="C35" s="10" t="s">
        <v>42</v>
      </c>
      <c r="D35" s="9" t="s">
        <v>43</v>
      </c>
      <c r="E35" s="14" t="s">
        <v>115</v>
      </c>
      <c r="F35" s="10" t="s">
        <v>122</v>
      </c>
      <c r="G35" s="9" t="s">
        <v>123</v>
      </c>
      <c r="H35" s="9" t="s">
        <v>123</v>
      </c>
      <c r="I35" s="15"/>
      <c r="J35" s="16"/>
    </row>
    <row r="36" customFormat="false" ht="30" hidden="false" customHeight="true" outlineLevel="0" collapsed="false">
      <c r="A36" s="8" t="s">
        <v>90</v>
      </c>
      <c r="B36" s="10" t="s">
        <v>87</v>
      </c>
      <c r="C36" s="10" t="s">
        <v>22</v>
      </c>
      <c r="D36" s="9" t="s">
        <v>23</v>
      </c>
      <c r="E36" s="14" t="s">
        <v>111</v>
      </c>
      <c r="F36" s="10" t="s">
        <v>136</v>
      </c>
      <c r="G36" s="9" t="s">
        <v>137</v>
      </c>
      <c r="H36" s="9" t="s">
        <v>114</v>
      </c>
      <c r="I36" s="15"/>
      <c r="J36" s="16"/>
    </row>
    <row r="37" customFormat="false" ht="45" hidden="false" customHeight="true" outlineLevel="0" collapsed="false">
      <c r="A37" s="8" t="s">
        <v>90</v>
      </c>
      <c r="B37" s="10" t="s">
        <v>87</v>
      </c>
      <c r="C37" s="10" t="s">
        <v>25</v>
      </c>
      <c r="D37" s="9" t="s">
        <v>23</v>
      </c>
      <c r="E37" s="14" t="s">
        <v>138</v>
      </c>
      <c r="F37" s="10" t="s">
        <v>139</v>
      </c>
      <c r="G37" s="9" t="s">
        <v>137</v>
      </c>
      <c r="H37" s="9" t="s">
        <v>114</v>
      </c>
      <c r="I37" s="15"/>
      <c r="J37" s="16"/>
    </row>
    <row r="38" customFormat="false" ht="15" hidden="false" customHeight="true" outlineLevel="0" collapsed="false">
      <c r="A38" s="8" t="s">
        <v>90</v>
      </c>
      <c r="B38" s="10" t="s">
        <v>87</v>
      </c>
      <c r="C38" s="10" t="s">
        <v>27</v>
      </c>
      <c r="D38" s="9" t="s">
        <v>23</v>
      </c>
      <c r="E38" s="14" t="s">
        <v>115</v>
      </c>
      <c r="F38" s="10" t="s">
        <v>122</v>
      </c>
      <c r="G38" s="9" t="s">
        <v>123</v>
      </c>
      <c r="H38" s="9" t="s">
        <v>123</v>
      </c>
      <c r="I38" s="15"/>
      <c r="J38" s="16"/>
    </row>
    <row r="39" customFormat="false" ht="15" hidden="false" customHeight="true" outlineLevel="0" collapsed="false">
      <c r="A39" s="8" t="s">
        <v>90</v>
      </c>
      <c r="B39" s="10" t="s">
        <v>87</v>
      </c>
      <c r="C39" s="10" t="s">
        <v>29</v>
      </c>
      <c r="D39" s="9" t="s">
        <v>23</v>
      </c>
      <c r="E39" s="14" t="s">
        <v>115</v>
      </c>
      <c r="F39" s="10" t="s">
        <v>122</v>
      </c>
      <c r="G39" s="9" t="s">
        <v>123</v>
      </c>
      <c r="H39" s="9" t="s">
        <v>123</v>
      </c>
      <c r="I39" s="15"/>
      <c r="J39" s="16"/>
    </row>
    <row r="40" customFormat="false" ht="15" hidden="false" customHeight="true" outlineLevel="0" collapsed="false">
      <c r="A40" s="8" t="s">
        <v>90</v>
      </c>
      <c r="B40" s="10" t="s">
        <v>87</v>
      </c>
      <c r="C40" s="10" t="s">
        <v>31</v>
      </c>
      <c r="D40" s="9" t="s">
        <v>23</v>
      </c>
      <c r="E40" s="14" t="s">
        <v>115</v>
      </c>
      <c r="F40" s="10" t="s">
        <v>122</v>
      </c>
      <c r="G40" s="9" t="s">
        <v>123</v>
      </c>
      <c r="H40" s="9" t="s">
        <v>123</v>
      </c>
      <c r="I40" s="15"/>
      <c r="J40" s="16"/>
    </row>
    <row r="41" customFormat="false" ht="45" hidden="false" customHeight="true" outlineLevel="0" collapsed="false">
      <c r="A41" s="8" t="s">
        <v>90</v>
      </c>
      <c r="B41" s="10" t="s">
        <v>87</v>
      </c>
      <c r="C41" s="10" t="s">
        <v>33</v>
      </c>
      <c r="D41" s="9" t="s">
        <v>23</v>
      </c>
      <c r="E41" s="14" t="s">
        <v>111</v>
      </c>
      <c r="F41" s="10" t="s">
        <v>140</v>
      </c>
      <c r="G41" s="9" t="s">
        <v>75</v>
      </c>
      <c r="H41" s="9" t="s">
        <v>114</v>
      </c>
      <c r="I41" s="15"/>
      <c r="J41" s="16"/>
    </row>
    <row r="42" customFormat="false" ht="15" hidden="false" customHeight="true" outlineLevel="0" collapsed="false">
      <c r="A42" s="8" t="s">
        <v>90</v>
      </c>
      <c r="B42" s="10" t="s">
        <v>87</v>
      </c>
      <c r="C42" s="10" t="s">
        <v>35</v>
      </c>
      <c r="D42" s="9" t="s">
        <v>23</v>
      </c>
      <c r="E42" s="14" t="s">
        <v>115</v>
      </c>
      <c r="F42" s="10" t="s">
        <v>122</v>
      </c>
      <c r="G42" s="9" t="s">
        <v>123</v>
      </c>
      <c r="H42" s="9" t="s">
        <v>123</v>
      </c>
      <c r="I42" s="15"/>
      <c r="J42" s="16"/>
    </row>
    <row r="43" customFormat="false" ht="15" hidden="false" customHeight="true" outlineLevel="0" collapsed="false">
      <c r="A43" s="8" t="s">
        <v>90</v>
      </c>
      <c r="B43" s="10" t="s">
        <v>87</v>
      </c>
      <c r="C43" s="10" t="s">
        <v>37</v>
      </c>
      <c r="D43" s="9" t="s">
        <v>38</v>
      </c>
      <c r="E43" s="14" t="s">
        <v>115</v>
      </c>
      <c r="F43" s="10" t="s">
        <v>122</v>
      </c>
      <c r="G43" s="9" t="s">
        <v>123</v>
      </c>
      <c r="H43" s="9" t="s">
        <v>123</v>
      </c>
      <c r="I43" s="15"/>
      <c r="J43" s="16"/>
    </row>
    <row r="44" customFormat="false" ht="15" hidden="false" customHeight="true" outlineLevel="0" collapsed="false">
      <c r="A44" s="8" t="s">
        <v>90</v>
      </c>
      <c r="B44" s="10" t="s">
        <v>87</v>
      </c>
      <c r="C44" s="10" t="s">
        <v>40</v>
      </c>
      <c r="D44" s="9" t="s">
        <v>38</v>
      </c>
      <c r="E44" s="14" t="s">
        <v>115</v>
      </c>
      <c r="F44" s="10" t="s">
        <v>122</v>
      </c>
      <c r="G44" s="9" t="s">
        <v>123</v>
      </c>
      <c r="H44" s="9" t="s">
        <v>123</v>
      </c>
      <c r="I44" s="15"/>
      <c r="J44" s="16"/>
    </row>
    <row r="45" customFormat="false" ht="15" hidden="false" customHeight="true" outlineLevel="0" collapsed="false">
      <c r="A45" s="8" t="s">
        <v>90</v>
      </c>
      <c r="B45" s="10" t="s">
        <v>87</v>
      </c>
      <c r="C45" s="10" t="s">
        <v>42</v>
      </c>
      <c r="D45" s="9" t="s">
        <v>43</v>
      </c>
      <c r="E45" s="14" t="s">
        <v>115</v>
      </c>
      <c r="F45" s="10" t="s">
        <v>122</v>
      </c>
      <c r="G45" s="9" t="s">
        <v>123</v>
      </c>
      <c r="H45" s="9" t="s">
        <v>123</v>
      </c>
      <c r="I45" s="15"/>
      <c r="J45" s="16"/>
    </row>
    <row r="46" customFormat="false" ht="30" hidden="false" customHeight="true" outlineLevel="0" collapsed="false">
      <c r="A46" s="8" t="s">
        <v>91</v>
      </c>
      <c r="B46" s="10" t="s">
        <v>92</v>
      </c>
      <c r="C46" s="10" t="s">
        <v>22</v>
      </c>
      <c r="D46" s="9" t="s">
        <v>23</v>
      </c>
      <c r="E46" s="14" t="s">
        <v>111</v>
      </c>
      <c r="F46" s="10" t="s">
        <v>141</v>
      </c>
      <c r="G46" s="9" t="s">
        <v>142</v>
      </c>
      <c r="H46" s="9" t="s">
        <v>114</v>
      </c>
      <c r="I46" s="15"/>
      <c r="J46" s="16"/>
    </row>
    <row r="47" customFormat="false" ht="60" hidden="false" customHeight="true" outlineLevel="0" collapsed="false">
      <c r="A47" s="8" t="s">
        <v>91</v>
      </c>
      <c r="B47" s="10" t="s">
        <v>92</v>
      </c>
      <c r="C47" s="10" t="s">
        <v>25</v>
      </c>
      <c r="D47" s="9" t="s">
        <v>23</v>
      </c>
      <c r="E47" s="14" t="s">
        <v>111</v>
      </c>
      <c r="F47" s="10" t="s">
        <v>143</v>
      </c>
      <c r="G47" s="9" t="s">
        <v>142</v>
      </c>
      <c r="H47" s="9" t="s">
        <v>114</v>
      </c>
      <c r="I47" s="15"/>
      <c r="J47" s="16"/>
    </row>
    <row r="48" customFormat="false" ht="15" hidden="false" customHeight="true" outlineLevel="0" collapsed="false">
      <c r="A48" s="8" t="s">
        <v>91</v>
      </c>
      <c r="B48" s="10" t="s">
        <v>92</v>
      </c>
      <c r="C48" s="10" t="s">
        <v>27</v>
      </c>
      <c r="D48" s="9" t="s">
        <v>23</v>
      </c>
      <c r="E48" s="14" t="s">
        <v>111</v>
      </c>
      <c r="F48" s="10" t="s">
        <v>144</v>
      </c>
      <c r="G48" s="9" t="s">
        <v>145</v>
      </c>
      <c r="H48" s="9" t="s">
        <v>114</v>
      </c>
      <c r="I48" s="15"/>
      <c r="J48" s="16"/>
    </row>
    <row r="49" customFormat="false" ht="30" hidden="false" customHeight="true" outlineLevel="0" collapsed="false">
      <c r="A49" s="8" t="s">
        <v>91</v>
      </c>
      <c r="B49" s="10" t="s">
        <v>92</v>
      </c>
      <c r="C49" s="10" t="s">
        <v>29</v>
      </c>
      <c r="D49" s="9" t="s">
        <v>23</v>
      </c>
      <c r="E49" s="14" t="s">
        <v>115</v>
      </c>
      <c r="F49" s="10" t="s">
        <v>146</v>
      </c>
      <c r="G49" s="9" t="s">
        <v>147</v>
      </c>
      <c r="H49" s="9" t="s">
        <v>114</v>
      </c>
      <c r="I49" s="15"/>
      <c r="J49" s="16"/>
    </row>
    <row r="50" customFormat="false" ht="45" hidden="false" customHeight="true" outlineLevel="0" collapsed="false">
      <c r="A50" s="8" t="s">
        <v>91</v>
      </c>
      <c r="B50" s="10" t="s">
        <v>92</v>
      </c>
      <c r="C50" s="10" t="s">
        <v>31</v>
      </c>
      <c r="D50" s="9" t="s">
        <v>23</v>
      </c>
      <c r="E50" s="14" t="s">
        <v>115</v>
      </c>
      <c r="F50" s="10" t="s">
        <v>148</v>
      </c>
      <c r="G50" s="9" t="s">
        <v>147</v>
      </c>
      <c r="H50" s="9" t="s">
        <v>114</v>
      </c>
      <c r="I50" s="15"/>
      <c r="J50" s="16"/>
    </row>
    <row r="51" customFormat="false" ht="60" hidden="false" customHeight="true" outlineLevel="0" collapsed="false">
      <c r="A51" s="8" t="s">
        <v>91</v>
      </c>
      <c r="B51" s="10" t="s">
        <v>92</v>
      </c>
      <c r="C51" s="10" t="s">
        <v>33</v>
      </c>
      <c r="D51" s="9" t="s">
        <v>23</v>
      </c>
      <c r="E51" s="14" t="s">
        <v>111</v>
      </c>
      <c r="F51" s="10" t="s">
        <v>149</v>
      </c>
      <c r="G51" s="9" t="s">
        <v>150</v>
      </c>
      <c r="H51" s="9" t="s">
        <v>114</v>
      </c>
      <c r="I51" s="15"/>
      <c r="J51" s="16"/>
    </row>
    <row r="52" customFormat="false" ht="15" hidden="false" customHeight="true" outlineLevel="0" collapsed="false">
      <c r="A52" s="8" t="s">
        <v>91</v>
      </c>
      <c r="B52" s="10" t="s">
        <v>92</v>
      </c>
      <c r="C52" s="10" t="s">
        <v>35</v>
      </c>
      <c r="D52" s="9" t="s">
        <v>23</v>
      </c>
      <c r="E52" s="14" t="s">
        <v>115</v>
      </c>
      <c r="F52" s="10" t="s">
        <v>122</v>
      </c>
      <c r="G52" s="9" t="s">
        <v>123</v>
      </c>
      <c r="H52" s="9" t="s">
        <v>123</v>
      </c>
      <c r="I52" s="15"/>
      <c r="J52" s="16"/>
    </row>
    <row r="53" customFormat="false" ht="15" hidden="false" customHeight="true" outlineLevel="0" collapsed="false">
      <c r="A53" s="8" t="s">
        <v>91</v>
      </c>
      <c r="B53" s="10" t="s">
        <v>92</v>
      </c>
      <c r="C53" s="10" t="s">
        <v>37</v>
      </c>
      <c r="D53" s="9" t="s">
        <v>38</v>
      </c>
      <c r="E53" s="14" t="s">
        <v>115</v>
      </c>
      <c r="F53" s="10" t="s">
        <v>122</v>
      </c>
      <c r="G53" s="9" t="s">
        <v>123</v>
      </c>
      <c r="H53" s="9" t="s">
        <v>123</v>
      </c>
      <c r="I53" s="15"/>
      <c r="J53" s="16"/>
    </row>
    <row r="54" customFormat="false" ht="15" hidden="false" customHeight="true" outlineLevel="0" collapsed="false">
      <c r="A54" s="8" t="s">
        <v>91</v>
      </c>
      <c r="B54" s="10" t="s">
        <v>92</v>
      </c>
      <c r="C54" s="10" t="s">
        <v>40</v>
      </c>
      <c r="D54" s="9" t="s">
        <v>38</v>
      </c>
      <c r="E54" s="14" t="s">
        <v>115</v>
      </c>
      <c r="F54" s="10" t="s">
        <v>122</v>
      </c>
      <c r="G54" s="9" t="s">
        <v>123</v>
      </c>
      <c r="H54" s="9" t="s">
        <v>123</v>
      </c>
      <c r="I54" s="15"/>
      <c r="J54" s="16"/>
    </row>
    <row r="55" customFormat="false" ht="45" hidden="false" customHeight="true" outlineLevel="0" collapsed="false">
      <c r="A55" s="8" t="s">
        <v>91</v>
      </c>
      <c r="B55" s="10" t="s">
        <v>92</v>
      </c>
      <c r="C55" s="10" t="s">
        <v>42</v>
      </c>
      <c r="D55" s="9" t="s">
        <v>43</v>
      </c>
      <c r="E55" s="14" t="s">
        <v>115</v>
      </c>
      <c r="F55" s="10" t="s">
        <v>151</v>
      </c>
      <c r="G55" s="9" t="s">
        <v>66</v>
      </c>
      <c r="H55" s="9" t="s">
        <v>114</v>
      </c>
      <c r="I55" s="15"/>
      <c r="J55" s="16"/>
    </row>
    <row r="56" customFormat="false" ht="15" hidden="false" customHeight="true" outlineLevel="0" collapsed="false">
      <c r="A56" s="8" t="s">
        <v>93</v>
      </c>
      <c r="B56" s="10" t="s">
        <v>94</v>
      </c>
      <c r="C56" s="10" t="s">
        <v>22</v>
      </c>
      <c r="D56" s="9" t="s">
        <v>23</v>
      </c>
      <c r="E56" s="14" t="s">
        <v>111</v>
      </c>
      <c r="F56" s="10" t="s">
        <v>152</v>
      </c>
      <c r="G56" s="9" t="s">
        <v>153</v>
      </c>
      <c r="H56" s="9" t="s">
        <v>114</v>
      </c>
      <c r="I56" s="15"/>
      <c r="J56" s="16"/>
    </row>
    <row r="57" customFormat="false" ht="30" hidden="false" customHeight="true" outlineLevel="0" collapsed="false">
      <c r="A57" s="8" t="s">
        <v>93</v>
      </c>
      <c r="B57" s="10" t="s">
        <v>94</v>
      </c>
      <c r="C57" s="10" t="s">
        <v>25</v>
      </c>
      <c r="D57" s="9" t="s">
        <v>23</v>
      </c>
      <c r="E57" s="14" t="s">
        <v>115</v>
      </c>
      <c r="F57" s="10" t="s">
        <v>154</v>
      </c>
      <c r="G57" s="9" t="s">
        <v>155</v>
      </c>
      <c r="H57" s="9" t="s">
        <v>114</v>
      </c>
      <c r="I57" s="15"/>
      <c r="J57" s="16"/>
    </row>
    <row r="58" customFormat="false" ht="30" hidden="false" customHeight="true" outlineLevel="0" collapsed="false">
      <c r="A58" s="8" t="s">
        <v>93</v>
      </c>
      <c r="B58" s="10" t="s">
        <v>94</v>
      </c>
      <c r="C58" s="10" t="s">
        <v>27</v>
      </c>
      <c r="D58" s="9" t="s">
        <v>23</v>
      </c>
      <c r="E58" s="14" t="s">
        <v>111</v>
      </c>
      <c r="F58" s="10" t="s">
        <v>156</v>
      </c>
      <c r="G58" s="9" t="s">
        <v>155</v>
      </c>
      <c r="H58" s="9" t="s">
        <v>114</v>
      </c>
      <c r="I58" s="15"/>
      <c r="J58" s="16"/>
    </row>
    <row r="59" customFormat="false" ht="15" hidden="false" customHeight="true" outlineLevel="0" collapsed="false">
      <c r="A59" s="8" t="s">
        <v>93</v>
      </c>
      <c r="B59" s="10" t="s">
        <v>94</v>
      </c>
      <c r="C59" s="10" t="s">
        <v>29</v>
      </c>
      <c r="D59" s="9" t="s">
        <v>23</v>
      </c>
      <c r="E59" s="14" t="s">
        <v>115</v>
      </c>
      <c r="F59" s="10" t="s">
        <v>122</v>
      </c>
      <c r="G59" s="9" t="s">
        <v>123</v>
      </c>
      <c r="H59" s="9" t="s">
        <v>123</v>
      </c>
      <c r="I59" s="15"/>
      <c r="J59" s="16"/>
    </row>
    <row r="60" customFormat="false" ht="15" hidden="false" customHeight="true" outlineLevel="0" collapsed="false">
      <c r="A60" s="8" t="s">
        <v>93</v>
      </c>
      <c r="B60" s="10" t="s">
        <v>94</v>
      </c>
      <c r="C60" s="10" t="s">
        <v>31</v>
      </c>
      <c r="D60" s="9" t="s">
        <v>23</v>
      </c>
      <c r="E60" s="14" t="s">
        <v>115</v>
      </c>
      <c r="F60" s="10" t="s">
        <v>122</v>
      </c>
      <c r="G60" s="9" t="s">
        <v>123</v>
      </c>
      <c r="H60" s="9" t="s">
        <v>123</v>
      </c>
      <c r="I60" s="15"/>
      <c r="J60" s="16"/>
    </row>
    <row r="61" customFormat="false" ht="45" hidden="false" customHeight="true" outlineLevel="0" collapsed="false">
      <c r="A61" s="8" t="s">
        <v>93</v>
      </c>
      <c r="B61" s="10" t="s">
        <v>94</v>
      </c>
      <c r="C61" s="10" t="s">
        <v>33</v>
      </c>
      <c r="D61" s="9" t="s">
        <v>23</v>
      </c>
      <c r="E61" s="14" t="s">
        <v>115</v>
      </c>
      <c r="F61" s="10" t="s">
        <v>157</v>
      </c>
      <c r="G61" s="9" t="s">
        <v>158</v>
      </c>
      <c r="H61" s="9" t="s">
        <v>114</v>
      </c>
      <c r="I61" s="15"/>
      <c r="J61" s="16"/>
    </row>
    <row r="62" customFormat="false" ht="15" hidden="false" customHeight="true" outlineLevel="0" collapsed="false">
      <c r="A62" s="8" t="s">
        <v>93</v>
      </c>
      <c r="B62" s="10" t="s">
        <v>94</v>
      </c>
      <c r="C62" s="10" t="s">
        <v>35</v>
      </c>
      <c r="D62" s="9" t="s">
        <v>23</v>
      </c>
      <c r="E62" s="14" t="s">
        <v>115</v>
      </c>
      <c r="F62" s="10" t="s">
        <v>122</v>
      </c>
      <c r="G62" s="9" t="s">
        <v>123</v>
      </c>
      <c r="H62" s="9" t="s">
        <v>123</v>
      </c>
      <c r="I62" s="15"/>
      <c r="J62" s="16"/>
    </row>
    <row r="63" customFormat="false" ht="15" hidden="false" customHeight="true" outlineLevel="0" collapsed="false">
      <c r="A63" s="8" t="s">
        <v>93</v>
      </c>
      <c r="B63" s="10" t="s">
        <v>94</v>
      </c>
      <c r="C63" s="10" t="s">
        <v>37</v>
      </c>
      <c r="D63" s="9" t="s">
        <v>38</v>
      </c>
      <c r="E63" s="14" t="s">
        <v>115</v>
      </c>
      <c r="F63" s="10" t="s">
        <v>159</v>
      </c>
      <c r="G63" s="9" t="s">
        <v>160</v>
      </c>
      <c r="H63" s="9" t="s">
        <v>114</v>
      </c>
      <c r="I63" s="15"/>
      <c r="J63" s="16"/>
    </row>
    <row r="64" customFormat="false" ht="15" hidden="false" customHeight="true" outlineLevel="0" collapsed="false">
      <c r="A64" s="8" t="s">
        <v>93</v>
      </c>
      <c r="B64" s="10" t="s">
        <v>94</v>
      </c>
      <c r="C64" s="10" t="s">
        <v>40</v>
      </c>
      <c r="D64" s="9" t="s">
        <v>38</v>
      </c>
      <c r="E64" s="14" t="s">
        <v>115</v>
      </c>
      <c r="F64" s="10" t="s">
        <v>122</v>
      </c>
      <c r="G64" s="9" t="s">
        <v>123</v>
      </c>
      <c r="H64" s="9" t="s">
        <v>123</v>
      </c>
      <c r="I64" s="15"/>
      <c r="J64" s="16"/>
    </row>
    <row r="65" customFormat="false" ht="60" hidden="false" customHeight="true" outlineLevel="0" collapsed="false">
      <c r="A65" s="8" t="s">
        <v>93</v>
      </c>
      <c r="B65" s="10" t="s">
        <v>94</v>
      </c>
      <c r="C65" s="10" t="s">
        <v>42</v>
      </c>
      <c r="D65" s="9" t="s">
        <v>43</v>
      </c>
      <c r="E65" s="14" t="s">
        <v>115</v>
      </c>
      <c r="F65" s="10" t="s">
        <v>161</v>
      </c>
      <c r="G65" s="9" t="s">
        <v>160</v>
      </c>
      <c r="H65" s="9" t="s">
        <v>114</v>
      </c>
      <c r="I65" s="15"/>
      <c r="J65" s="16"/>
    </row>
    <row r="66" customFormat="false" ht="15" hidden="false" customHeight="true" outlineLevel="0" collapsed="false">
      <c r="A66" s="8" t="s">
        <v>95</v>
      </c>
      <c r="B66" s="10" t="s">
        <v>96</v>
      </c>
      <c r="C66" s="10" t="s">
        <v>22</v>
      </c>
      <c r="D66" s="9" t="s">
        <v>23</v>
      </c>
      <c r="E66" s="14" t="s">
        <v>115</v>
      </c>
      <c r="F66" s="10" t="s">
        <v>162</v>
      </c>
      <c r="G66" s="9" t="s">
        <v>163</v>
      </c>
      <c r="H66" s="9" t="s">
        <v>114</v>
      </c>
      <c r="I66" s="15"/>
      <c r="J66" s="16"/>
    </row>
    <row r="67" customFormat="false" ht="15" hidden="false" customHeight="true" outlineLevel="0" collapsed="false">
      <c r="A67" s="8" t="s">
        <v>95</v>
      </c>
      <c r="B67" s="10" t="s">
        <v>96</v>
      </c>
      <c r="C67" s="10" t="s">
        <v>25</v>
      </c>
      <c r="D67" s="9" t="s">
        <v>23</v>
      </c>
      <c r="E67" s="14" t="s">
        <v>115</v>
      </c>
      <c r="F67" s="10" t="s">
        <v>164</v>
      </c>
      <c r="G67" s="9" t="s">
        <v>163</v>
      </c>
      <c r="H67" s="9" t="s">
        <v>114</v>
      </c>
      <c r="I67" s="15"/>
      <c r="J67" s="16"/>
    </row>
    <row r="68" customFormat="false" ht="30" hidden="false" customHeight="true" outlineLevel="0" collapsed="false">
      <c r="A68" s="8" t="s">
        <v>95</v>
      </c>
      <c r="B68" s="10" t="s">
        <v>96</v>
      </c>
      <c r="C68" s="10" t="s">
        <v>27</v>
      </c>
      <c r="D68" s="9" t="s">
        <v>23</v>
      </c>
      <c r="E68" s="14" t="s">
        <v>115</v>
      </c>
      <c r="F68" s="10" t="s">
        <v>165</v>
      </c>
      <c r="G68" s="9" t="s">
        <v>166</v>
      </c>
      <c r="H68" s="9" t="s">
        <v>123</v>
      </c>
      <c r="I68" s="15"/>
      <c r="J68" s="16"/>
    </row>
    <row r="69" customFormat="false" ht="45" hidden="false" customHeight="true" outlineLevel="0" collapsed="false">
      <c r="A69" s="8" t="s">
        <v>95</v>
      </c>
      <c r="B69" s="10" t="s">
        <v>96</v>
      </c>
      <c r="C69" s="10" t="s">
        <v>29</v>
      </c>
      <c r="D69" s="9" t="s">
        <v>23</v>
      </c>
      <c r="E69" s="14" t="s">
        <v>115</v>
      </c>
      <c r="F69" s="10" t="s">
        <v>167</v>
      </c>
      <c r="G69" s="9" t="s">
        <v>163</v>
      </c>
      <c r="H69" s="9" t="s">
        <v>114</v>
      </c>
      <c r="I69" s="15"/>
      <c r="J69" s="16"/>
    </row>
    <row r="70" customFormat="false" ht="15" hidden="false" customHeight="true" outlineLevel="0" collapsed="false">
      <c r="A70" s="8" t="s">
        <v>95</v>
      </c>
      <c r="B70" s="10" t="s">
        <v>96</v>
      </c>
      <c r="C70" s="10" t="s">
        <v>31</v>
      </c>
      <c r="D70" s="9" t="s">
        <v>23</v>
      </c>
      <c r="E70" s="14" t="s">
        <v>115</v>
      </c>
      <c r="F70" s="10" t="s">
        <v>122</v>
      </c>
      <c r="G70" s="9" t="s">
        <v>123</v>
      </c>
      <c r="H70" s="9" t="s">
        <v>123</v>
      </c>
      <c r="I70" s="15"/>
      <c r="J70" s="16"/>
    </row>
    <row r="71" customFormat="false" ht="45" hidden="false" customHeight="true" outlineLevel="0" collapsed="false">
      <c r="A71" s="8" t="s">
        <v>95</v>
      </c>
      <c r="B71" s="10" t="s">
        <v>96</v>
      </c>
      <c r="C71" s="10" t="s">
        <v>33</v>
      </c>
      <c r="D71" s="9" t="s">
        <v>23</v>
      </c>
      <c r="E71" s="14" t="s">
        <v>111</v>
      </c>
      <c r="F71" s="10" t="s">
        <v>168</v>
      </c>
      <c r="G71" s="9" t="s">
        <v>169</v>
      </c>
      <c r="H71" s="9" t="s">
        <v>114</v>
      </c>
      <c r="I71" s="15"/>
      <c r="J71" s="16"/>
    </row>
    <row r="72" customFormat="false" ht="15" hidden="false" customHeight="true" outlineLevel="0" collapsed="false">
      <c r="A72" s="8" t="s">
        <v>95</v>
      </c>
      <c r="B72" s="10" t="s">
        <v>96</v>
      </c>
      <c r="C72" s="10" t="s">
        <v>35</v>
      </c>
      <c r="D72" s="9" t="s">
        <v>23</v>
      </c>
      <c r="E72" s="14" t="s">
        <v>115</v>
      </c>
      <c r="F72" s="10" t="s">
        <v>122</v>
      </c>
      <c r="G72" s="9" t="s">
        <v>123</v>
      </c>
      <c r="H72" s="9" t="s">
        <v>123</v>
      </c>
      <c r="I72" s="15"/>
      <c r="J72" s="16"/>
    </row>
    <row r="73" customFormat="false" ht="30" hidden="false" customHeight="true" outlineLevel="0" collapsed="false">
      <c r="A73" s="8" t="s">
        <v>95</v>
      </c>
      <c r="B73" s="10" t="s">
        <v>96</v>
      </c>
      <c r="C73" s="10" t="s">
        <v>37</v>
      </c>
      <c r="D73" s="9" t="s">
        <v>38</v>
      </c>
      <c r="E73" s="14" t="s">
        <v>115</v>
      </c>
      <c r="F73" s="10" t="s">
        <v>170</v>
      </c>
      <c r="G73" s="9" t="s">
        <v>163</v>
      </c>
      <c r="H73" s="9" t="s">
        <v>114</v>
      </c>
      <c r="I73" s="15"/>
      <c r="J73" s="16"/>
    </row>
    <row r="74" customFormat="false" ht="15" hidden="false" customHeight="true" outlineLevel="0" collapsed="false">
      <c r="A74" s="8" t="s">
        <v>95</v>
      </c>
      <c r="B74" s="10" t="s">
        <v>96</v>
      </c>
      <c r="C74" s="10" t="s">
        <v>40</v>
      </c>
      <c r="D74" s="9" t="s">
        <v>38</v>
      </c>
      <c r="E74" s="14" t="s">
        <v>115</v>
      </c>
      <c r="F74" s="10" t="s">
        <v>122</v>
      </c>
      <c r="G74" s="9" t="s">
        <v>123</v>
      </c>
      <c r="H74" s="9" t="s">
        <v>123</v>
      </c>
      <c r="I74" s="15"/>
      <c r="J74" s="16"/>
    </row>
    <row r="75" customFormat="false" ht="15" hidden="false" customHeight="true" outlineLevel="0" collapsed="false">
      <c r="A75" s="8" t="s">
        <v>95</v>
      </c>
      <c r="B75" s="10" t="s">
        <v>96</v>
      </c>
      <c r="C75" s="10" t="s">
        <v>42</v>
      </c>
      <c r="D75" s="9" t="s">
        <v>43</v>
      </c>
      <c r="E75" s="14" t="s">
        <v>115</v>
      </c>
      <c r="F75" s="10" t="s">
        <v>171</v>
      </c>
      <c r="G75" s="9" t="s">
        <v>123</v>
      </c>
      <c r="H75" s="9" t="s">
        <v>123</v>
      </c>
      <c r="I75" s="15"/>
      <c r="J75" s="16"/>
    </row>
  </sheetData>
  <autoFilter ref="A5:J75"/>
  <mergeCells count="1">
    <mergeCell ref="A3:J3"/>
  </mergeCells>
  <conditionalFormatting sqref="E6:E75">
    <cfRule type="expression" priority="2" aboveAverage="0" equalAverage="0" bottom="0" percent="0" rank="0" text="" dxfId="1">
      <formula>E6="erfüllt"</formula>
    </cfRule>
    <cfRule type="expression" priority="3" aboveAverage="0" equalAverage="0" bottom="0" percent="0" rank="0" text="" dxfId="0">
      <formula>E6="nicht erfüllt"</formula>
    </cfRule>
  </conditionalFormatting>
  <dataValidations count="2">
    <dataValidation allowBlank="false" errorStyle="stop" operator="between" showDropDown="false" showErrorMessage="false" showInputMessage="false" sqref="E6:E75" type="list">
      <formula1>"erfüllt,nicht erfüllt,offen"</formula1>
      <formula2>0</formula2>
    </dataValidation>
    <dataValidation allowBlank="true" errorStyle="stop" operator="greaterThan" showDropDown="false" showErrorMessage="false" showInputMessage="false" sqref="I6:I75" type="date">
      <formula1>DATE(2026,1,1)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4"/>
    <col collapsed="false" customWidth="true" hidden="false" outlineLevel="0" max="4" min="3" style="0" width="16"/>
    <col collapsed="false" customWidth="true" hidden="false" outlineLevel="0" max="7" min="5" style="0" width="18"/>
    <col collapsed="false" customWidth="true" hidden="false" outlineLevel="0" max="8" min="8" style="0" width="30"/>
    <col collapsed="false" customWidth="true" hidden="false" outlineLevel="0" max="9" min="9" style="0" width="24"/>
  </cols>
  <sheetData>
    <row r="1" customFormat="false" ht="19.7" hidden="false" customHeight="false" outlineLevel="0" collapsed="false">
      <c r="A1" s="1" t="s">
        <v>172</v>
      </c>
    </row>
    <row r="2" customFormat="false" ht="15" hidden="false" customHeight="false" outlineLevel="0" collapsed="false">
      <c r="A2" s="2" t="s">
        <v>1</v>
      </c>
    </row>
    <row r="3" customFormat="false" ht="30" hidden="false" customHeight="true" outlineLevel="0" collapsed="false">
      <c r="A3" s="3" t="s">
        <v>173</v>
      </c>
      <c r="B3" s="3"/>
      <c r="C3" s="3"/>
      <c r="D3" s="3"/>
      <c r="E3" s="3"/>
      <c r="F3" s="3"/>
      <c r="G3" s="3"/>
      <c r="H3" s="3"/>
      <c r="I3" s="3"/>
    </row>
    <row r="5" customFormat="false" ht="30" hidden="false" customHeight="true" outlineLevel="0" collapsed="false">
      <c r="A5" s="17" t="s">
        <v>8</v>
      </c>
      <c r="B5" s="5" t="s">
        <v>174</v>
      </c>
      <c r="C5" s="5"/>
      <c r="D5" s="5"/>
      <c r="E5" s="5"/>
      <c r="F5" s="5"/>
      <c r="G5" s="5"/>
      <c r="H5" s="5"/>
      <c r="I5" s="5"/>
    </row>
    <row r="6" customFormat="false" ht="30" hidden="false" customHeight="true" outlineLevel="0" collapsed="false">
      <c r="A6" s="17" t="s">
        <v>10</v>
      </c>
      <c r="B6" s="5" t="s">
        <v>175</v>
      </c>
      <c r="C6" s="5"/>
      <c r="D6" s="5"/>
      <c r="E6" s="5"/>
      <c r="F6" s="5"/>
      <c r="G6" s="5"/>
      <c r="H6" s="5"/>
      <c r="I6" s="5"/>
    </row>
    <row r="7" customFormat="false" ht="30" hidden="false" customHeight="true" outlineLevel="0" collapsed="false">
      <c r="A7" s="17" t="s">
        <v>12</v>
      </c>
      <c r="B7" s="5" t="s">
        <v>176</v>
      </c>
      <c r="C7" s="5"/>
      <c r="D7" s="5"/>
      <c r="E7" s="5"/>
      <c r="F7" s="5"/>
      <c r="G7" s="5"/>
      <c r="H7" s="5"/>
      <c r="I7" s="5"/>
    </row>
    <row r="8" customFormat="false" ht="30" hidden="false" customHeight="true" outlineLevel="0" collapsed="false">
      <c r="A8" s="17" t="s">
        <v>14</v>
      </c>
      <c r="B8" s="5" t="s">
        <v>177</v>
      </c>
      <c r="C8" s="5"/>
      <c r="D8" s="5"/>
      <c r="E8" s="5"/>
      <c r="F8" s="5"/>
      <c r="G8" s="5"/>
      <c r="H8" s="5"/>
      <c r="I8" s="5"/>
    </row>
    <row r="9" customFormat="false" ht="30" hidden="false" customHeight="true" outlineLevel="0" collapsed="false">
      <c r="A9" s="17" t="s">
        <v>16</v>
      </c>
      <c r="B9" s="5" t="s">
        <v>178</v>
      </c>
      <c r="C9" s="5"/>
      <c r="D9" s="5"/>
      <c r="E9" s="5"/>
      <c r="F9" s="5"/>
      <c r="G9" s="5"/>
      <c r="H9" s="5"/>
      <c r="I9" s="5"/>
    </row>
    <row r="10" customFormat="false" ht="30" hidden="false" customHeight="true" outlineLevel="0" collapsed="false">
      <c r="A10" s="17" t="s">
        <v>179</v>
      </c>
      <c r="B10" s="5" t="s">
        <v>180</v>
      </c>
      <c r="C10" s="5"/>
      <c r="D10" s="5"/>
      <c r="E10" s="5"/>
      <c r="F10" s="5"/>
      <c r="G10" s="5"/>
      <c r="H10" s="5"/>
      <c r="I10" s="5"/>
    </row>
    <row r="11" customFormat="false" ht="30" hidden="false" customHeight="true" outlineLevel="0" collapsed="false">
      <c r="A11" s="17" t="s">
        <v>181</v>
      </c>
      <c r="B11" s="5" t="s">
        <v>182</v>
      </c>
      <c r="C11" s="5"/>
      <c r="D11" s="5"/>
      <c r="E11" s="5"/>
      <c r="F11" s="5"/>
      <c r="G11" s="5"/>
      <c r="H11" s="5"/>
      <c r="I11" s="5"/>
    </row>
    <row r="12" customFormat="false" ht="30" hidden="false" customHeight="true" outlineLevel="0" collapsed="false">
      <c r="A12" s="17" t="s">
        <v>183</v>
      </c>
      <c r="B12" s="5" t="s">
        <v>184</v>
      </c>
      <c r="C12" s="5"/>
      <c r="D12" s="5"/>
      <c r="E12" s="5"/>
      <c r="F12" s="5"/>
      <c r="G12" s="5"/>
      <c r="H12" s="5"/>
      <c r="I12" s="5"/>
    </row>
    <row r="15" customFormat="false" ht="45" hidden="false" customHeight="true" outlineLevel="0" collapsed="false">
      <c r="A15" s="7" t="s">
        <v>78</v>
      </c>
      <c r="B15" s="7" t="s">
        <v>185</v>
      </c>
      <c r="C15" s="7" t="s">
        <v>186</v>
      </c>
      <c r="D15" s="7" t="s">
        <v>187</v>
      </c>
      <c r="E15" s="7" t="s">
        <v>188</v>
      </c>
      <c r="F15" s="7" t="s">
        <v>189</v>
      </c>
      <c r="G15" s="7" t="s">
        <v>190</v>
      </c>
      <c r="H15" s="7" t="s">
        <v>110</v>
      </c>
      <c r="I15" s="7" t="s">
        <v>83</v>
      </c>
    </row>
    <row r="16" customFormat="false" ht="24" hidden="false" customHeight="true" outlineLevel="0" collapsed="false">
      <c r="A16" s="8" t="s">
        <v>86</v>
      </c>
      <c r="B16" s="15"/>
      <c r="C16" s="14"/>
      <c r="D16" s="14"/>
      <c r="E16" s="14"/>
      <c r="F16" s="14"/>
      <c r="G16" s="14"/>
      <c r="H16" s="16"/>
      <c r="I16" s="12" t="str">
        <f aca="false">IF(COUNTBLANK(C16:G16)&gt;0,"nicht getestet",IF(OR(C16="ja",D16="ja"),"nicht geeignet",IF(AND(E16="ja",F16="ja",G16="ja"),"bestanden","Abmeldung oder Textteil klären")))</f>
        <v>nicht getestet</v>
      </c>
    </row>
    <row r="17" customFormat="false" ht="24" hidden="false" customHeight="true" outlineLevel="0" collapsed="false">
      <c r="A17" s="8" t="s">
        <v>88</v>
      </c>
      <c r="B17" s="15"/>
      <c r="C17" s="14"/>
      <c r="D17" s="14"/>
      <c r="E17" s="14"/>
      <c r="F17" s="14"/>
      <c r="G17" s="14"/>
      <c r="H17" s="16"/>
      <c r="I17" s="12" t="str">
        <f aca="false">IF(COUNTBLANK(C17:G17)&gt;0,"nicht getestet",IF(OR(C17="ja",D17="ja"),"nicht geeignet",IF(AND(E17="ja",F17="ja",G17="ja"),"bestanden","Abmeldung oder Textteil klären")))</f>
        <v>nicht getestet</v>
      </c>
    </row>
    <row r="18" customFormat="false" ht="24" hidden="false" customHeight="true" outlineLevel="0" collapsed="false">
      <c r="A18" s="8" t="s">
        <v>89</v>
      </c>
      <c r="B18" s="15"/>
      <c r="C18" s="14"/>
      <c r="D18" s="14"/>
      <c r="E18" s="14"/>
      <c r="F18" s="14"/>
      <c r="G18" s="14"/>
      <c r="H18" s="16"/>
      <c r="I18" s="12" t="str">
        <f aca="false">IF(COUNTBLANK(C18:G18)&gt;0,"nicht getestet",IF(OR(C18="ja",D18="ja"),"nicht geeignet",IF(AND(E18="ja",F18="ja",G18="ja"),"bestanden","Abmeldung oder Textteil klären")))</f>
        <v>nicht getestet</v>
      </c>
    </row>
    <row r="19" customFormat="false" ht="24" hidden="false" customHeight="true" outlineLevel="0" collapsed="false">
      <c r="A19" s="8" t="s">
        <v>90</v>
      </c>
      <c r="B19" s="15"/>
      <c r="C19" s="14"/>
      <c r="D19" s="14"/>
      <c r="E19" s="14"/>
      <c r="F19" s="14"/>
      <c r="G19" s="14"/>
      <c r="H19" s="16"/>
      <c r="I19" s="12" t="str">
        <f aca="false">IF(COUNTBLANK(C19:G19)&gt;0,"nicht getestet",IF(OR(C19="ja",D19="ja"),"nicht geeignet",IF(AND(E19="ja",F19="ja",G19="ja"),"bestanden","Abmeldung oder Textteil klären")))</f>
        <v>nicht getestet</v>
      </c>
    </row>
    <row r="20" customFormat="false" ht="24" hidden="false" customHeight="true" outlineLevel="0" collapsed="false">
      <c r="A20" s="8" t="s">
        <v>91</v>
      </c>
      <c r="B20" s="15"/>
      <c r="C20" s="14"/>
      <c r="D20" s="14"/>
      <c r="E20" s="14"/>
      <c r="F20" s="14"/>
      <c r="G20" s="14"/>
      <c r="H20" s="16"/>
      <c r="I20" s="12" t="str">
        <f aca="false">IF(COUNTBLANK(C20:G20)&gt;0,"nicht getestet",IF(OR(C20="ja",D20="ja"),"nicht geeignet",IF(AND(E20="ja",F20="ja",G20="ja"),"bestanden","Abmeldung oder Textteil klären")))</f>
        <v>nicht getestet</v>
      </c>
    </row>
    <row r="21" customFormat="false" ht="24" hidden="false" customHeight="true" outlineLevel="0" collapsed="false">
      <c r="A21" s="8" t="s">
        <v>93</v>
      </c>
      <c r="B21" s="15"/>
      <c r="C21" s="14"/>
      <c r="D21" s="14"/>
      <c r="E21" s="14"/>
      <c r="F21" s="14"/>
      <c r="G21" s="14"/>
      <c r="H21" s="16"/>
      <c r="I21" s="12" t="str">
        <f aca="false">IF(COUNTBLANK(C21:G21)&gt;0,"nicht getestet",IF(OR(C21="ja",D21="ja"),"nicht geeignet",IF(AND(E21="ja",F21="ja",G21="ja"),"bestanden","Abmeldung oder Textteil klären")))</f>
        <v>nicht getestet</v>
      </c>
    </row>
    <row r="22" customFormat="false" ht="24" hidden="false" customHeight="true" outlineLevel="0" collapsed="false">
      <c r="A22" s="8" t="s">
        <v>95</v>
      </c>
      <c r="B22" s="15"/>
      <c r="C22" s="14"/>
      <c r="D22" s="14"/>
      <c r="E22" s="14"/>
      <c r="F22" s="14"/>
      <c r="G22" s="14"/>
      <c r="H22" s="16"/>
      <c r="I22" s="12" t="str">
        <f aca="false">IF(COUNTBLANK(C22:G22)&gt;0,"nicht getestet",IF(OR(C22="ja",D22="ja"),"nicht geeignet",IF(AND(E22="ja",F22="ja",G22="ja"),"bestanden","Abmeldung oder Textteil klären")))</f>
        <v>nicht getestet</v>
      </c>
    </row>
  </sheetData>
  <mergeCells count="9">
    <mergeCell ref="A3:I3"/>
    <mergeCell ref="B5:I5"/>
    <mergeCell ref="B6:I6"/>
    <mergeCell ref="B7:I7"/>
    <mergeCell ref="B8:I8"/>
    <mergeCell ref="B9:I9"/>
    <mergeCell ref="B10:I10"/>
    <mergeCell ref="B11:I11"/>
    <mergeCell ref="B12:I12"/>
  </mergeCells>
  <conditionalFormatting sqref="I16:I22">
    <cfRule type="expression" priority="2" aboveAverage="0" equalAverage="0" bottom="0" percent="0" rank="0" text="" dxfId="1">
      <formula>I16="bestanden"</formula>
    </cfRule>
    <cfRule type="expression" priority="3" aboveAverage="0" equalAverage="0" bottom="0" percent="0" rank="0" text="" dxfId="0">
      <formula>I16="nicht geeignet"</formula>
    </cfRule>
  </conditionalFormatting>
  <dataValidations count="2">
    <dataValidation allowBlank="true" errorStyle="stop" operator="between" showDropDown="false" showErrorMessage="false" showInputMessage="false" sqref="C16:G22" type="list">
      <formula1>"ja,nein"</formula1>
      <formula2>0</formula2>
    </dataValidation>
    <dataValidation allowBlank="true" errorStyle="stop" operator="greaterThan" showDropDown="false" showErrorMessage="false" showInputMessage="false" sqref="B16:B22" type="date">
      <formula1>DATE(2026,1,1)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0"/>
    <col collapsed="false" customWidth="true" hidden="false" outlineLevel="0" max="3" min="3" style="0" width="90"/>
    <col collapsed="false" customWidth="true" hidden="false" outlineLevel="0" max="4" min="4" style="0" width="22"/>
  </cols>
  <sheetData>
    <row r="1" customFormat="false" ht="19.7" hidden="false" customHeight="false" outlineLevel="0" collapsed="false">
      <c r="A1" s="1" t="s">
        <v>191</v>
      </c>
    </row>
    <row r="2" customFormat="false" ht="15" hidden="false" customHeight="false" outlineLevel="0" collapsed="false">
      <c r="A2" s="2" t="s">
        <v>1</v>
      </c>
    </row>
    <row r="3" customFormat="false" ht="30" hidden="false" customHeight="true" outlineLevel="0" collapsed="false">
      <c r="A3" s="3" t="s">
        <v>192</v>
      </c>
      <c r="B3" s="3"/>
      <c r="C3" s="3"/>
      <c r="D3" s="3"/>
    </row>
    <row r="5" customFormat="false" ht="19.5" hidden="false" customHeight="true" outlineLevel="0" collapsed="false">
      <c r="A5" s="7" t="s">
        <v>193</v>
      </c>
      <c r="B5" s="7" t="s">
        <v>48</v>
      </c>
      <c r="C5" s="7" t="s">
        <v>194</v>
      </c>
      <c r="D5" s="7" t="s">
        <v>108</v>
      </c>
    </row>
    <row r="6" customFormat="false" ht="30" hidden="false" customHeight="true" outlineLevel="0" collapsed="false">
      <c r="A6" s="18" t="s">
        <v>63</v>
      </c>
      <c r="B6" s="10" t="s">
        <v>195</v>
      </c>
      <c r="C6" s="10" t="s">
        <v>196</v>
      </c>
      <c r="D6" s="9" t="s">
        <v>114</v>
      </c>
    </row>
    <row r="7" customFormat="false" ht="30" hidden="false" customHeight="true" outlineLevel="0" collapsed="false">
      <c r="A7" s="18" t="s">
        <v>119</v>
      </c>
      <c r="B7" s="10" t="s">
        <v>197</v>
      </c>
      <c r="C7" s="10" t="s">
        <v>198</v>
      </c>
      <c r="D7" s="9" t="s">
        <v>114</v>
      </c>
    </row>
    <row r="8" customFormat="false" ht="30" hidden="false" customHeight="true" outlineLevel="0" collapsed="false">
      <c r="A8" s="18" t="s">
        <v>117</v>
      </c>
      <c r="B8" s="10" t="s">
        <v>199</v>
      </c>
      <c r="C8" s="10" t="s">
        <v>200</v>
      </c>
      <c r="D8" s="9" t="s">
        <v>114</v>
      </c>
    </row>
    <row r="9" customFormat="false" ht="30" hidden="false" customHeight="true" outlineLevel="0" collapsed="false">
      <c r="A9" s="18" t="s">
        <v>201</v>
      </c>
      <c r="B9" s="10" t="s">
        <v>202</v>
      </c>
      <c r="C9" s="10" t="s">
        <v>203</v>
      </c>
      <c r="D9" s="9" t="s">
        <v>114</v>
      </c>
    </row>
    <row r="10" customFormat="false" ht="30" hidden="false" customHeight="true" outlineLevel="0" collapsed="false">
      <c r="A10" s="18" t="s">
        <v>129</v>
      </c>
      <c r="B10" s="10" t="s">
        <v>204</v>
      </c>
      <c r="C10" s="10" t="s">
        <v>205</v>
      </c>
      <c r="D10" s="9" t="s">
        <v>114</v>
      </c>
    </row>
    <row r="11" customFormat="false" ht="30" hidden="false" customHeight="true" outlineLevel="0" collapsed="false">
      <c r="A11" s="18" t="s">
        <v>133</v>
      </c>
      <c r="B11" s="10" t="s">
        <v>206</v>
      </c>
      <c r="C11" s="10" t="s">
        <v>207</v>
      </c>
      <c r="D11" s="9" t="s">
        <v>114</v>
      </c>
    </row>
    <row r="12" customFormat="false" ht="30" hidden="false" customHeight="true" outlineLevel="0" collapsed="false">
      <c r="A12" s="18" t="s">
        <v>131</v>
      </c>
      <c r="B12" s="10" t="s">
        <v>208</v>
      </c>
      <c r="C12" s="10" t="s">
        <v>209</v>
      </c>
      <c r="D12" s="9" t="s">
        <v>210</v>
      </c>
    </row>
    <row r="13" customFormat="false" ht="30" hidden="false" customHeight="true" outlineLevel="0" collapsed="false">
      <c r="A13" s="18" t="s">
        <v>211</v>
      </c>
      <c r="B13" s="10" t="s">
        <v>212</v>
      </c>
      <c r="C13" s="10" t="s">
        <v>213</v>
      </c>
      <c r="D13" s="9" t="s">
        <v>114</v>
      </c>
    </row>
    <row r="14" customFormat="false" ht="30" hidden="false" customHeight="true" outlineLevel="0" collapsed="false">
      <c r="A14" s="18" t="s">
        <v>214</v>
      </c>
      <c r="B14" s="10" t="s">
        <v>215</v>
      </c>
      <c r="C14" s="10" t="s">
        <v>216</v>
      </c>
      <c r="D14" s="9" t="s">
        <v>210</v>
      </c>
    </row>
    <row r="15" customFormat="false" ht="30" hidden="false" customHeight="true" outlineLevel="0" collapsed="false">
      <c r="A15" s="18" t="s">
        <v>75</v>
      </c>
      <c r="B15" s="10" t="s">
        <v>217</v>
      </c>
      <c r="C15" s="10" t="s">
        <v>218</v>
      </c>
      <c r="D15" s="9" t="s">
        <v>114</v>
      </c>
    </row>
    <row r="16" customFormat="false" ht="30" hidden="false" customHeight="true" outlineLevel="0" collapsed="false">
      <c r="A16" s="18" t="s">
        <v>137</v>
      </c>
      <c r="B16" s="10" t="s">
        <v>219</v>
      </c>
      <c r="C16" s="10" t="s">
        <v>220</v>
      </c>
      <c r="D16" s="9" t="s">
        <v>114</v>
      </c>
    </row>
    <row r="17" customFormat="false" ht="30" hidden="false" customHeight="true" outlineLevel="0" collapsed="false">
      <c r="A17" s="18" t="s">
        <v>221</v>
      </c>
      <c r="B17" s="10" t="s">
        <v>222</v>
      </c>
      <c r="C17" s="10" t="s">
        <v>223</v>
      </c>
      <c r="D17" s="9" t="s">
        <v>114</v>
      </c>
    </row>
    <row r="18" customFormat="false" ht="30" hidden="false" customHeight="true" outlineLevel="0" collapsed="false">
      <c r="A18" s="18" t="s">
        <v>145</v>
      </c>
      <c r="B18" s="10" t="s">
        <v>224</v>
      </c>
      <c r="C18" s="10" t="s">
        <v>225</v>
      </c>
      <c r="D18" s="9" t="s">
        <v>114</v>
      </c>
    </row>
    <row r="19" customFormat="false" ht="30" hidden="false" customHeight="true" outlineLevel="0" collapsed="false">
      <c r="A19" s="18" t="s">
        <v>66</v>
      </c>
      <c r="B19" s="10" t="s">
        <v>226</v>
      </c>
      <c r="C19" s="10" t="s">
        <v>227</v>
      </c>
      <c r="D19" s="9" t="s">
        <v>114</v>
      </c>
    </row>
    <row r="20" customFormat="false" ht="30" hidden="false" customHeight="true" outlineLevel="0" collapsed="false">
      <c r="A20" s="18" t="s">
        <v>158</v>
      </c>
      <c r="B20" s="10" t="s">
        <v>228</v>
      </c>
      <c r="C20" s="10" t="s">
        <v>229</v>
      </c>
      <c r="D20" s="9" t="s">
        <v>114</v>
      </c>
    </row>
    <row r="21" customFormat="false" ht="30" hidden="false" customHeight="true" outlineLevel="0" collapsed="false">
      <c r="A21" s="18" t="s">
        <v>160</v>
      </c>
      <c r="B21" s="10" t="s">
        <v>230</v>
      </c>
      <c r="C21" s="10" t="s">
        <v>231</v>
      </c>
      <c r="D21" s="9" t="s">
        <v>114</v>
      </c>
    </row>
    <row r="22" customFormat="false" ht="30" hidden="false" customHeight="true" outlineLevel="0" collapsed="false">
      <c r="A22" s="18" t="s">
        <v>155</v>
      </c>
      <c r="B22" s="10" t="s">
        <v>232</v>
      </c>
      <c r="C22" s="10" t="s">
        <v>233</v>
      </c>
      <c r="D22" s="9" t="s">
        <v>114</v>
      </c>
    </row>
    <row r="23" customFormat="false" ht="30" hidden="false" customHeight="true" outlineLevel="0" collapsed="false">
      <c r="A23" s="18" t="s">
        <v>163</v>
      </c>
      <c r="B23" s="10" t="s">
        <v>234</v>
      </c>
      <c r="C23" s="10" t="s">
        <v>235</v>
      </c>
      <c r="D23" s="9" t="s">
        <v>114</v>
      </c>
    </row>
    <row r="24" customFormat="false" ht="30" hidden="false" customHeight="true" outlineLevel="0" collapsed="false">
      <c r="A24" s="18" t="s">
        <v>236</v>
      </c>
      <c r="B24" s="10" t="s">
        <v>237</v>
      </c>
      <c r="C24" s="10" t="s">
        <v>238</v>
      </c>
      <c r="D24" s="9" t="s">
        <v>114</v>
      </c>
    </row>
    <row r="25" customFormat="false" ht="30" hidden="false" customHeight="true" outlineLevel="0" collapsed="false">
      <c r="A25" s="18" t="s">
        <v>239</v>
      </c>
      <c r="B25" s="10" t="s">
        <v>240</v>
      </c>
      <c r="C25" s="10" t="s">
        <v>241</v>
      </c>
      <c r="D25" s="9" t="s">
        <v>114</v>
      </c>
    </row>
    <row r="26" customFormat="false" ht="30" hidden="false" customHeight="true" outlineLevel="0" collapsed="false">
      <c r="A26" s="18" t="s">
        <v>242</v>
      </c>
      <c r="B26" s="10" t="s">
        <v>243</v>
      </c>
      <c r="C26" s="10" t="s">
        <v>244</v>
      </c>
      <c r="D26" s="9" t="s">
        <v>114</v>
      </c>
    </row>
    <row r="27" customFormat="false" ht="30" hidden="false" customHeight="true" outlineLevel="0" collapsed="false">
      <c r="A27" s="18" t="s">
        <v>126</v>
      </c>
      <c r="B27" s="10" t="s">
        <v>245</v>
      </c>
      <c r="C27" s="10" t="s">
        <v>246</v>
      </c>
      <c r="D27" s="9" t="s">
        <v>114</v>
      </c>
    </row>
    <row r="28" customFormat="false" ht="30" hidden="false" customHeight="true" outlineLevel="0" collapsed="false">
      <c r="A28" s="18" t="s">
        <v>147</v>
      </c>
      <c r="B28" s="10" t="s">
        <v>247</v>
      </c>
      <c r="C28" s="10" t="s">
        <v>248</v>
      </c>
      <c r="D28" s="9" t="s">
        <v>114</v>
      </c>
    </row>
  </sheetData>
  <mergeCells count="1">
    <mergeCell ref="A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2026-09-16T20:41:08Z</dcterms:created>
  <dc:creator>openpyxl</dc:creator>
  <dc:description/>
  <dc:language>en-US</dc:language>
  <cp:lastModifiedBy/>
  <dcterms:modified xsi:type="dcterms:W3CDTF">2026-09-16T20:41:08Z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