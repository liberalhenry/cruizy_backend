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Rücklauf" sheetId="2" state="visible" r:id="rId2"/>
    <sheet xmlns:r="http://schemas.openxmlformats.org/officeDocument/2006/relationships" name="B Gebiet×Alter" sheetId="3" state="visible" r:id="rId3"/>
    <sheet xmlns:r="http://schemas.openxmlformats.org/officeDocument/2006/relationships" name="C Apps×Verhalten" sheetId="4" state="visible" r:id="rId4"/>
    <sheet xmlns:r="http://schemas.openxmlformats.org/officeDocument/2006/relationships" name="D Alter×Apps" sheetId="5" state="visible" r:id="rId5"/>
    <sheet xmlns:r="http://schemas.openxmlformats.org/officeDocument/2006/relationships" name="E Freitext×Alter" sheetId="6" state="visible" r:id="rId6"/>
    <sheet xmlns:r="http://schemas.openxmlformats.org/officeDocument/2006/relationships" name="F Vergleich" sheetId="7" state="visible" r:id="rId7"/>
    <sheet xmlns:r="http://schemas.openxmlformats.org/officeDocument/2006/relationships" name="Fehlerspann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DD.MM.YYYY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1F3A5F"/>
      <sz val="12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F00"/>
      </patternFill>
    </fill>
    <fill>
      <patternFill patternType="solid">
        <fgColor rgb="00EAF1F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3" fillId="2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165" fontId="5" fillId="3" borderId="1" applyAlignment="1" pivotButton="0" quotePrefix="0" xfId="0">
      <alignment vertical="top" wrapText="1"/>
    </xf>
    <xf numFmtId="3" fontId="5" fillId="3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3" fontId="7" fillId="4" borderId="1" applyAlignment="1" pivotButton="0" quotePrefix="0" xfId="0">
      <alignment vertical="top" wrapText="1"/>
    </xf>
    <xf numFmtId="164" fontId="7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3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166" fontId="4" fillId="4" borderId="1" applyAlignment="1" pivotButton="0" quotePrefix="0" xfId="0">
      <alignment vertical="top" wrapText="1"/>
    </xf>
    <xf numFmtId="9" fontId="5" fillId="3" borderId="1" applyAlignment="1" pivotButton="0" quotePrefix="0" xfId="0">
      <alignment vertical="top" wrapText="1"/>
    </xf>
    <xf numFmtId="2" fontId="5" fillId="3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50" customWidth="1" min="2" max="2"/>
  </cols>
  <sheetData>
    <row r="1">
      <c r="A1" s="1" t="inlineStr">
        <is>
          <t>Wartelisten-Umfrage — Auswertung</t>
        </is>
      </c>
    </row>
    <row r="2">
      <c r="A2" s="2" t="inlineStr">
        <is>
          <t>Aufgabe A-28 · erstellt 16.09.2026 · Grundlage: 20-interviews-feedback/wartelisten-umfrage.md, Handbuch B Teil VIII · Nur Summen eintragen, nie einzelne Antworten.</t>
        </is>
      </c>
    </row>
    <row r="3">
      <c r="A3" s="2" t="inlineStr">
        <is>
          <t>LEGENDE: Gelb mit blauer Schrift = Summen aus dem Umfragewerkzeug eintragen. Alles andere rechnet. Zellen unter 10 werden nicht ausgewiesen.</t>
        </is>
      </c>
    </row>
    <row r="5">
      <c r="A5" s="3" t="inlineStr">
        <is>
          <t>#</t>
        </is>
      </c>
      <c r="B5" s="3" t="inlineStr">
        <is>
          <t>Schritt</t>
        </is>
      </c>
    </row>
    <row r="6" ht="30" customHeight="1">
      <c r="A6" s="4" t="inlineStr">
        <is>
          <t>1</t>
        </is>
      </c>
      <c r="B6" s="5" t="inlineStr">
        <is>
          <t>Jede Woche: Aufrufe und abgeschickte Antworten als Summen aus dem Umfragewerkzeug ins Blatt „Rücklauf“ übernehmen, dazu die neu bestätigten Eintragungen.</t>
        </is>
      </c>
    </row>
    <row r="7" ht="30" customHeight="1">
      <c r="A7" s="4" t="inlineStr">
        <is>
          <t>2</t>
        </is>
      </c>
      <c r="B7" s="5" t="inlineStr">
        <is>
          <t>Zur Auswertung (frühestens ab 100 Antworten): Die Kreuztabellen B bis E aus dem Werkzeug als Summen übernehmen — nie einzelne Antworten.</t>
        </is>
      </c>
    </row>
    <row r="8" ht="30" customHeight="1">
      <c r="A8" s="4" t="inlineStr">
        <is>
          <t>3</t>
        </is>
      </c>
      <c r="B8" s="5" t="inlineStr">
        <is>
          <t>Freitexte vorher nach dem Codebuch (Umfrage, Abschnitt 4.3) codieren, die Summen in Blatt E eintragen, die Freitexte danach löschen (Frist: Nr. 61).</t>
        </is>
      </c>
    </row>
    <row r="9" ht="30" customHeight="1">
      <c r="A9" s="4" t="inlineStr">
        <is>
          <t>4</t>
        </is>
      </c>
      <c r="B9" s="5" t="inlineStr">
        <is>
          <t>Blatt F: die drei Summen aus tor-1-vorlage.xlsx eintragen und prüfen, ob die Umfrage für die ganze Liste spricht.</t>
        </is>
      </c>
    </row>
    <row r="10" ht="30" customHeight="1">
      <c r="A10" s="4" t="inlineStr">
        <is>
          <t>5</t>
        </is>
      </c>
      <c r="B10" s="5" t="inlineStr">
        <is>
          <t>Lesen nach den Regeln im Blatt „Fehlerspanne“: Anteile erst ab 100 je Gruppe, Unterschiede erst jenseits beider Spannen, Zellen unter 10 nicht ausweisen.</t>
        </is>
      </c>
    </row>
    <row r="11" ht="30" customHeight="1">
      <c r="A11" s="4" t="inlineStr">
        <is>
          <t>!</t>
        </is>
      </c>
      <c r="B11" s="5" t="inlineStr">
        <is>
          <t>Die Umfrage prüft die Kernthese nicht. Ob Datenschutz ungefragt aufkommt, zeigen nur die anonymen Interviews.</t>
        </is>
      </c>
    </row>
    <row r="13">
      <c r="A13" s="6" t="inlineStr">
        <is>
          <t>Blätter</t>
        </is>
      </c>
    </row>
    <row r="14">
      <c r="A14" s="3" t="inlineStr">
        <is>
          <t>#</t>
        </is>
      </c>
      <c r="B14" s="3" t="inlineStr">
        <is>
          <t>Blatt und Inhalt</t>
        </is>
      </c>
    </row>
    <row r="15">
      <c r="A15" s="4" t="inlineStr">
        <is>
          <t>1</t>
        </is>
      </c>
      <c r="B15" s="5" t="inlineStr">
        <is>
          <t>Rücklauf — Tabelle A: Aufrufe, Antworten, Abbruch- und Teilnahmequote je Woche</t>
        </is>
      </c>
    </row>
    <row r="16">
      <c r="A16" s="4" t="inlineStr">
        <is>
          <t>2</t>
        </is>
      </c>
      <c r="B16" s="5" t="inlineStr">
        <is>
          <t>B Gebiet×Alter — Tabelle B mit Zeilenprozent, Spanne und Belastbarkeit</t>
        </is>
      </c>
    </row>
    <row r="17">
      <c r="A17" s="4" t="inlineStr">
        <is>
          <t>3</t>
        </is>
      </c>
      <c r="B17" s="5" t="inlineStr">
        <is>
          <t>C Apps×Verhalten — Tabelle C: Anteil mit Löschung oder Kündigung je genutzter App</t>
        </is>
      </c>
    </row>
    <row r="18">
      <c r="A18" s="4" t="inlineStr">
        <is>
          <t>4</t>
        </is>
      </c>
      <c r="B18" s="5" t="inlineStr">
        <is>
          <t>D Alter×Apps — Tabelle D: App-Nutzung je Altersgruppe</t>
        </is>
      </c>
    </row>
    <row r="19">
      <c r="A19" s="4" t="inlineStr">
        <is>
          <t>5</t>
        </is>
      </c>
      <c r="B19" s="5" t="inlineStr">
        <is>
          <t>E Freitext×Alter — Tabelle E: Codes aus dem Freitext je Altersgruppe</t>
        </is>
      </c>
    </row>
    <row r="20">
      <c r="A20" s="4" t="inlineStr">
        <is>
          <t>6</t>
        </is>
      </c>
      <c r="B20" s="5" t="inlineStr">
        <is>
          <t>F Vergleich — Tabelle F: Gebietsverteilung Umfrage gegen Warteliste</t>
        </is>
      </c>
    </row>
    <row r="21">
      <c r="A21" s="4" t="inlineStr">
        <is>
          <t>7</t>
        </is>
      </c>
      <c r="B21" s="5" t="inlineStr">
        <is>
          <t>Fehlerspanne — Parameter, Spannen nach Fallzahl, Endlichkeitskorrektur, Regeln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6" customWidth="1" min="3" max="3"/>
    <col width="16" customWidth="1" min="4" max="4"/>
    <col width="13" customWidth="1" min="5" max="5"/>
    <col width="16" customWidth="1" min="6" max="6"/>
    <col width="13" customWidth="1" min="7" max="7"/>
    <col width="40" customWidth="1" min="8" max="8"/>
  </cols>
  <sheetData>
    <row r="1">
      <c r="A1" s="1" t="inlineStr">
        <is>
          <t>A · Rücklauf je Woche</t>
        </is>
      </c>
    </row>
    <row r="2">
      <c r="A2" s="2" t="inlineStr">
        <is>
          <t>Aufgabe A-28 · erstellt 16.09.2026 · Grundlage: 20-interviews-feedback/wartelisten-umfrage.md, Handbuch B Teil VIII · Nur Summen eintragen, nie einzelne Antworten.</t>
        </is>
      </c>
    </row>
    <row r="3">
      <c r="A3" s="2" t="inlineStr">
        <is>
          <t>LEGENDE: Gelb mit blauer Schrift = Summen aus dem Umfragewerkzeug eintragen. Alles andere rechnet. Zellen unter 10 werden nicht ausgewiesen.</t>
        </is>
      </c>
    </row>
    <row r="5" ht="45" customHeight="1">
      <c r="A5" s="3" t="inlineStr">
        <is>
          <t>Woche</t>
        </is>
      </c>
      <c r="B5" s="3" t="inlineStr">
        <is>
          <t>Stand am</t>
        </is>
      </c>
      <c r="C5" s="3" t="inlineStr">
        <is>
          <t>Aufrufe der Umfrageseite</t>
        </is>
      </c>
      <c r="D5" s="3" t="inlineStr">
        <is>
          <t>abgeschickte Antworten</t>
        </is>
      </c>
      <c r="E5" s="3" t="inlineStr">
        <is>
          <t>Abbruchquote</t>
        </is>
      </c>
      <c r="F5" s="3" t="inlineStr">
        <is>
          <t>neu bestätigte Eintragungen</t>
        </is>
      </c>
      <c r="G5" s="3" t="inlineStr">
        <is>
          <t>Teilnahmequote</t>
        </is>
      </c>
      <c r="H5" s="3" t="inlineStr">
        <is>
          <t>Notiz</t>
        </is>
      </c>
    </row>
    <row r="6">
      <c r="A6" s="4" t="n">
        <v>1</v>
      </c>
      <c r="B6" s="7" t="n"/>
      <c r="C6" s="8" t="n"/>
      <c r="D6" s="8" t="n"/>
      <c r="E6" s="9">
        <f>IF(N(C6)=0,"",1-D6/C6)</f>
        <v/>
      </c>
      <c r="F6" s="8" t="n"/>
      <c r="G6" s="9">
        <f>IF(N(F6)=0,"",D6/F6)</f>
        <v/>
      </c>
      <c r="H6" s="5" t="n"/>
    </row>
    <row r="7">
      <c r="A7" s="4" t="n">
        <v>2</v>
      </c>
      <c r="B7" s="7" t="n"/>
      <c r="C7" s="8" t="n"/>
      <c r="D7" s="8" t="n"/>
      <c r="E7" s="9">
        <f>IF(N(C7)=0,"",1-D7/C7)</f>
        <v/>
      </c>
      <c r="F7" s="8" t="n"/>
      <c r="G7" s="9">
        <f>IF(N(F7)=0,"",D7/F7)</f>
        <v/>
      </c>
      <c r="H7" s="5" t="n"/>
    </row>
    <row r="8">
      <c r="A8" s="4" t="n">
        <v>3</v>
      </c>
      <c r="B8" s="7" t="n"/>
      <c r="C8" s="8" t="n"/>
      <c r="D8" s="8" t="n"/>
      <c r="E8" s="9">
        <f>IF(N(C8)=0,"",1-D8/C8)</f>
        <v/>
      </c>
      <c r="F8" s="8" t="n"/>
      <c r="G8" s="9">
        <f>IF(N(F8)=0,"",D8/F8)</f>
        <v/>
      </c>
      <c r="H8" s="5" t="n"/>
    </row>
    <row r="9">
      <c r="A9" s="4" t="n">
        <v>4</v>
      </c>
      <c r="B9" s="7" t="n"/>
      <c r="C9" s="8" t="n"/>
      <c r="D9" s="8" t="n"/>
      <c r="E9" s="9">
        <f>IF(N(C9)=0,"",1-D9/C9)</f>
        <v/>
      </c>
      <c r="F9" s="8" t="n"/>
      <c r="G9" s="9">
        <f>IF(N(F9)=0,"",D9/F9)</f>
        <v/>
      </c>
      <c r="H9" s="5" t="n"/>
    </row>
    <row r="10">
      <c r="A10" s="4" t="n">
        <v>5</v>
      </c>
      <c r="B10" s="7" t="n"/>
      <c r="C10" s="8" t="n"/>
      <c r="D10" s="8" t="n"/>
      <c r="E10" s="9">
        <f>IF(N(C10)=0,"",1-D10/C10)</f>
        <v/>
      </c>
      <c r="F10" s="8" t="n"/>
      <c r="G10" s="9">
        <f>IF(N(F10)=0,"",D10/F10)</f>
        <v/>
      </c>
      <c r="H10" s="5" t="n"/>
    </row>
    <row r="11">
      <c r="A11" s="4" t="n">
        <v>6</v>
      </c>
      <c r="B11" s="7" t="n"/>
      <c r="C11" s="8" t="n"/>
      <c r="D11" s="8" t="n"/>
      <c r="E11" s="9">
        <f>IF(N(C11)=0,"",1-D11/C11)</f>
        <v/>
      </c>
      <c r="F11" s="8" t="n"/>
      <c r="G11" s="9">
        <f>IF(N(F11)=0,"",D11/F11)</f>
        <v/>
      </c>
      <c r="H11" s="5" t="n"/>
    </row>
    <row r="12">
      <c r="A12" s="4" t="n">
        <v>7</v>
      </c>
      <c r="B12" s="7" t="n"/>
      <c r="C12" s="8" t="n"/>
      <c r="D12" s="8" t="n"/>
      <c r="E12" s="9">
        <f>IF(N(C12)=0,"",1-D12/C12)</f>
        <v/>
      </c>
      <c r="F12" s="8" t="n"/>
      <c r="G12" s="9">
        <f>IF(N(F12)=0,"",D12/F12)</f>
        <v/>
      </c>
      <c r="H12" s="5" t="n"/>
    </row>
    <row r="13">
      <c r="A13" s="4" t="n">
        <v>8</v>
      </c>
      <c r="B13" s="7" t="n"/>
      <c r="C13" s="8" t="n"/>
      <c r="D13" s="8" t="n"/>
      <c r="E13" s="9">
        <f>IF(N(C13)=0,"",1-D13/C13)</f>
        <v/>
      </c>
      <c r="F13" s="8" t="n"/>
      <c r="G13" s="9">
        <f>IF(N(F13)=0,"",D13/F13)</f>
        <v/>
      </c>
      <c r="H13" s="5" t="n"/>
    </row>
    <row r="14">
      <c r="A14" s="4" t="n">
        <v>9</v>
      </c>
      <c r="B14" s="7" t="n"/>
      <c r="C14" s="8" t="n"/>
      <c r="D14" s="8" t="n"/>
      <c r="E14" s="9">
        <f>IF(N(C14)=0,"",1-D14/C14)</f>
        <v/>
      </c>
      <c r="F14" s="8" t="n"/>
      <c r="G14" s="9">
        <f>IF(N(F14)=0,"",D14/F14)</f>
        <v/>
      </c>
      <c r="H14" s="5" t="n"/>
    </row>
    <row r="15">
      <c r="A15" s="4" t="n">
        <v>10</v>
      </c>
      <c r="B15" s="7" t="n"/>
      <c r="C15" s="8" t="n"/>
      <c r="D15" s="8" t="n"/>
      <c r="E15" s="9">
        <f>IF(N(C15)=0,"",1-D15/C15)</f>
        <v/>
      </c>
      <c r="F15" s="8" t="n"/>
      <c r="G15" s="9">
        <f>IF(N(F15)=0,"",D15/F15)</f>
        <v/>
      </c>
      <c r="H15" s="5" t="n"/>
    </row>
    <row r="16">
      <c r="A16" s="4" t="n">
        <v>11</v>
      </c>
      <c r="B16" s="7" t="n"/>
      <c r="C16" s="8" t="n"/>
      <c r="D16" s="8" t="n"/>
      <c r="E16" s="9">
        <f>IF(N(C16)=0,"",1-D16/C16)</f>
        <v/>
      </c>
      <c r="F16" s="8" t="n"/>
      <c r="G16" s="9">
        <f>IF(N(F16)=0,"",D16/F16)</f>
        <v/>
      </c>
      <c r="H16" s="5" t="n"/>
    </row>
    <row r="17">
      <c r="A17" s="4" t="n">
        <v>12</v>
      </c>
      <c r="B17" s="7" t="n"/>
      <c r="C17" s="8" t="n"/>
      <c r="D17" s="8" t="n"/>
      <c r="E17" s="9">
        <f>IF(N(C17)=0,"",1-D17/C17)</f>
        <v/>
      </c>
      <c r="F17" s="8" t="n"/>
      <c r="G17" s="9">
        <f>IF(N(F17)=0,"",D17/F17)</f>
        <v/>
      </c>
      <c r="H17" s="5" t="n"/>
    </row>
    <row r="18">
      <c r="A18" s="4" t="n">
        <v>13</v>
      </c>
      <c r="B18" s="7" t="n"/>
      <c r="C18" s="8" t="n"/>
      <c r="D18" s="8" t="n"/>
      <c r="E18" s="9">
        <f>IF(N(C18)=0,"",1-D18/C18)</f>
        <v/>
      </c>
      <c r="F18" s="8" t="n"/>
      <c r="G18" s="9">
        <f>IF(N(F18)=0,"",D18/F18)</f>
        <v/>
      </c>
      <c r="H18" s="5" t="n"/>
    </row>
    <row r="19">
      <c r="A19" s="4" t="n">
        <v>14</v>
      </c>
      <c r="B19" s="7" t="n"/>
      <c r="C19" s="8" t="n"/>
      <c r="D19" s="8" t="n"/>
      <c r="E19" s="9">
        <f>IF(N(C19)=0,"",1-D19/C19)</f>
        <v/>
      </c>
      <c r="F19" s="8" t="n"/>
      <c r="G19" s="9">
        <f>IF(N(F19)=0,"",D19/F19)</f>
        <v/>
      </c>
      <c r="H19" s="5" t="n"/>
    </row>
    <row r="20">
      <c r="A20" s="4" t="n">
        <v>15</v>
      </c>
      <c r="B20" s="7" t="n"/>
      <c r="C20" s="8" t="n"/>
      <c r="D20" s="8" t="n"/>
      <c r="E20" s="9">
        <f>IF(N(C20)=0,"",1-D20/C20)</f>
        <v/>
      </c>
      <c r="F20" s="8" t="n"/>
      <c r="G20" s="9">
        <f>IF(N(F20)=0,"",D20/F20)</f>
        <v/>
      </c>
      <c r="H20" s="5" t="n"/>
    </row>
    <row r="21">
      <c r="A21" s="4" t="n">
        <v>16</v>
      </c>
      <c r="B21" s="7" t="n"/>
      <c r="C21" s="8" t="n"/>
      <c r="D21" s="8" t="n"/>
      <c r="E21" s="9">
        <f>IF(N(C21)=0,"",1-D21/C21)</f>
        <v/>
      </c>
      <c r="F21" s="8" t="n"/>
      <c r="G21" s="9">
        <f>IF(N(F21)=0,"",D21/F21)</f>
        <v/>
      </c>
      <c r="H21" s="5" t="n"/>
    </row>
    <row r="22">
      <c r="A22" s="4" t="n">
        <v>17</v>
      </c>
      <c r="B22" s="7" t="n"/>
      <c r="C22" s="8" t="n"/>
      <c r="D22" s="8" t="n"/>
      <c r="E22" s="9">
        <f>IF(N(C22)=0,"",1-D22/C22)</f>
        <v/>
      </c>
      <c r="F22" s="8" t="n"/>
      <c r="G22" s="9">
        <f>IF(N(F22)=0,"",D22/F22)</f>
        <v/>
      </c>
      <c r="H22" s="5" t="n"/>
    </row>
    <row r="23">
      <c r="A23" s="4" t="n">
        <v>18</v>
      </c>
      <c r="B23" s="7" t="n"/>
      <c r="C23" s="8" t="n"/>
      <c r="D23" s="8" t="n"/>
      <c r="E23" s="9">
        <f>IF(N(C23)=0,"",1-D23/C23)</f>
        <v/>
      </c>
      <c r="F23" s="8" t="n"/>
      <c r="G23" s="9">
        <f>IF(N(F23)=0,"",D23/F23)</f>
        <v/>
      </c>
      <c r="H23" s="5" t="n"/>
    </row>
    <row r="24">
      <c r="A24" s="4" t="n">
        <v>19</v>
      </c>
      <c r="B24" s="7" t="n"/>
      <c r="C24" s="8" t="n"/>
      <c r="D24" s="8" t="n"/>
      <c r="E24" s="9">
        <f>IF(N(C24)=0,"",1-D24/C24)</f>
        <v/>
      </c>
      <c r="F24" s="8" t="n"/>
      <c r="G24" s="9">
        <f>IF(N(F24)=0,"",D24/F24)</f>
        <v/>
      </c>
      <c r="H24" s="5" t="n"/>
    </row>
    <row r="25">
      <c r="A25" s="4" t="n">
        <v>20</v>
      </c>
      <c r="B25" s="7" t="n"/>
      <c r="C25" s="8" t="n"/>
      <c r="D25" s="8" t="n"/>
      <c r="E25" s="9">
        <f>IF(N(C25)=0,"",1-D25/C25)</f>
        <v/>
      </c>
      <c r="F25" s="8" t="n"/>
      <c r="G25" s="9">
        <f>IF(N(F25)=0,"",D25/F25)</f>
        <v/>
      </c>
      <c r="H25" s="5" t="n"/>
    </row>
    <row r="26">
      <c r="A26" s="4" t="n">
        <v>21</v>
      </c>
      <c r="B26" s="7" t="n"/>
      <c r="C26" s="8" t="n"/>
      <c r="D26" s="8" t="n"/>
      <c r="E26" s="9">
        <f>IF(N(C26)=0,"",1-D26/C26)</f>
        <v/>
      </c>
      <c r="F26" s="8" t="n"/>
      <c r="G26" s="9">
        <f>IF(N(F26)=0,"",D26/F26)</f>
        <v/>
      </c>
      <c r="H26" s="5" t="n"/>
    </row>
    <row r="27">
      <c r="A27" s="4" t="n">
        <v>22</v>
      </c>
      <c r="B27" s="7" t="n"/>
      <c r="C27" s="8" t="n"/>
      <c r="D27" s="8" t="n"/>
      <c r="E27" s="9">
        <f>IF(N(C27)=0,"",1-D27/C27)</f>
        <v/>
      </c>
      <c r="F27" s="8" t="n"/>
      <c r="G27" s="9">
        <f>IF(N(F27)=0,"",D27/F27)</f>
        <v/>
      </c>
      <c r="H27" s="5" t="n"/>
    </row>
    <row r="28">
      <c r="A28" s="4" t="n">
        <v>23</v>
      </c>
      <c r="B28" s="7" t="n"/>
      <c r="C28" s="8" t="n"/>
      <c r="D28" s="8" t="n"/>
      <c r="E28" s="9">
        <f>IF(N(C28)=0,"",1-D28/C28)</f>
        <v/>
      </c>
      <c r="F28" s="8" t="n"/>
      <c r="G28" s="9">
        <f>IF(N(F28)=0,"",D28/F28)</f>
        <v/>
      </c>
      <c r="H28" s="5" t="n"/>
    </row>
    <row r="29">
      <c r="A29" s="4" t="n">
        <v>24</v>
      </c>
      <c r="B29" s="7" t="n"/>
      <c r="C29" s="8" t="n"/>
      <c r="D29" s="8" t="n"/>
      <c r="E29" s="9">
        <f>IF(N(C29)=0,"",1-D29/C29)</f>
        <v/>
      </c>
      <c r="F29" s="8" t="n"/>
      <c r="G29" s="9">
        <f>IF(N(F29)=0,"",D29/F29)</f>
        <v/>
      </c>
      <c r="H29" s="5" t="n"/>
    </row>
    <row r="30">
      <c r="A30" s="4" t="n">
        <v>25</v>
      </c>
      <c r="B30" s="7" t="n"/>
      <c r="C30" s="8" t="n"/>
      <c r="D30" s="8" t="n"/>
      <c r="E30" s="9">
        <f>IF(N(C30)=0,"",1-D30/C30)</f>
        <v/>
      </c>
      <c r="F30" s="8" t="n"/>
      <c r="G30" s="9">
        <f>IF(N(F30)=0,"",D30/F30)</f>
        <v/>
      </c>
      <c r="H30" s="5" t="n"/>
    </row>
    <row r="31">
      <c r="A31" s="4" t="n">
        <v>26</v>
      </c>
      <c r="B31" s="7" t="n"/>
      <c r="C31" s="8" t="n"/>
      <c r="D31" s="8" t="n"/>
      <c r="E31" s="9">
        <f>IF(N(C31)=0,"",1-D31/C31)</f>
        <v/>
      </c>
      <c r="F31" s="8" t="n"/>
      <c r="G31" s="9">
        <f>IF(N(F31)=0,"",D31/F31)</f>
        <v/>
      </c>
      <c r="H31" s="5" t="n"/>
    </row>
    <row r="32">
      <c r="A32" s="10" t="inlineStr">
        <is>
          <t>Summe</t>
        </is>
      </c>
      <c r="B32" s="5" t="inlineStr"/>
      <c r="C32" s="11">
        <f>SUM(C6:C31)</f>
        <v/>
      </c>
      <c r="D32" s="11">
        <f>SUM(D6:D31)</f>
        <v/>
      </c>
      <c r="E32" s="12">
        <f>IF(N(C32)=0,"",1-D32/C32)</f>
        <v/>
      </c>
      <c r="F32" s="11">
        <f>SUM(F6:F31)</f>
        <v/>
      </c>
      <c r="G32" s="12">
        <f>IF(N(F32)=0,"",D32/F32)</f>
        <v/>
      </c>
    </row>
    <row r="34">
      <c r="A34" s="10" t="inlineStr">
        <is>
          <t>Prüfung</t>
        </is>
      </c>
      <c r="C34" s="13">
        <f>IF(COUNTIF(E6:E31,"&lt;0")&gt;0,"Mehr Antworten als Aufrufe in mindestens einer Woche — Zählung prüfen","keine Auffälligkeit")</f>
        <v/>
      </c>
      <c r="D34" s="14" t="n"/>
      <c r="E34" s="14" t="n"/>
      <c r="F34" s="14" t="n"/>
      <c r="G34" s="14" t="n"/>
      <c r="H34" s="15" t="n"/>
    </row>
    <row r="36">
      <c r="A36" s="2" t="inlineStr">
        <is>
          <t>Abbruchquote = 1 − abgeschickt ÷ Aufrufe. Teilnahmequote = abgeschickt ÷ neu bestätigte Eintragungen derselben Woche (bei Weg A). Bei Weg B die Zahl der angeschriebenen Eintragungen eintragen.</t>
        </is>
      </c>
    </row>
    <row r="37">
      <c r="A37" s="2" t="inlineStr">
        <is>
          <t>Zählung nur serverseitig und als Summe — keine Cookies, keine Kennungen (Umfrage, Abschnitt 1.2).</t>
        </is>
      </c>
    </row>
  </sheetData>
  <mergeCells count="1">
    <mergeCell ref="C34:H34"/>
  </mergeCells>
  <conditionalFormatting sqref="C34">
    <cfRule type="expression" priority="1" dxfId="0">
      <formula>C34="keine Auffälligkeit"</formula>
    </cfRule>
    <cfRule type="expression" priority="2" dxfId="1">
      <formula>AND(C34&lt;&gt;"",C34&lt;&gt;"keine Auffälligkeit")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1" customWidth="1" min="7" max="7"/>
    <col width="11" customWidth="1" min="8" max="8"/>
    <col width="22" customWidth="1" min="9" max="9"/>
  </cols>
  <sheetData>
    <row r="1">
      <c r="A1" s="1" t="inlineStr">
        <is>
          <t>B · Gebiet × Altersgruppe</t>
        </is>
      </c>
    </row>
    <row r="2">
      <c r="A2" s="2" t="inlineStr">
        <is>
          <t>Aufgabe A-28 · erstellt 16.09.2026 · Grundlage: 20-interviews-feedback/wartelisten-umfrage.md, Handbuch B Teil VIII · Nur Summen eintragen, nie einzelne Antworten.</t>
        </is>
      </c>
    </row>
    <row r="3">
      <c r="A3" s="2" t="inlineStr">
        <is>
          <t>LEGENDE: Gelb mit blauer Schrift = Summen aus dem Umfragewerkzeug eintragen. Alles andere rechnet. Zellen unter 10 werden nicht ausgewiesen.</t>
        </is>
      </c>
    </row>
    <row r="5" ht="32" customHeight="1">
      <c r="A5" s="3" t="inlineStr">
        <is>
          <t>Gebiet</t>
        </is>
      </c>
      <c r="B5" s="3" t="inlineStr">
        <is>
          <t>18–25</t>
        </is>
      </c>
      <c r="C5" s="3" t="inlineStr">
        <is>
          <t>26–35</t>
        </is>
      </c>
      <c r="D5" s="3" t="inlineStr">
        <is>
          <t>36–50</t>
        </is>
      </c>
      <c r="E5" s="3" t="inlineStr">
        <is>
          <t>über 50</t>
        </is>
      </c>
      <c r="F5" s="3" t="inlineStr">
        <is>
          <t>keine Angabe</t>
        </is>
      </c>
      <c r="G5" s="3" t="inlineStr">
        <is>
          <t>Summe</t>
        </is>
      </c>
      <c r="H5" s="3" t="inlineStr">
        <is>
          <t>Spanne ±</t>
        </is>
      </c>
      <c r="I5" s="3" t="inlineStr">
        <is>
          <t>Anteile belastbar?</t>
        </is>
      </c>
    </row>
    <row r="6">
      <c r="A6" s="10" t="inlineStr">
        <is>
          <t>3-km-Umkreis Schaafenstraße</t>
        </is>
      </c>
      <c r="B6" s="8" t="n"/>
      <c r="C6" s="8" t="n"/>
      <c r="D6" s="8" t="n"/>
      <c r="E6" s="8" t="n"/>
      <c r="F6" s="8" t="n"/>
      <c r="G6" s="11">
        <f>SUM(B6:F6)</f>
        <v/>
      </c>
      <c r="H6" s="9">
        <f>IF(N(G6)=0,"",Fehlerspanne!$B$6*SQRT(Fehlerspanne!$B$5*(1-Fehlerspanne!$B$5)/G6))</f>
        <v/>
      </c>
      <c r="I6" s="13">
        <f>IF(N(G6)=0,"",IF(G6&gt;=Fehlerspanne!$B$8,"ja","nein — nur Rangfolge"))</f>
        <v/>
      </c>
    </row>
    <row r="7">
      <c r="A7" s="10" t="inlineStr">
        <is>
          <t>übrige Startstadt</t>
        </is>
      </c>
      <c r="B7" s="8" t="n"/>
      <c r="C7" s="8" t="n"/>
      <c r="D7" s="8" t="n"/>
      <c r="E7" s="8" t="n"/>
      <c r="F7" s="8" t="n"/>
      <c r="G7" s="11">
        <f>SUM(B7:F7)</f>
        <v/>
      </c>
      <c r="H7" s="9">
        <f>IF(N(G7)=0,"",Fehlerspanne!$B$6*SQRT(Fehlerspanne!$B$5*(1-Fehlerspanne!$B$5)/G7))</f>
        <v/>
      </c>
      <c r="I7" s="13">
        <f>IF(N(G7)=0,"",IF(G7&gt;=Fehlerspanne!$B$8,"ja","nein — nur Rangfolge"))</f>
        <v/>
      </c>
    </row>
    <row r="8">
      <c r="A8" s="10" t="inlineStr">
        <is>
          <t>außerhalb der Startstadt</t>
        </is>
      </c>
      <c r="B8" s="8" t="n"/>
      <c r="C8" s="8" t="n"/>
      <c r="D8" s="8" t="n"/>
      <c r="E8" s="8" t="n"/>
      <c r="F8" s="8" t="n"/>
      <c r="G8" s="11">
        <f>SUM(B8:F8)</f>
        <v/>
      </c>
      <c r="H8" s="9">
        <f>IF(N(G8)=0,"",Fehlerspanne!$B$6*SQRT(Fehlerspanne!$B$5*(1-Fehlerspanne!$B$5)/G8))</f>
        <v/>
      </c>
      <c r="I8" s="13">
        <f>IF(N(G8)=0,"",IF(G8&gt;=Fehlerspanne!$B$8,"ja","nein — nur Rangfolge"))</f>
        <v/>
      </c>
    </row>
    <row r="9">
      <c r="A9" s="10" t="inlineStr">
        <is>
          <t>ohne Postleitzahl</t>
        </is>
      </c>
      <c r="B9" s="8" t="n"/>
      <c r="C9" s="8" t="n"/>
      <c r="D9" s="8" t="n"/>
      <c r="E9" s="8" t="n"/>
      <c r="F9" s="8" t="n"/>
      <c r="G9" s="11">
        <f>SUM(B9:F9)</f>
        <v/>
      </c>
      <c r="H9" s="9">
        <f>IF(N(G9)=0,"",Fehlerspanne!$B$6*SQRT(Fehlerspanne!$B$5*(1-Fehlerspanne!$B$5)/G9))</f>
        <v/>
      </c>
      <c r="I9" s="13">
        <f>IF(N(G9)=0,"",IF(G9&gt;=Fehlerspanne!$B$8,"ja","nein — nur Rangfolge"))</f>
        <v/>
      </c>
    </row>
    <row r="10">
      <c r="A10" s="10" t="inlineStr">
        <is>
          <t>Summe</t>
        </is>
      </c>
      <c r="B10" s="11">
        <f>SUM(B6:B9)</f>
        <v/>
      </c>
      <c r="C10" s="11">
        <f>SUM(C6:C9)</f>
        <v/>
      </c>
      <c r="D10" s="11">
        <f>SUM(D6:D9)</f>
        <v/>
      </c>
      <c r="E10" s="11">
        <f>SUM(E6:E9)</f>
        <v/>
      </c>
      <c r="F10" s="11">
        <f>SUM(F6:F9)</f>
        <v/>
      </c>
      <c r="G10" s="11">
        <f>SUM(G6:G9)</f>
        <v/>
      </c>
      <c r="H10" s="9">
        <f>IF(N(G10)=0,"",Fehlerspanne!$B$6*SQRT(Fehlerspanne!$B$5*(1-Fehlerspanne!$B$5)/G10))</f>
        <v/>
      </c>
      <c r="I10" s="13">
        <f>IF(N(G10)=0,"",IF(G10&gt;=Fehlerspanne!$B$8,"ja","nein — nur Rangfolge"))</f>
        <v/>
      </c>
    </row>
    <row r="12">
      <c r="A12" s="6" t="inlineStr">
        <is>
          <t>Anteile je Gebiet (Zeilenprozent)</t>
        </is>
      </c>
    </row>
    <row r="13">
      <c r="A13" s="3" t="inlineStr">
        <is>
          <t>Gebiet</t>
        </is>
      </c>
      <c r="B13" s="3" t="inlineStr">
        <is>
          <t>18–25</t>
        </is>
      </c>
      <c r="C13" s="3" t="inlineStr">
        <is>
          <t>26–35</t>
        </is>
      </c>
      <c r="D13" s="3" t="inlineStr">
        <is>
          <t>36–50</t>
        </is>
      </c>
      <c r="E13" s="3" t="inlineStr">
        <is>
          <t>über 50</t>
        </is>
      </c>
      <c r="F13" s="3" t="inlineStr">
        <is>
          <t>keine Angabe</t>
        </is>
      </c>
    </row>
    <row r="14">
      <c r="A14" s="10" t="inlineStr">
        <is>
          <t>3-km-Umkreis Schaafenstraße</t>
        </is>
      </c>
      <c r="B14" s="9">
        <f>IF(OR($G$6="",N($G$6)=0),"",IF(N(B6)&lt;Fehlerspanne!$B$7,"unter "&amp;Fehlerspanne!$B$7,B6/$G$6))</f>
        <v/>
      </c>
      <c r="C14" s="9">
        <f>IF(OR($G$6="",N($G$6)=0),"",IF(N(C6)&lt;Fehlerspanne!$B$7,"unter "&amp;Fehlerspanne!$B$7,C6/$G$6))</f>
        <v/>
      </c>
      <c r="D14" s="9">
        <f>IF(OR($G$6="",N($G$6)=0),"",IF(N(D6)&lt;Fehlerspanne!$B$7,"unter "&amp;Fehlerspanne!$B$7,D6/$G$6))</f>
        <v/>
      </c>
      <c r="E14" s="9">
        <f>IF(OR($G$6="",N($G$6)=0),"",IF(N(E6)&lt;Fehlerspanne!$B$7,"unter "&amp;Fehlerspanne!$B$7,E6/$G$6))</f>
        <v/>
      </c>
      <c r="F14" s="9">
        <f>IF(OR($G$6="",N($G$6)=0),"",IF(N(F6)&lt;Fehlerspanne!$B$7,"unter "&amp;Fehlerspanne!$B$7,F6/$G$6))</f>
        <v/>
      </c>
    </row>
    <row r="15">
      <c r="A15" s="10" t="inlineStr">
        <is>
          <t>übrige Startstadt</t>
        </is>
      </c>
      <c r="B15" s="9">
        <f>IF(OR($G$7="",N($G$7)=0),"",IF(N(B7)&lt;Fehlerspanne!$B$7,"unter "&amp;Fehlerspanne!$B$7,B7/$G$7))</f>
        <v/>
      </c>
      <c r="C15" s="9">
        <f>IF(OR($G$7="",N($G$7)=0),"",IF(N(C7)&lt;Fehlerspanne!$B$7,"unter "&amp;Fehlerspanne!$B$7,C7/$G$7))</f>
        <v/>
      </c>
      <c r="D15" s="9">
        <f>IF(OR($G$7="",N($G$7)=0),"",IF(N(D7)&lt;Fehlerspanne!$B$7,"unter "&amp;Fehlerspanne!$B$7,D7/$G$7))</f>
        <v/>
      </c>
      <c r="E15" s="9">
        <f>IF(OR($G$7="",N($G$7)=0),"",IF(N(E7)&lt;Fehlerspanne!$B$7,"unter "&amp;Fehlerspanne!$B$7,E7/$G$7))</f>
        <v/>
      </c>
      <c r="F15" s="9">
        <f>IF(OR($G$7="",N($G$7)=0),"",IF(N(F7)&lt;Fehlerspanne!$B$7,"unter "&amp;Fehlerspanne!$B$7,F7/$G$7))</f>
        <v/>
      </c>
    </row>
    <row r="16">
      <c r="A16" s="10" t="inlineStr">
        <is>
          <t>außerhalb der Startstadt</t>
        </is>
      </c>
      <c r="B16" s="9">
        <f>IF(OR($G$8="",N($G$8)=0),"",IF(N(B8)&lt;Fehlerspanne!$B$7,"unter "&amp;Fehlerspanne!$B$7,B8/$G$8))</f>
        <v/>
      </c>
      <c r="C16" s="9">
        <f>IF(OR($G$8="",N($G$8)=0),"",IF(N(C8)&lt;Fehlerspanne!$B$7,"unter "&amp;Fehlerspanne!$B$7,C8/$G$8))</f>
        <v/>
      </c>
      <c r="D16" s="9">
        <f>IF(OR($G$8="",N($G$8)=0),"",IF(N(D8)&lt;Fehlerspanne!$B$7,"unter "&amp;Fehlerspanne!$B$7,D8/$G$8))</f>
        <v/>
      </c>
      <c r="E16" s="9">
        <f>IF(OR($G$8="",N($G$8)=0),"",IF(N(E8)&lt;Fehlerspanne!$B$7,"unter "&amp;Fehlerspanne!$B$7,E8/$G$8))</f>
        <v/>
      </c>
      <c r="F16" s="9">
        <f>IF(OR($G$8="",N($G$8)=0),"",IF(N(F8)&lt;Fehlerspanne!$B$7,"unter "&amp;Fehlerspanne!$B$7,F8/$G$8))</f>
        <v/>
      </c>
    </row>
    <row r="17">
      <c r="A17" s="10" t="inlineStr">
        <is>
          <t>ohne Postleitzahl</t>
        </is>
      </c>
      <c r="B17" s="9">
        <f>IF(OR($G$9="",N($G$9)=0),"",IF(N(B9)&lt;Fehlerspanne!$B$7,"unter "&amp;Fehlerspanne!$B$7,B9/$G$9))</f>
        <v/>
      </c>
      <c r="C17" s="9">
        <f>IF(OR($G$9="",N($G$9)=0),"",IF(N(C9)&lt;Fehlerspanne!$B$7,"unter "&amp;Fehlerspanne!$B$7,C9/$G$9))</f>
        <v/>
      </c>
      <c r="D17" s="9">
        <f>IF(OR($G$9="",N($G$9)=0),"",IF(N(D9)&lt;Fehlerspanne!$B$7,"unter "&amp;Fehlerspanne!$B$7,D9/$G$9))</f>
        <v/>
      </c>
      <c r="E17" s="9">
        <f>IF(OR($G$9="",N($G$9)=0),"",IF(N(E9)&lt;Fehlerspanne!$B$7,"unter "&amp;Fehlerspanne!$B$7,E9/$G$9))</f>
        <v/>
      </c>
      <c r="F17" s="9">
        <f>IF(OR($G$9="",N($G$9)=0),"",IF(N(F9)&lt;Fehlerspanne!$B$7,"unter "&amp;Fehlerspanne!$B$7,F9/$G$9))</f>
        <v/>
      </c>
    </row>
    <row r="18">
      <c r="A18" s="10" t="inlineStr">
        <is>
          <t>alle</t>
        </is>
      </c>
      <c r="B18" s="9">
        <f>IF(OR($G$10="",N($G$10)=0),"",IF(N(B10)&lt;Fehlerspanne!$B$7,"unter "&amp;Fehlerspanne!$B$7,B10/$G$10))</f>
        <v/>
      </c>
      <c r="C18" s="9">
        <f>IF(OR($G$10="",N($G$10)=0),"",IF(N(C10)&lt;Fehlerspanne!$B$7,"unter "&amp;Fehlerspanne!$B$7,C10/$G$10))</f>
        <v/>
      </c>
      <c r="D18" s="9">
        <f>IF(OR($G$10="",N($G$10)=0),"",IF(N(D10)&lt;Fehlerspanne!$B$7,"unter "&amp;Fehlerspanne!$B$7,D10/$G$10))</f>
        <v/>
      </c>
      <c r="E18" s="9">
        <f>IF(OR($G$10="",N($G$10)=0),"",IF(N(E10)&lt;Fehlerspanne!$B$7,"unter "&amp;Fehlerspanne!$B$7,E10/$G$10))</f>
        <v/>
      </c>
      <c r="F18" s="9">
        <f>IF(OR($G$10="",N($G$10)=0),"",IF(N(F10)&lt;Fehlerspanne!$B$7,"unter "&amp;Fehlerspanne!$B$7,F10/$G$10))</f>
        <v/>
      </c>
    </row>
    <row r="21">
      <c r="A21" s="2" t="inlineStr">
        <is>
          <t>3-km-Umkreis und übrige Startstadt schließen sich aus; zusammen ergeben sie die Startstadt. Zuordnung der Postleitzahlen wie in tor-1-vorlage.xlsx.</t>
        </is>
      </c>
    </row>
    <row r="22">
      <c r="A22" s="2" t="inlineStr">
        <is>
          <t>Anteile unter der Mindestzahl je Gruppe (Blatt „Fehlerspanne“) nur als Rangfolge lesen.</t>
        </is>
      </c>
    </row>
  </sheetData>
  <conditionalFormatting sqref="I6:I10">
    <cfRule type="expression" priority="1" dxfId="1">
      <formula>LEFT(I6,4)="nein"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3" customWidth="1" min="9" max="9"/>
    <col width="16" customWidth="1" min="10" max="10"/>
    <col width="11" customWidth="1" min="11" max="11"/>
    <col width="22" customWidth="1" min="12" max="12"/>
  </cols>
  <sheetData>
    <row r="1">
      <c r="A1" s="1" t="inlineStr">
        <is>
          <t>C · genutzte App × Löschung oder Kündigung in zwölf Monaten</t>
        </is>
      </c>
    </row>
    <row r="2">
      <c r="A2" s="2" t="inlineStr">
        <is>
          <t>Aufgabe A-28 · erstellt 16.09.2026 · Grundlage: 20-interviews-feedback/wartelisten-umfrage.md, Handbuch B Teil VIII · Nur Summen eintragen, nie einzelne Antworten.</t>
        </is>
      </c>
    </row>
    <row r="3">
      <c r="A3" s="2" t="inlineStr">
        <is>
          <t>LEGENDE: Gelb mit blauer Schrift = Summen aus dem Umfragewerkzeug eintragen. Alles andere rechnet. Zellen unter 10 werden nicht ausgewiesen.</t>
        </is>
      </c>
    </row>
    <row r="5" ht="45" customHeight="1">
      <c r="A5" s="3" t="inlineStr">
        <is>
          <t>genutzte App (F3)</t>
        </is>
      </c>
      <c r="B5" s="3" t="inlineStr">
        <is>
          <t>App gelöscht</t>
        </is>
      </c>
      <c r="C5" s="3" t="inlineStr">
        <is>
          <t>Abo gekündigt</t>
        </is>
      </c>
      <c r="D5" s="3" t="inlineStr">
        <is>
          <t>beides</t>
        </is>
      </c>
      <c r="E5" s="3" t="inlineStr">
        <is>
          <t>nein</t>
        </is>
      </c>
      <c r="F5" s="3" t="inlineStr">
        <is>
          <t>weiß nicht mehr</t>
        </is>
      </c>
      <c r="G5" s="3" t="inlineStr">
        <is>
          <t>ohne Angabe</t>
        </is>
      </c>
      <c r="H5" s="3" t="inlineStr">
        <is>
          <t>Summe</t>
        </is>
      </c>
      <c r="I5" s="3" t="inlineStr">
        <is>
          <t>mit Antwort ja/nein</t>
        </is>
      </c>
      <c r="J5" s="3" t="inlineStr">
        <is>
          <t>Anteil mit Löschung oder Kündigung</t>
        </is>
      </c>
      <c r="K5" s="3" t="inlineStr">
        <is>
          <t>Spanne ±</t>
        </is>
      </c>
      <c r="L5" s="3" t="inlineStr">
        <is>
          <t>Anteil belastbar?</t>
        </is>
      </c>
    </row>
    <row r="6">
      <c r="A6" s="10" t="inlineStr">
        <is>
          <t>Grindr</t>
        </is>
      </c>
      <c r="B6" s="8" t="n"/>
      <c r="C6" s="8" t="n"/>
      <c r="D6" s="8" t="n"/>
      <c r="E6" s="8" t="n"/>
      <c r="F6" s="8" t="n"/>
      <c r="G6" s="8" t="n"/>
      <c r="H6" s="11">
        <f>SUM(B6:G6)</f>
        <v/>
      </c>
      <c r="I6" s="16">
        <f>SUM(B6:E6)</f>
        <v/>
      </c>
      <c r="J6" s="9">
        <f>IF(N(I6)=0,"",IF(I6&lt;Fehlerspanne!$B$7,"unter "&amp;Fehlerspanne!$B$7,SUM(B6:D6)/I6))</f>
        <v/>
      </c>
      <c r="K6" s="9">
        <f>IF(N(I6)=0,"",Fehlerspanne!$B$6*SQRT(Fehlerspanne!$B$5*(1-Fehlerspanne!$B$5)/I6))</f>
        <v/>
      </c>
      <c r="L6" s="13">
        <f>IF(N(I6)=0,"",IF(I6&gt;=Fehlerspanne!$B$8,"ja","nein — nur Rangfolge"))</f>
        <v/>
      </c>
    </row>
    <row r="7">
      <c r="A7" s="10" t="inlineStr">
        <is>
          <t>ROMEO</t>
        </is>
      </c>
      <c r="B7" s="8" t="n"/>
      <c r="C7" s="8" t="n"/>
      <c r="D7" s="8" t="n"/>
      <c r="E7" s="8" t="n"/>
      <c r="F7" s="8" t="n"/>
      <c r="G7" s="8" t="n"/>
      <c r="H7" s="11">
        <f>SUM(B7:G7)</f>
        <v/>
      </c>
      <c r="I7" s="16">
        <f>SUM(B7:E7)</f>
        <v/>
      </c>
      <c r="J7" s="9">
        <f>IF(N(I7)=0,"",IF(I7&lt;Fehlerspanne!$B$7,"unter "&amp;Fehlerspanne!$B$7,SUM(B7:D7)/I7))</f>
        <v/>
      </c>
      <c r="K7" s="9">
        <f>IF(N(I7)=0,"",Fehlerspanne!$B$6*SQRT(Fehlerspanne!$B$5*(1-Fehlerspanne!$B$5)/I7))</f>
        <v/>
      </c>
      <c r="L7" s="13">
        <f>IF(N(I7)=0,"",IF(I7&gt;=Fehlerspanne!$B$8,"ja","nein — nur Rangfolge"))</f>
        <v/>
      </c>
    </row>
    <row r="8">
      <c r="A8" s="10" t="inlineStr">
        <is>
          <t>SCRUFF</t>
        </is>
      </c>
      <c r="B8" s="8" t="n"/>
      <c r="C8" s="8" t="n"/>
      <c r="D8" s="8" t="n"/>
      <c r="E8" s="8" t="n"/>
      <c r="F8" s="8" t="n"/>
      <c r="G8" s="8" t="n"/>
      <c r="H8" s="11">
        <f>SUM(B8:G8)</f>
        <v/>
      </c>
      <c r="I8" s="16">
        <f>SUM(B8:E8)</f>
        <v/>
      </c>
      <c r="J8" s="9">
        <f>IF(N(I8)=0,"",IF(I8&lt;Fehlerspanne!$B$7,"unter "&amp;Fehlerspanne!$B$7,SUM(B8:D8)/I8))</f>
        <v/>
      </c>
      <c r="K8" s="9">
        <f>IF(N(I8)=0,"",Fehlerspanne!$B$6*SQRT(Fehlerspanne!$B$5*(1-Fehlerspanne!$B$5)/I8))</f>
        <v/>
      </c>
      <c r="L8" s="13">
        <f>IF(N(I8)=0,"",IF(I8&gt;=Fehlerspanne!$B$8,"ja","nein — nur Rangfolge"))</f>
        <v/>
      </c>
    </row>
    <row r="9">
      <c r="A9" s="10" t="inlineStr">
        <is>
          <t>Hornet</t>
        </is>
      </c>
      <c r="B9" s="8" t="n"/>
      <c r="C9" s="8" t="n"/>
      <c r="D9" s="8" t="n"/>
      <c r="E9" s="8" t="n"/>
      <c r="F9" s="8" t="n"/>
      <c r="G9" s="8" t="n"/>
      <c r="H9" s="11">
        <f>SUM(B9:G9)</f>
        <v/>
      </c>
      <c r="I9" s="16">
        <f>SUM(B9:E9)</f>
        <v/>
      </c>
      <c r="J9" s="9">
        <f>IF(N(I9)=0,"",IF(I9&lt;Fehlerspanne!$B$7,"unter "&amp;Fehlerspanne!$B$7,SUM(B9:D9)/I9))</f>
        <v/>
      </c>
      <c r="K9" s="9">
        <f>IF(N(I9)=0,"",Fehlerspanne!$B$6*SQRT(Fehlerspanne!$B$5*(1-Fehlerspanne!$B$5)/I9))</f>
        <v/>
      </c>
      <c r="L9" s="13">
        <f>IF(N(I9)=0,"",IF(I9&gt;=Fehlerspanne!$B$8,"ja","nein — nur Rangfolge"))</f>
        <v/>
      </c>
    </row>
    <row r="10">
      <c r="A10" s="10" t="inlineStr">
        <is>
          <t>Sniffies</t>
        </is>
      </c>
      <c r="B10" s="8" t="n"/>
      <c r="C10" s="8" t="n"/>
      <c r="D10" s="8" t="n"/>
      <c r="E10" s="8" t="n"/>
      <c r="F10" s="8" t="n"/>
      <c r="G10" s="8" t="n"/>
      <c r="H10" s="11">
        <f>SUM(B10:G10)</f>
        <v/>
      </c>
      <c r="I10" s="16">
        <f>SUM(B10:E10)</f>
        <v/>
      </c>
      <c r="J10" s="9">
        <f>IF(N(I10)=0,"",IF(I10&lt;Fehlerspanne!$B$7,"unter "&amp;Fehlerspanne!$B$7,SUM(B10:D10)/I10))</f>
        <v/>
      </c>
      <c r="K10" s="9">
        <f>IF(N(I10)=0,"",Fehlerspanne!$B$6*SQRT(Fehlerspanne!$B$5*(1-Fehlerspanne!$B$5)/I10))</f>
        <v/>
      </c>
      <c r="L10" s="13">
        <f>IF(N(I10)=0,"",IF(I10&gt;=Fehlerspanne!$B$8,"ja","nein — nur Rangfolge"))</f>
        <v/>
      </c>
    </row>
    <row r="11">
      <c r="A11" s="10" t="inlineStr">
        <is>
          <t>andere</t>
        </is>
      </c>
      <c r="B11" s="8" t="n"/>
      <c r="C11" s="8" t="n"/>
      <c r="D11" s="8" t="n"/>
      <c r="E11" s="8" t="n"/>
      <c r="F11" s="8" t="n"/>
      <c r="G11" s="8" t="n"/>
      <c r="H11" s="11">
        <f>SUM(B11:G11)</f>
        <v/>
      </c>
      <c r="I11" s="16">
        <f>SUM(B11:E11)</f>
        <v/>
      </c>
      <c r="J11" s="9">
        <f>IF(N(I11)=0,"",IF(I11&lt;Fehlerspanne!$B$7,"unter "&amp;Fehlerspanne!$B$7,SUM(B11:D11)/I11))</f>
        <v/>
      </c>
      <c r="K11" s="9">
        <f>IF(N(I11)=0,"",Fehlerspanne!$B$6*SQRT(Fehlerspanne!$B$5*(1-Fehlerspanne!$B$5)/I11))</f>
        <v/>
      </c>
      <c r="L11" s="13">
        <f>IF(N(I11)=0,"",IF(I11&gt;=Fehlerspanne!$B$8,"ja","nein — nur Rangfolge"))</f>
        <v/>
      </c>
    </row>
    <row r="12">
      <c r="A12" s="10" t="inlineStr">
        <is>
          <t>keine</t>
        </is>
      </c>
      <c r="B12" s="8" t="n"/>
      <c r="C12" s="8" t="n"/>
      <c r="D12" s="8" t="n"/>
      <c r="E12" s="8" t="n"/>
      <c r="F12" s="8" t="n"/>
      <c r="G12" s="8" t="n"/>
      <c r="H12" s="11">
        <f>SUM(B12:G12)</f>
        <v/>
      </c>
      <c r="I12" s="16">
        <f>SUM(B12:E12)</f>
        <v/>
      </c>
      <c r="J12" s="9">
        <f>IF(N(I12)=0,"",IF(I12&lt;Fehlerspanne!$B$7,"unter "&amp;Fehlerspanne!$B$7,SUM(B12:D12)/I12))</f>
        <v/>
      </c>
      <c r="K12" s="9">
        <f>IF(N(I12)=0,"",Fehlerspanne!$B$6*SQRT(Fehlerspanne!$B$5*(1-Fehlerspanne!$B$5)/I12))</f>
        <v/>
      </c>
      <c r="L12" s="13">
        <f>IF(N(I12)=0,"",IF(I12&gt;=Fehlerspanne!$B$8,"ja","nein — nur Rangfolge"))</f>
        <v/>
      </c>
    </row>
    <row r="14">
      <c r="A14" s="2" t="inlineStr">
        <is>
          <t>Mehrfachauswahl: Wer zwei Apps nutzt, zählt in zwei Zeilen. Deshalb gibt es keine Summenzeile über alle Apps.</t>
        </is>
      </c>
    </row>
    <row r="15">
      <c r="A15" s="2" t="inlineStr">
        <is>
          <t>Anteil = (gelöscht + gekündigt + beides) ÷ (dieselben + nein). „weiß nicht mehr“ und „ohne Angabe“ zählen nicht mit.</t>
        </is>
      </c>
    </row>
    <row r="16">
      <c r="A16" s="2" t="inlineStr">
        <is>
          <t>F4 fragt nach irgendeiner App, nicht nach der genannten: Die Zeile zeigt, wie wechselfreudig die Nutzer einer App sind — nicht, wie oft genau diese App gelöscht wird.</t>
        </is>
      </c>
    </row>
  </sheetData>
  <conditionalFormatting sqref="L6:L12">
    <cfRule type="expression" priority="1" dxfId="1">
      <formula>LEFT(L6,4)="nein"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D · Altersgruppe × genutzte App</t>
        </is>
      </c>
    </row>
    <row r="2">
      <c r="A2" s="2" t="inlineStr">
        <is>
          <t>Aufgabe A-28 · erstellt 16.09.2026 · Grundlage: 20-interviews-feedback/wartelisten-umfrage.md, Handbuch B Teil VIII · Nur Summen eintragen, nie einzelne Antworten.</t>
        </is>
      </c>
    </row>
    <row r="3">
      <c r="A3" s="2" t="inlineStr">
        <is>
          <t>LEGENDE: Gelb mit blauer Schrift = Summen aus dem Umfragewerkzeug eintragen. Alles andere rechnet. Zellen unter 10 werden nicht ausgewiesen.</t>
        </is>
      </c>
    </row>
    <row r="5" ht="32" customHeight="1">
      <c r="A5" s="3" t="inlineStr">
        <is>
          <t>Altersgruppe</t>
        </is>
      </c>
      <c r="B5" s="3" t="inlineStr">
        <is>
          <t>Befragte (aus Blatt B)</t>
        </is>
      </c>
      <c r="C5" s="3" t="inlineStr">
        <is>
          <t>Grindr</t>
        </is>
      </c>
      <c r="D5" s="3" t="inlineStr">
        <is>
          <t>ROMEO</t>
        </is>
      </c>
      <c r="E5" s="3" t="inlineStr">
        <is>
          <t>SCRUFF</t>
        </is>
      </c>
      <c r="F5" s="3" t="inlineStr">
        <is>
          <t>Hornet</t>
        </is>
      </c>
      <c r="G5" s="3" t="inlineStr">
        <is>
          <t>Sniffies</t>
        </is>
      </c>
      <c r="H5" s="3" t="inlineStr">
        <is>
          <t>andere</t>
        </is>
      </c>
      <c r="I5" s="3" t="inlineStr">
        <is>
          <t>keine</t>
        </is>
      </c>
    </row>
    <row r="6">
      <c r="A6" s="10" t="inlineStr">
        <is>
          <t>18–25</t>
        </is>
      </c>
      <c r="B6" s="11">
        <f>'B Gebiet×Alter'!B10</f>
        <v/>
      </c>
      <c r="C6" s="8" t="n"/>
      <c r="D6" s="8" t="n"/>
      <c r="E6" s="8" t="n"/>
      <c r="F6" s="8" t="n"/>
      <c r="G6" s="8" t="n"/>
      <c r="H6" s="8" t="n"/>
      <c r="I6" s="8" t="n"/>
    </row>
    <row r="7">
      <c r="A7" s="10" t="inlineStr">
        <is>
          <t>26–35</t>
        </is>
      </c>
      <c r="B7" s="11">
        <f>'B Gebiet×Alter'!C10</f>
        <v/>
      </c>
      <c r="C7" s="8" t="n"/>
      <c r="D7" s="8" t="n"/>
      <c r="E7" s="8" t="n"/>
      <c r="F7" s="8" t="n"/>
      <c r="G7" s="8" t="n"/>
      <c r="H7" s="8" t="n"/>
      <c r="I7" s="8" t="n"/>
    </row>
    <row r="8">
      <c r="A8" s="10" t="inlineStr">
        <is>
          <t>36–50</t>
        </is>
      </c>
      <c r="B8" s="11">
        <f>'B Gebiet×Alter'!D10</f>
        <v/>
      </c>
      <c r="C8" s="8" t="n"/>
      <c r="D8" s="8" t="n"/>
      <c r="E8" s="8" t="n"/>
      <c r="F8" s="8" t="n"/>
      <c r="G8" s="8" t="n"/>
      <c r="H8" s="8" t="n"/>
      <c r="I8" s="8" t="n"/>
    </row>
    <row r="9">
      <c r="A9" s="10" t="inlineStr">
        <is>
          <t>über 50</t>
        </is>
      </c>
      <c r="B9" s="11">
        <f>'B Gebiet×Alter'!E10</f>
        <v/>
      </c>
      <c r="C9" s="8" t="n"/>
      <c r="D9" s="8" t="n"/>
      <c r="E9" s="8" t="n"/>
      <c r="F9" s="8" t="n"/>
      <c r="G9" s="8" t="n"/>
      <c r="H9" s="8" t="n"/>
      <c r="I9" s="8" t="n"/>
    </row>
    <row r="10">
      <c r="A10" s="10" t="inlineStr">
        <is>
          <t>keine Angabe</t>
        </is>
      </c>
      <c r="B10" s="11">
        <f>'B Gebiet×Alter'!F10</f>
        <v/>
      </c>
      <c r="C10" s="8" t="n"/>
      <c r="D10" s="8" t="n"/>
      <c r="E10" s="8" t="n"/>
      <c r="F10" s="8" t="n"/>
      <c r="G10" s="8" t="n"/>
      <c r="H10" s="8" t="n"/>
      <c r="I10" s="8" t="n"/>
    </row>
    <row r="11">
      <c r="A11" s="10" t="inlineStr">
        <is>
          <t>alle</t>
        </is>
      </c>
      <c r="B11" s="11">
        <f>SUM(B6:B10)</f>
        <v/>
      </c>
      <c r="C11" s="11">
        <f>SUM(C6:C10)</f>
        <v/>
      </c>
      <c r="D11" s="11">
        <f>SUM(D6:D10)</f>
        <v/>
      </c>
      <c r="E11" s="11">
        <f>SUM(E6:E10)</f>
        <v/>
      </c>
      <c r="F11" s="11">
        <f>SUM(F6:F10)</f>
        <v/>
      </c>
      <c r="G11" s="11">
        <f>SUM(G6:G10)</f>
        <v/>
      </c>
      <c r="H11" s="11">
        <f>SUM(H6:H10)</f>
        <v/>
      </c>
      <c r="I11" s="11">
        <f>SUM(I6:I10)</f>
        <v/>
      </c>
    </row>
    <row r="13">
      <c r="A13" s="6" t="inlineStr">
        <is>
          <t>Anteil der Befragten, die die App nutzen</t>
        </is>
      </c>
    </row>
    <row r="14">
      <c r="A14" s="3" t="inlineStr">
        <is>
          <t>Altersgruppe</t>
        </is>
      </c>
      <c r="B14" s="3" t="inlineStr">
        <is>
          <t>Befragte</t>
        </is>
      </c>
      <c r="C14" s="3" t="inlineStr">
        <is>
          <t>Grindr</t>
        </is>
      </c>
      <c r="D14" s="3" t="inlineStr">
        <is>
          <t>ROMEO</t>
        </is>
      </c>
      <c r="E14" s="3" t="inlineStr">
        <is>
          <t>SCRUFF</t>
        </is>
      </c>
      <c r="F14" s="3" t="inlineStr">
        <is>
          <t>Hornet</t>
        </is>
      </c>
      <c r="G14" s="3" t="inlineStr">
        <is>
          <t>Sniffies</t>
        </is>
      </c>
      <c r="H14" s="3" t="inlineStr">
        <is>
          <t>andere</t>
        </is>
      </c>
      <c r="I14" s="3" t="inlineStr">
        <is>
          <t>keine</t>
        </is>
      </c>
    </row>
    <row r="15">
      <c r="A15" s="10" t="inlineStr">
        <is>
          <t>18–25</t>
        </is>
      </c>
      <c r="B15" s="16">
        <f>B6</f>
        <v/>
      </c>
      <c r="C15" s="9">
        <f>IF(OR($B$6="",N($B$6)=0),"",IF(N(C6)&lt;Fehlerspanne!$B$7,"unter "&amp;Fehlerspanne!$B$7,C6/$B$6))</f>
        <v/>
      </c>
      <c r="D15" s="9">
        <f>IF(OR($B$6="",N($B$6)=0),"",IF(N(D6)&lt;Fehlerspanne!$B$7,"unter "&amp;Fehlerspanne!$B$7,D6/$B$6))</f>
        <v/>
      </c>
      <c r="E15" s="9">
        <f>IF(OR($B$6="",N($B$6)=0),"",IF(N(E6)&lt;Fehlerspanne!$B$7,"unter "&amp;Fehlerspanne!$B$7,E6/$B$6))</f>
        <v/>
      </c>
      <c r="F15" s="9">
        <f>IF(OR($B$6="",N($B$6)=0),"",IF(N(F6)&lt;Fehlerspanne!$B$7,"unter "&amp;Fehlerspanne!$B$7,F6/$B$6))</f>
        <v/>
      </c>
      <c r="G15" s="9">
        <f>IF(OR($B$6="",N($B$6)=0),"",IF(N(G6)&lt;Fehlerspanne!$B$7,"unter "&amp;Fehlerspanne!$B$7,G6/$B$6))</f>
        <v/>
      </c>
      <c r="H15" s="9">
        <f>IF(OR($B$6="",N($B$6)=0),"",IF(N(H6)&lt;Fehlerspanne!$B$7,"unter "&amp;Fehlerspanne!$B$7,H6/$B$6))</f>
        <v/>
      </c>
      <c r="I15" s="9">
        <f>IF(OR($B$6="",N($B$6)=0),"",IF(N(I6)&lt;Fehlerspanne!$B$7,"unter "&amp;Fehlerspanne!$B$7,I6/$B$6))</f>
        <v/>
      </c>
    </row>
    <row r="16">
      <c r="A16" s="10" t="inlineStr">
        <is>
          <t>26–35</t>
        </is>
      </c>
      <c r="B16" s="16">
        <f>B7</f>
        <v/>
      </c>
      <c r="C16" s="9">
        <f>IF(OR($B$7="",N($B$7)=0),"",IF(N(C7)&lt;Fehlerspanne!$B$7,"unter "&amp;Fehlerspanne!$B$7,C7/$B$7))</f>
        <v/>
      </c>
      <c r="D16" s="9">
        <f>IF(OR($B$7="",N($B$7)=0),"",IF(N(D7)&lt;Fehlerspanne!$B$7,"unter "&amp;Fehlerspanne!$B$7,D7/$B$7))</f>
        <v/>
      </c>
      <c r="E16" s="9">
        <f>IF(OR($B$7="",N($B$7)=0),"",IF(N(E7)&lt;Fehlerspanne!$B$7,"unter "&amp;Fehlerspanne!$B$7,E7/$B$7))</f>
        <v/>
      </c>
      <c r="F16" s="9">
        <f>IF(OR($B$7="",N($B$7)=0),"",IF(N(F7)&lt;Fehlerspanne!$B$7,"unter "&amp;Fehlerspanne!$B$7,F7/$B$7))</f>
        <v/>
      </c>
      <c r="G16" s="9">
        <f>IF(OR($B$7="",N($B$7)=0),"",IF(N(G7)&lt;Fehlerspanne!$B$7,"unter "&amp;Fehlerspanne!$B$7,G7/$B$7))</f>
        <v/>
      </c>
      <c r="H16" s="9">
        <f>IF(OR($B$7="",N($B$7)=0),"",IF(N(H7)&lt;Fehlerspanne!$B$7,"unter "&amp;Fehlerspanne!$B$7,H7/$B$7))</f>
        <v/>
      </c>
      <c r="I16" s="9">
        <f>IF(OR($B$7="",N($B$7)=0),"",IF(N(I7)&lt;Fehlerspanne!$B$7,"unter "&amp;Fehlerspanne!$B$7,I7/$B$7))</f>
        <v/>
      </c>
    </row>
    <row r="17">
      <c r="A17" s="10" t="inlineStr">
        <is>
          <t>36–50</t>
        </is>
      </c>
      <c r="B17" s="16">
        <f>B8</f>
        <v/>
      </c>
      <c r="C17" s="9">
        <f>IF(OR($B$8="",N($B$8)=0),"",IF(N(C8)&lt;Fehlerspanne!$B$7,"unter "&amp;Fehlerspanne!$B$7,C8/$B$8))</f>
        <v/>
      </c>
      <c r="D17" s="9">
        <f>IF(OR($B$8="",N($B$8)=0),"",IF(N(D8)&lt;Fehlerspanne!$B$7,"unter "&amp;Fehlerspanne!$B$7,D8/$B$8))</f>
        <v/>
      </c>
      <c r="E17" s="9">
        <f>IF(OR($B$8="",N($B$8)=0),"",IF(N(E8)&lt;Fehlerspanne!$B$7,"unter "&amp;Fehlerspanne!$B$7,E8/$B$8))</f>
        <v/>
      </c>
      <c r="F17" s="9">
        <f>IF(OR($B$8="",N($B$8)=0),"",IF(N(F8)&lt;Fehlerspanne!$B$7,"unter "&amp;Fehlerspanne!$B$7,F8/$B$8))</f>
        <v/>
      </c>
      <c r="G17" s="9">
        <f>IF(OR($B$8="",N($B$8)=0),"",IF(N(G8)&lt;Fehlerspanne!$B$7,"unter "&amp;Fehlerspanne!$B$7,G8/$B$8))</f>
        <v/>
      </c>
      <c r="H17" s="9">
        <f>IF(OR($B$8="",N($B$8)=0),"",IF(N(H8)&lt;Fehlerspanne!$B$7,"unter "&amp;Fehlerspanne!$B$7,H8/$B$8))</f>
        <v/>
      </c>
      <c r="I17" s="9">
        <f>IF(OR($B$8="",N($B$8)=0),"",IF(N(I8)&lt;Fehlerspanne!$B$7,"unter "&amp;Fehlerspanne!$B$7,I8/$B$8))</f>
        <v/>
      </c>
    </row>
    <row r="18">
      <c r="A18" s="10" t="inlineStr">
        <is>
          <t>über 50</t>
        </is>
      </c>
      <c r="B18" s="16">
        <f>B9</f>
        <v/>
      </c>
      <c r="C18" s="9">
        <f>IF(OR($B$9="",N($B$9)=0),"",IF(N(C9)&lt;Fehlerspanne!$B$7,"unter "&amp;Fehlerspanne!$B$7,C9/$B$9))</f>
        <v/>
      </c>
      <c r="D18" s="9">
        <f>IF(OR($B$9="",N($B$9)=0),"",IF(N(D9)&lt;Fehlerspanne!$B$7,"unter "&amp;Fehlerspanne!$B$7,D9/$B$9))</f>
        <v/>
      </c>
      <c r="E18" s="9">
        <f>IF(OR($B$9="",N($B$9)=0),"",IF(N(E9)&lt;Fehlerspanne!$B$7,"unter "&amp;Fehlerspanne!$B$7,E9/$B$9))</f>
        <v/>
      </c>
      <c r="F18" s="9">
        <f>IF(OR($B$9="",N($B$9)=0),"",IF(N(F9)&lt;Fehlerspanne!$B$7,"unter "&amp;Fehlerspanne!$B$7,F9/$B$9))</f>
        <v/>
      </c>
      <c r="G18" s="9">
        <f>IF(OR($B$9="",N($B$9)=0),"",IF(N(G9)&lt;Fehlerspanne!$B$7,"unter "&amp;Fehlerspanne!$B$7,G9/$B$9))</f>
        <v/>
      </c>
      <c r="H18" s="9">
        <f>IF(OR($B$9="",N($B$9)=0),"",IF(N(H9)&lt;Fehlerspanne!$B$7,"unter "&amp;Fehlerspanne!$B$7,H9/$B$9))</f>
        <v/>
      </c>
      <c r="I18" s="9">
        <f>IF(OR($B$9="",N($B$9)=0),"",IF(N(I9)&lt;Fehlerspanne!$B$7,"unter "&amp;Fehlerspanne!$B$7,I9/$B$9))</f>
        <v/>
      </c>
    </row>
    <row r="19">
      <c r="A19" s="10" t="inlineStr">
        <is>
          <t>keine Angabe</t>
        </is>
      </c>
      <c r="B19" s="16">
        <f>B10</f>
        <v/>
      </c>
      <c r="C19" s="9">
        <f>IF(OR($B$10="",N($B$10)=0),"",IF(N(C10)&lt;Fehlerspanne!$B$7,"unter "&amp;Fehlerspanne!$B$7,C10/$B$10))</f>
        <v/>
      </c>
      <c r="D19" s="9">
        <f>IF(OR($B$10="",N($B$10)=0),"",IF(N(D10)&lt;Fehlerspanne!$B$7,"unter "&amp;Fehlerspanne!$B$7,D10/$B$10))</f>
        <v/>
      </c>
      <c r="E19" s="9">
        <f>IF(OR($B$10="",N($B$10)=0),"",IF(N(E10)&lt;Fehlerspanne!$B$7,"unter "&amp;Fehlerspanne!$B$7,E10/$B$10))</f>
        <v/>
      </c>
      <c r="F19" s="9">
        <f>IF(OR($B$10="",N($B$10)=0),"",IF(N(F10)&lt;Fehlerspanne!$B$7,"unter "&amp;Fehlerspanne!$B$7,F10/$B$10))</f>
        <v/>
      </c>
      <c r="G19" s="9">
        <f>IF(OR($B$10="",N($B$10)=0),"",IF(N(G10)&lt;Fehlerspanne!$B$7,"unter "&amp;Fehlerspanne!$B$7,G10/$B$10))</f>
        <v/>
      </c>
      <c r="H19" s="9">
        <f>IF(OR($B$10="",N($B$10)=0),"",IF(N(H10)&lt;Fehlerspanne!$B$7,"unter "&amp;Fehlerspanne!$B$7,H10/$B$10))</f>
        <v/>
      </c>
      <c r="I19" s="9">
        <f>IF(OR($B$10="",N($B$10)=0),"",IF(N(I10)&lt;Fehlerspanne!$B$7,"unter "&amp;Fehlerspanne!$B$7,I10/$B$10))</f>
        <v/>
      </c>
    </row>
    <row r="20">
      <c r="A20" s="10" t="inlineStr">
        <is>
          <t>alle</t>
        </is>
      </c>
      <c r="B20" s="16">
        <f>B11</f>
        <v/>
      </c>
      <c r="C20" s="9">
        <f>IF(OR($B$11="",N($B$11)=0),"",IF(N(C11)&lt;Fehlerspanne!$B$7,"unter "&amp;Fehlerspanne!$B$7,C11/$B$11))</f>
        <v/>
      </c>
      <c r="D20" s="9">
        <f>IF(OR($B$11="",N($B$11)=0),"",IF(N(D11)&lt;Fehlerspanne!$B$7,"unter "&amp;Fehlerspanne!$B$7,D11/$B$11))</f>
        <v/>
      </c>
      <c r="E20" s="9">
        <f>IF(OR($B$11="",N($B$11)=0),"",IF(N(E11)&lt;Fehlerspanne!$B$7,"unter "&amp;Fehlerspanne!$B$7,E11/$B$11))</f>
        <v/>
      </c>
      <c r="F20" s="9">
        <f>IF(OR($B$11="",N($B$11)=0),"",IF(N(F11)&lt;Fehlerspanne!$B$7,"unter "&amp;Fehlerspanne!$B$7,F11/$B$11))</f>
        <v/>
      </c>
      <c r="G20" s="9">
        <f>IF(OR($B$11="",N($B$11)=0),"",IF(N(G11)&lt;Fehlerspanne!$B$7,"unter "&amp;Fehlerspanne!$B$7,G11/$B$11))</f>
        <v/>
      </c>
      <c r="H20" s="9">
        <f>IF(OR($B$11="",N($B$11)=0),"",IF(N(H11)&lt;Fehlerspanne!$B$7,"unter "&amp;Fehlerspanne!$B$7,H11/$B$11))</f>
        <v/>
      </c>
      <c r="I20" s="9">
        <f>IF(OR($B$11="",N($B$11)=0),"",IF(N(I11)&lt;Fehlerspanne!$B$7,"unter "&amp;Fehlerspanne!$B$7,I11/$B$11))</f>
        <v/>
      </c>
    </row>
    <row r="22">
      <c r="A22" s="10" t="inlineStr">
        <is>
          <t>Prüfung</t>
        </is>
      </c>
      <c r="B22" s="13">
        <f>IF(SUMPRODUCT((C6:I10&gt;B6:B10)*1)&gt;0,"Eine App hat mehr Nennungen als die Gruppe Befragte — Eingaben prüfen","keine Auffälligkeit")</f>
        <v/>
      </c>
      <c r="C22" s="14" t="n"/>
      <c r="D22" s="14" t="n"/>
      <c r="E22" s="14" t="n"/>
      <c r="F22" s="14" t="n"/>
      <c r="G22" s="14" t="n"/>
      <c r="H22" s="14" t="n"/>
      <c r="I22" s="15" t="n"/>
    </row>
    <row r="24">
      <c r="A24" s="2" t="inlineStr">
        <is>
          <t>Mehrfachauswahl: Anteile einer Zeile ergeben zusammen mehr als 100 %. „keine“ ist der Anteil ohne App — der Interviewleitfaden sucht diese Gruppe ausdrücklich.</t>
        </is>
      </c>
    </row>
    <row r="25">
      <c r="A25" s="2" t="inlineStr">
        <is>
          <t>Anteile einer Altersgruppe erst lesen, wenn die Spalte „Befragte“ die Mindestzahl erreicht (Blatt „Fehlerspanne“).</t>
        </is>
      </c>
    </row>
  </sheetData>
  <mergeCells count="1">
    <mergeCell ref="B22:I22"/>
  </mergeCells>
  <conditionalFormatting sqref="B22">
    <cfRule type="expression" priority="1" dxfId="0">
      <formula>B22="keine Auffälligkeit"</formula>
    </cfRule>
    <cfRule type="expression" priority="2" dxfId="1">
      <formula>AND(B22&lt;&gt;"",B22&lt;&gt;"keine Auffälligkeit")</formula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1" customWidth="1" min="8" max="8"/>
  </cols>
  <sheetData>
    <row r="1">
      <c r="A1" s="1" t="inlineStr">
        <is>
          <t>E · Freitext-Kategorie × Altersgruppe</t>
        </is>
      </c>
    </row>
    <row r="2">
      <c r="A2" s="2" t="inlineStr">
        <is>
          <t>Aufgabe A-28 · erstellt 16.09.2026 · Grundlage: 20-interviews-feedback/wartelisten-umfrage.md, Handbuch B Teil VIII · Nur Summen eintragen, nie einzelne Antworten.</t>
        </is>
      </c>
    </row>
    <row r="3">
      <c r="A3" s="2" t="inlineStr">
        <is>
          <t>LEGENDE: Gelb mit blauer Schrift = Summen aus dem Umfragewerkzeug eintragen. Alles andere rechnet. Zellen unter 10 werden nicht ausgewiesen.</t>
        </is>
      </c>
    </row>
    <row r="5" ht="32" customHeight="1">
      <c r="A5" s="3" t="inlineStr">
        <is>
          <t>Code</t>
        </is>
      </c>
      <c r="B5" s="3" t="inlineStr">
        <is>
          <t>Kategorie</t>
        </is>
      </c>
      <c r="C5" s="3" t="inlineStr">
        <is>
          <t>18–25</t>
        </is>
      </c>
      <c r="D5" s="3" t="inlineStr">
        <is>
          <t>26–35</t>
        </is>
      </c>
      <c r="E5" s="3" t="inlineStr">
        <is>
          <t>36–50</t>
        </is>
      </c>
      <c r="F5" s="3" t="inlineStr">
        <is>
          <t>über 50</t>
        </is>
      </c>
      <c r="G5" s="3" t="inlineStr">
        <is>
          <t>keine Angabe</t>
        </is>
      </c>
      <c r="H5" s="3" t="inlineStr">
        <is>
          <t>alle</t>
        </is>
      </c>
    </row>
    <row r="6">
      <c r="A6" s="4" t="inlineStr">
        <is>
          <t>—</t>
        </is>
      </c>
      <c r="B6" s="10" t="inlineStr">
        <is>
          <t>Antworten mit Freitext (Nenner)</t>
        </is>
      </c>
      <c r="C6" s="8" t="n"/>
      <c r="D6" s="8" t="n"/>
      <c r="E6" s="8" t="n"/>
      <c r="F6" s="8" t="n"/>
      <c r="G6" s="8" t="n"/>
      <c r="H6" s="11">
        <f>SUM(C6:G6)</f>
        <v/>
      </c>
    </row>
    <row r="7">
      <c r="A7" s="4" t="inlineStr">
        <is>
          <t>DS</t>
        </is>
      </c>
      <c r="B7" s="5" t="inlineStr">
        <is>
          <t>Datenschutz, Standort</t>
        </is>
      </c>
      <c r="C7" s="8" t="n"/>
      <c r="D7" s="8" t="n"/>
      <c r="E7" s="8" t="n"/>
      <c r="F7" s="8" t="n"/>
      <c r="G7" s="8" t="n"/>
      <c r="H7" s="11">
        <f>SUM(C7:G7)</f>
        <v/>
      </c>
    </row>
    <row r="8">
      <c r="A8" s="4" t="inlineStr">
        <is>
          <t>AB</t>
        </is>
      </c>
      <c r="B8" s="5" t="inlineStr">
        <is>
          <t>Ablehnung, Ghosting, Umgangston</t>
        </is>
      </c>
      <c r="C8" s="8" t="n"/>
      <c r="D8" s="8" t="n"/>
      <c r="E8" s="8" t="n"/>
      <c r="F8" s="8" t="n"/>
      <c r="G8" s="8" t="n"/>
      <c r="H8" s="11">
        <f>SUM(C8:G8)</f>
        <v/>
      </c>
    </row>
    <row r="9">
      <c r="A9" s="4" t="inlineStr">
        <is>
          <t>WB</t>
        </is>
      </c>
      <c r="B9" s="5" t="inlineStr">
        <is>
          <t>Werbung</t>
        </is>
      </c>
      <c r="C9" s="8" t="n"/>
      <c r="D9" s="8" t="n"/>
      <c r="E9" s="8" t="n"/>
      <c r="F9" s="8" t="n"/>
      <c r="G9" s="8" t="n"/>
      <c r="H9" s="11">
        <f>SUM(C9:G9)</f>
        <v/>
      </c>
    </row>
    <row r="10">
      <c r="A10" s="4" t="inlineStr">
        <is>
          <t>FK</t>
        </is>
      </c>
      <c r="B10" s="5" t="inlineStr">
        <is>
          <t>Fake-Profile, Betrug, Sicherheit</t>
        </is>
      </c>
      <c r="C10" s="8" t="n"/>
      <c r="D10" s="8" t="n"/>
      <c r="E10" s="8" t="n"/>
      <c r="F10" s="8" t="n"/>
      <c r="G10" s="8" t="n"/>
      <c r="H10" s="11">
        <f>SUM(C10:G10)</f>
        <v/>
      </c>
    </row>
    <row r="11">
      <c r="A11" s="4" t="inlineStr">
        <is>
          <t>BI</t>
        </is>
      </c>
      <c r="B11" s="5" t="inlineStr">
        <is>
          <t>unerwünschte Bilder</t>
        </is>
      </c>
      <c r="C11" s="8" t="n"/>
      <c r="D11" s="8" t="n"/>
      <c r="E11" s="8" t="n"/>
      <c r="F11" s="8" t="n"/>
      <c r="G11" s="8" t="n"/>
      <c r="H11" s="11">
        <f>SUM(C11:G11)</f>
        <v/>
      </c>
    </row>
    <row r="12">
      <c r="A12" s="4" t="inlineStr">
        <is>
          <t>PR</t>
        </is>
      </c>
      <c r="B12" s="5" t="inlineStr">
        <is>
          <t>Preis, Abo, Bezahlschranken</t>
        </is>
      </c>
      <c r="C12" s="8" t="n"/>
      <c r="D12" s="8" t="n"/>
      <c r="E12" s="8" t="n"/>
      <c r="F12" s="8" t="n"/>
      <c r="G12" s="8" t="n"/>
      <c r="H12" s="11">
        <f>SUM(C12:G12)</f>
        <v/>
      </c>
    </row>
    <row r="13">
      <c r="A13" s="4" t="inlineStr">
        <is>
          <t>OR</t>
        </is>
      </c>
      <c r="B13" s="5" t="inlineStr">
        <is>
          <t>Orte, Ausgehen</t>
        </is>
      </c>
      <c r="C13" s="8" t="n"/>
      <c r="D13" s="8" t="n"/>
      <c r="E13" s="8" t="n"/>
      <c r="F13" s="8" t="n"/>
      <c r="G13" s="8" t="n"/>
      <c r="H13" s="11">
        <f>SUM(C13:G13)</f>
        <v/>
      </c>
    </row>
    <row r="14">
      <c r="A14" s="4" t="inlineStr">
        <is>
          <t>TE</t>
        </is>
      </c>
      <c r="B14" s="5" t="inlineStr">
        <is>
          <t>Technik</t>
        </is>
      </c>
      <c r="C14" s="8" t="n"/>
      <c r="D14" s="8" t="n"/>
      <c r="E14" s="8" t="n"/>
      <c r="F14" s="8" t="n"/>
      <c r="G14" s="8" t="n"/>
      <c r="H14" s="11">
        <f>SUM(C14:G14)</f>
        <v/>
      </c>
    </row>
    <row r="15">
      <c r="A15" s="4" t="inlineStr">
        <is>
          <t>SO</t>
        </is>
      </c>
      <c r="B15" s="5" t="inlineStr">
        <is>
          <t>Sonstiges</t>
        </is>
      </c>
      <c r="C15" s="8" t="n"/>
      <c r="D15" s="8" t="n"/>
      <c r="E15" s="8" t="n"/>
      <c r="F15" s="8" t="n"/>
      <c r="G15" s="8" t="n"/>
      <c r="H15" s="11">
        <f>SUM(C15:G15)</f>
        <v/>
      </c>
    </row>
    <row r="17">
      <c r="A17" s="6" t="inlineStr">
        <is>
          <t>Anteil der Freitexte mit diesem Code</t>
        </is>
      </c>
    </row>
    <row r="18">
      <c r="A18" s="3" t="inlineStr">
        <is>
          <t>Code</t>
        </is>
      </c>
      <c r="B18" s="3" t="inlineStr">
        <is>
          <t>Kategorie</t>
        </is>
      </c>
      <c r="C18" s="3" t="inlineStr">
        <is>
          <t>18–25</t>
        </is>
      </c>
      <c r="D18" s="3" t="inlineStr">
        <is>
          <t>26–35</t>
        </is>
      </c>
      <c r="E18" s="3" t="inlineStr">
        <is>
          <t>36–50</t>
        </is>
      </c>
      <c r="F18" s="3" t="inlineStr">
        <is>
          <t>über 50</t>
        </is>
      </c>
      <c r="G18" s="3" t="inlineStr">
        <is>
          <t>keine Angabe</t>
        </is>
      </c>
      <c r="H18" s="3" t="inlineStr">
        <is>
          <t>alle</t>
        </is>
      </c>
    </row>
    <row r="19">
      <c r="A19" s="4" t="inlineStr">
        <is>
          <t>DS</t>
        </is>
      </c>
      <c r="B19" s="5" t="inlineStr">
        <is>
          <t>Datenschutz, Standort</t>
        </is>
      </c>
      <c r="C19" s="9">
        <f>IF(OR(C$6="",N(C$6)=0),"",IF(N(C7)&lt;Fehlerspanne!$B$7,"unter "&amp;Fehlerspanne!$B$7,C7/C$6))</f>
        <v/>
      </c>
      <c r="D19" s="9">
        <f>IF(OR(D$6="",N(D$6)=0),"",IF(N(D7)&lt;Fehlerspanne!$B$7,"unter "&amp;Fehlerspanne!$B$7,D7/D$6))</f>
        <v/>
      </c>
      <c r="E19" s="9">
        <f>IF(OR(E$6="",N(E$6)=0),"",IF(N(E7)&lt;Fehlerspanne!$B$7,"unter "&amp;Fehlerspanne!$B$7,E7/E$6))</f>
        <v/>
      </c>
      <c r="F19" s="9">
        <f>IF(OR(F$6="",N(F$6)=0),"",IF(N(F7)&lt;Fehlerspanne!$B$7,"unter "&amp;Fehlerspanne!$B$7,F7/F$6))</f>
        <v/>
      </c>
      <c r="G19" s="9">
        <f>IF(OR(G$6="",N(G$6)=0),"",IF(N(G7)&lt;Fehlerspanne!$B$7,"unter "&amp;Fehlerspanne!$B$7,G7/G$6))</f>
        <v/>
      </c>
      <c r="H19" s="9">
        <f>IF(OR(H$6="",N(H$6)=0),"",IF(N(H7)&lt;Fehlerspanne!$B$7,"unter "&amp;Fehlerspanne!$B$7,H7/H$6))</f>
        <v/>
      </c>
    </row>
    <row r="20">
      <c r="A20" s="4" t="inlineStr">
        <is>
          <t>AB</t>
        </is>
      </c>
      <c r="B20" s="5" t="inlineStr">
        <is>
          <t>Ablehnung, Ghosting, Umgangston</t>
        </is>
      </c>
      <c r="C20" s="9">
        <f>IF(OR(C$6="",N(C$6)=0),"",IF(N(C8)&lt;Fehlerspanne!$B$7,"unter "&amp;Fehlerspanne!$B$7,C8/C$6))</f>
        <v/>
      </c>
      <c r="D20" s="9">
        <f>IF(OR(D$6="",N(D$6)=0),"",IF(N(D8)&lt;Fehlerspanne!$B$7,"unter "&amp;Fehlerspanne!$B$7,D8/D$6))</f>
        <v/>
      </c>
      <c r="E20" s="9">
        <f>IF(OR(E$6="",N(E$6)=0),"",IF(N(E8)&lt;Fehlerspanne!$B$7,"unter "&amp;Fehlerspanne!$B$7,E8/E$6))</f>
        <v/>
      </c>
      <c r="F20" s="9">
        <f>IF(OR(F$6="",N(F$6)=0),"",IF(N(F8)&lt;Fehlerspanne!$B$7,"unter "&amp;Fehlerspanne!$B$7,F8/F$6))</f>
        <v/>
      </c>
      <c r="G20" s="9">
        <f>IF(OR(G$6="",N(G$6)=0),"",IF(N(G8)&lt;Fehlerspanne!$B$7,"unter "&amp;Fehlerspanne!$B$7,G8/G$6))</f>
        <v/>
      </c>
      <c r="H20" s="9">
        <f>IF(OR(H$6="",N(H$6)=0),"",IF(N(H8)&lt;Fehlerspanne!$B$7,"unter "&amp;Fehlerspanne!$B$7,H8/H$6))</f>
        <v/>
      </c>
    </row>
    <row r="21">
      <c r="A21" s="4" t="inlineStr">
        <is>
          <t>WB</t>
        </is>
      </c>
      <c r="B21" s="5" t="inlineStr">
        <is>
          <t>Werbung</t>
        </is>
      </c>
      <c r="C21" s="9">
        <f>IF(OR(C$6="",N(C$6)=0),"",IF(N(C9)&lt;Fehlerspanne!$B$7,"unter "&amp;Fehlerspanne!$B$7,C9/C$6))</f>
        <v/>
      </c>
      <c r="D21" s="9">
        <f>IF(OR(D$6="",N(D$6)=0),"",IF(N(D9)&lt;Fehlerspanne!$B$7,"unter "&amp;Fehlerspanne!$B$7,D9/D$6))</f>
        <v/>
      </c>
      <c r="E21" s="9">
        <f>IF(OR(E$6="",N(E$6)=0),"",IF(N(E9)&lt;Fehlerspanne!$B$7,"unter "&amp;Fehlerspanne!$B$7,E9/E$6))</f>
        <v/>
      </c>
      <c r="F21" s="9">
        <f>IF(OR(F$6="",N(F$6)=0),"",IF(N(F9)&lt;Fehlerspanne!$B$7,"unter "&amp;Fehlerspanne!$B$7,F9/F$6))</f>
        <v/>
      </c>
      <c r="G21" s="9">
        <f>IF(OR(G$6="",N(G$6)=0),"",IF(N(G9)&lt;Fehlerspanne!$B$7,"unter "&amp;Fehlerspanne!$B$7,G9/G$6))</f>
        <v/>
      </c>
      <c r="H21" s="9">
        <f>IF(OR(H$6="",N(H$6)=0),"",IF(N(H9)&lt;Fehlerspanne!$B$7,"unter "&amp;Fehlerspanne!$B$7,H9/H$6))</f>
        <v/>
      </c>
    </row>
    <row r="22">
      <c r="A22" s="4" t="inlineStr">
        <is>
          <t>FK</t>
        </is>
      </c>
      <c r="B22" s="5" t="inlineStr">
        <is>
          <t>Fake-Profile, Betrug, Sicherheit</t>
        </is>
      </c>
      <c r="C22" s="9">
        <f>IF(OR(C$6="",N(C$6)=0),"",IF(N(C10)&lt;Fehlerspanne!$B$7,"unter "&amp;Fehlerspanne!$B$7,C10/C$6))</f>
        <v/>
      </c>
      <c r="D22" s="9">
        <f>IF(OR(D$6="",N(D$6)=0),"",IF(N(D10)&lt;Fehlerspanne!$B$7,"unter "&amp;Fehlerspanne!$B$7,D10/D$6))</f>
        <v/>
      </c>
      <c r="E22" s="9">
        <f>IF(OR(E$6="",N(E$6)=0),"",IF(N(E10)&lt;Fehlerspanne!$B$7,"unter "&amp;Fehlerspanne!$B$7,E10/E$6))</f>
        <v/>
      </c>
      <c r="F22" s="9">
        <f>IF(OR(F$6="",N(F$6)=0),"",IF(N(F10)&lt;Fehlerspanne!$B$7,"unter "&amp;Fehlerspanne!$B$7,F10/F$6))</f>
        <v/>
      </c>
      <c r="G22" s="9">
        <f>IF(OR(G$6="",N(G$6)=0),"",IF(N(G10)&lt;Fehlerspanne!$B$7,"unter "&amp;Fehlerspanne!$B$7,G10/G$6))</f>
        <v/>
      </c>
      <c r="H22" s="9">
        <f>IF(OR(H$6="",N(H$6)=0),"",IF(N(H10)&lt;Fehlerspanne!$B$7,"unter "&amp;Fehlerspanne!$B$7,H10/H$6))</f>
        <v/>
      </c>
    </row>
    <row r="23">
      <c r="A23" s="4" t="inlineStr">
        <is>
          <t>BI</t>
        </is>
      </c>
      <c r="B23" s="5" t="inlineStr">
        <is>
          <t>unerwünschte Bilder</t>
        </is>
      </c>
      <c r="C23" s="9">
        <f>IF(OR(C$6="",N(C$6)=0),"",IF(N(C11)&lt;Fehlerspanne!$B$7,"unter "&amp;Fehlerspanne!$B$7,C11/C$6))</f>
        <v/>
      </c>
      <c r="D23" s="9">
        <f>IF(OR(D$6="",N(D$6)=0),"",IF(N(D11)&lt;Fehlerspanne!$B$7,"unter "&amp;Fehlerspanne!$B$7,D11/D$6))</f>
        <v/>
      </c>
      <c r="E23" s="9">
        <f>IF(OR(E$6="",N(E$6)=0),"",IF(N(E11)&lt;Fehlerspanne!$B$7,"unter "&amp;Fehlerspanne!$B$7,E11/E$6))</f>
        <v/>
      </c>
      <c r="F23" s="9">
        <f>IF(OR(F$6="",N(F$6)=0),"",IF(N(F11)&lt;Fehlerspanne!$B$7,"unter "&amp;Fehlerspanne!$B$7,F11/F$6))</f>
        <v/>
      </c>
      <c r="G23" s="9">
        <f>IF(OR(G$6="",N(G$6)=0),"",IF(N(G11)&lt;Fehlerspanne!$B$7,"unter "&amp;Fehlerspanne!$B$7,G11/G$6))</f>
        <v/>
      </c>
      <c r="H23" s="9">
        <f>IF(OR(H$6="",N(H$6)=0),"",IF(N(H11)&lt;Fehlerspanne!$B$7,"unter "&amp;Fehlerspanne!$B$7,H11/H$6))</f>
        <v/>
      </c>
    </row>
    <row r="24">
      <c r="A24" s="4" t="inlineStr">
        <is>
          <t>PR</t>
        </is>
      </c>
      <c r="B24" s="5" t="inlineStr">
        <is>
          <t>Preis, Abo, Bezahlschranken</t>
        </is>
      </c>
      <c r="C24" s="9">
        <f>IF(OR(C$6="",N(C$6)=0),"",IF(N(C12)&lt;Fehlerspanne!$B$7,"unter "&amp;Fehlerspanne!$B$7,C12/C$6))</f>
        <v/>
      </c>
      <c r="D24" s="9">
        <f>IF(OR(D$6="",N(D$6)=0),"",IF(N(D12)&lt;Fehlerspanne!$B$7,"unter "&amp;Fehlerspanne!$B$7,D12/D$6))</f>
        <v/>
      </c>
      <c r="E24" s="9">
        <f>IF(OR(E$6="",N(E$6)=0),"",IF(N(E12)&lt;Fehlerspanne!$B$7,"unter "&amp;Fehlerspanne!$B$7,E12/E$6))</f>
        <v/>
      </c>
      <c r="F24" s="9">
        <f>IF(OR(F$6="",N(F$6)=0),"",IF(N(F12)&lt;Fehlerspanne!$B$7,"unter "&amp;Fehlerspanne!$B$7,F12/F$6))</f>
        <v/>
      </c>
      <c r="G24" s="9">
        <f>IF(OR(G$6="",N(G$6)=0),"",IF(N(G12)&lt;Fehlerspanne!$B$7,"unter "&amp;Fehlerspanne!$B$7,G12/G$6))</f>
        <v/>
      </c>
      <c r="H24" s="9">
        <f>IF(OR(H$6="",N(H$6)=0),"",IF(N(H12)&lt;Fehlerspanne!$B$7,"unter "&amp;Fehlerspanne!$B$7,H12/H$6))</f>
        <v/>
      </c>
    </row>
    <row r="25">
      <c r="A25" s="4" t="inlineStr">
        <is>
          <t>OR</t>
        </is>
      </c>
      <c r="B25" s="5" t="inlineStr">
        <is>
          <t>Orte, Ausgehen</t>
        </is>
      </c>
      <c r="C25" s="9">
        <f>IF(OR(C$6="",N(C$6)=0),"",IF(N(C13)&lt;Fehlerspanne!$B$7,"unter "&amp;Fehlerspanne!$B$7,C13/C$6))</f>
        <v/>
      </c>
      <c r="D25" s="9">
        <f>IF(OR(D$6="",N(D$6)=0),"",IF(N(D13)&lt;Fehlerspanne!$B$7,"unter "&amp;Fehlerspanne!$B$7,D13/D$6))</f>
        <v/>
      </c>
      <c r="E25" s="9">
        <f>IF(OR(E$6="",N(E$6)=0),"",IF(N(E13)&lt;Fehlerspanne!$B$7,"unter "&amp;Fehlerspanne!$B$7,E13/E$6))</f>
        <v/>
      </c>
      <c r="F25" s="9">
        <f>IF(OR(F$6="",N(F$6)=0),"",IF(N(F13)&lt;Fehlerspanne!$B$7,"unter "&amp;Fehlerspanne!$B$7,F13/F$6))</f>
        <v/>
      </c>
      <c r="G25" s="9">
        <f>IF(OR(G$6="",N(G$6)=0),"",IF(N(G13)&lt;Fehlerspanne!$B$7,"unter "&amp;Fehlerspanne!$B$7,G13/G$6))</f>
        <v/>
      </c>
      <c r="H25" s="9">
        <f>IF(OR(H$6="",N(H$6)=0),"",IF(N(H13)&lt;Fehlerspanne!$B$7,"unter "&amp;Fehlerspanne!$B$7,H13/H$6))</f>
        <v/>
      </c>
    </row>
    <row r="26">
      <c r="A26" s="4" t="inlineStr">
        <is>
          <t>TE</t>
        </is>
      </c>
      <c r="B26" s="5" t="inlineStr">
        <is>
          <t>Technik</t>
        </is>
      </c>
      <c r="C26" s="9">
        <f>IF(OR(C$6="",N(C$6)=0),"",IF(N(C14)&lt;Fehlerspanne!$B$7,"unter "&amp;Fehlerspanne!$B$7,C14/C$6))</f>
        <v/>
      </c>
      <c r="D26" s="9">
        <f>IF(OR(D$6="",N(D$6)=0),"",IF(N(D14)&lt;Fehlerspanne!$B$7,"unter "&amp;Fehlerspanne!$B$7,D14/D$6))</f>
        <v/>
      </c>
      <c r="E26" s="9">
        <f>IF(OR(E$6="",N(E$6)=0),"",IF(N(E14)&lt;Fehlerspanne!$B$7,"unter "&amp;Fehlerspanne!$B$7,E14/E$6))</f>
        <v/>
      </c>
      <c r="F26" s="9">
        <f>IF(OR(F$6="",N(F$6)=0),"",IF(N(F14)&lt;Fehlerspanne!$B$7,"unter "&amp;Fehlerspanne!$B$7,F14/F$6))</f>
        <v/>
      </c>
      <c r="G26" s="9">
        <f>IF(OR(G$6="",N(G$6)=0),"",IF(N(G14)&lt;Fehlerspanne!$B$7,"unter "&amp;Fehlerspanne!$B$7,G14/G$6))</f>
        <v/>
      </c>
      <c r="H26" s="9">
        <f>IF(OR(H$6="",N(H$6)=0),"",IF(N(H14)&lt;Fehlerspanne!$B$7,"unter "&amp;Fehlerspanne!$B$7,H14/H$6))</f>
        <v/>
      </c>
    </row>
    <row r="27">
      <c r="A27" s="4" t="inlineStr">
        <is>
          <t>SO</t>
        </is>
      </c>
      <c r="B27" s="5" t="inlineStr">
        <is>
          <t>Sonstiges</t>
        </is>
      </c>
      <c r="C27" s="9">
        <f>IF(OR(C$6="",N(C$6)=0),"",IF(N(C15)&lt;Fehlerspanne!$B$7,"unter "&amp;Fehlerspanne!$B$7,C15/C$6))</f>
        <v/>
      </c>
      <c r="D27" s="9">
        <f>IF(OR(D$6="",N(D$6)=0),"",IF(N(D15)&lt;Fehlerspanne!$B$7,"unter "&amp;Fehlerspanne!$B$7,D15/D$6))</f>
        <v/>
      </c>
      <c r="E27" s="9">
        <f>IF(OR(E$6="",N(E$6)=0),"",IF(N(E15)&lt;Fehlerspanne!$B$7,"unter "&amp;Fehlerspanne!$B$7,E15/E$6))</f>
        <v/>
      </c>
      <c r="F27" s="9">
        <f>IF(OR(F$6="",N(F$6)=0),"",IF(N(F15)&lt;Fehlerspanne!$B$7,"unter "&amp;Fehlerspanne!$B$7,F15/F$6))</f>
        <v/>
      </c>
      <c r="G27" s="9">
        <f>IF(OR(G$6="",N(G$6)=0),"",IF(N(G15)&lt;Fehlerspanne!$B$7,"unter "&amp;Fehlerspanne!$B$7,G15/G$6))</f>
        <v/>
      </c>
      <c r="H27" s="9">
        <f>IF(OR(H$6="",N(H$6)=0),"",IF(N(H15)&lt;Fehlerspanne!$B$7,"unter "&amp;Fehlerspanne!$B$7,H15/H$6))</f>
        <v/>
      </c>
    </row>
    <row r="29">
      <c r="A29" s="10" t="inlineStr">
        <is>
          <t>Prüfung</t>
        </is>
      </c>
      <c r="B29" s="13">
        <f>IF(SUM(C6:G6)&gt;'B Gebiet×Alter'!$G$10,"Mehr Freitexte als Befragte — Eingaben prüfen","keine Auffälligkeit")</f>
        <v/>
      </c>
      <c r="C29" s="14" t="n"/>
      <c r="D29" s="14" t="n"/>
      <c r="E29" s="14" t="n"/>
      <c r="F29" s="14" t="n"/>
      <c r="G29" s="14" t="n"/>
      <c r="H29" s="15" t="n"/>
    </row>
    <row r="31">
      <c r="A31" s="2" t="inlineStr">
        <is>
          <t>Eine Antwort kann mehrere Codes haben; die Anteile einer Spalte ergeben zusammen mehr als 100 %.</t>
        </is>
      </c>
    </row>
    <row r="32">
      <c r="A32" s="2" t="inlineStr">
        <is>
          <t>Code DS ist kein Beleg der Kernthese: Die Wartelistenseite spricht von Datenschutz, die Befragten sind eingestimmt (Umfrage, Befund 2).</t>
        </is>
      </c>
    </row>
    <row r="33">
      <c r="A33" s="2" t="inlineStr">
        <is>
          <t>Anteile einer Altersgruppe erst lesen, wenn die Zeile „Antworten mit Freitext“ dort die Mindestzahl erreicht (Blatt „Fehlerspanne“).</t>
        </is>
      </c>
    </row>
  </sheetData>
  <mergeCells count="1">
    <mergeCell ref="B29:H29"/>
  </mergeCells>
  <conditionalFormatting sqref="B29">
    <cfRule type="expression" priority="1" dxfId="0">
      <formula>B29="keine Auffälligkeit"</formula>
    </cfRule>
    <cfRule type="expression" priority="2" dxfId="1">
      <formula>AND(B29&lt;&gt;"",B29&lt;&gt;"keine Auffälligkeit")</formula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16" customWidth="1" min="4" max="4"/>
    <col width="12" customWidth="1" min="5" max="5"/>
    <col width="16" customWidth="1" min="6" max="6"/>
    <col width="30" customWidth="1" min="7" max="7"/>
  </cols>
  <sheetData>
    <row r="1">
      <c r="A1" s="1" t="inlineStr">
        <is>
          <t>F · Gebiete: Umfrage gegen ganze Warteliste</t>
        </is>
      </c>
    </row>
    <row r="2">
      <c r="A2" s="2" t="inlineStr">
        <is>
          <t>Aufgabe A-28 · erstellt 16.09.2026 · Grundlage: 20-interviews-feedback/wartelisten-umfrage.md, Handbuch B Teil VIII · Nur Summen eintragen, nie einzelne Antworten.</t>
        </is>
      </c>
    </row>
    <row r="3">
      <c r="A3" s="2" t="inlineStr">
        <is>
          <t>LEGENDE: Gelb mit blauer Schrift = Summen aus dem Umfragewerkzeug eintragen. Alles andere rechnet. Zellen unter 10 werden nicht ausgewiesen.</t>
        </is>
      </c>
    </row>
    <row r="5" ht="32" customHeight="1">
      <c r="A5" s="3" t="inlineStr">
        <is>
          <t>Größe aus tor-1-vorlage.xlsx, Blatt „PLZ-Summen“</t>
        </is>
      </c>
      <c r="B5" s="3" t="inlineStr">
        <is>
          <t>Wert</t>
        </is>
      </c>
      <c r="C5" s="3" t="inlineStr">
        <is>
          <t>Zelle dort</t>
        </is>
      </c>
    </row>
    <row r="6">
      <c r="A6" s="5" t="inlineStr">
        <is>
          <t>alle bestätigten Eintragungen</t>
        </is>
      </c>
      <c r="B6" s="8" t="n"/>
      <c r="C6" s="17" t="inlineStr">
        <is>
          <t>H6</t>
        </is>
      </c>
    </row>
    <row r="7">
      <c r="A7" s="5" t="inlineStr">
        <is>
          <t>davon Startstadt</t>
        </is>
      </c>
      <c r="B7" s="8" t="n"/>
      <c r="C7" s="17" t="inlineStr">
        <is>
          <t>H7</t>
        </is>
      </c>
    </row>
    <row r="8">
      <c r="A8" s="5" t="inlineStr">
        <is>
          <t>davon 3-km-Umkreis Schaafenstraße</t>
        </is>
      </c>
      <c r="B8" s="8" t="n"/>
      <c r="C8" s="17" t="inlineStr">
        <is>
          <t>H8</t>
        </is>
      </c>
    </row>
    <row r="10">
      <c r="A10" s="6" t="inlineStr">
        <is>
          <t>Vergleich</t>
        </is>
      </c>
    </row>
    <row r="11" ht="45" customHeight="1">
      <c r="A11" s="3" t="inlineStr">
        <is>
          <t>Gebiet</t>
        </is>
      </c>
      <c r="B11" s="3" t="inlineStr">
        <is>
          <t>Umfrage: Antworten</t>
        </is>
      </c>
      <c r="C11" s="3" t="inlineStr">
        <is>
          <t>Umfrage: Anteil</t>
        </is>
      </c>
      <c r="D11" s="3" t="inlineStr">
        <is>
          <t>Warteliste: Eintragungen</t>
        </is>
      </c>
      <c r="E11" s="3" t="inlineStr">
        <is>
          <t>Warteliste: Anteil</t>
        </is>
      </c>
      <c r="F11" s="3" t="inlineStr">
        <is>
          <t>Unterschied (Prozentpunkte)</t>
        </is>
      </c>
      <c r="G11" s="3" t="inlineStr">
        <is>
          <t>größer als die Spanne?</t>
        </is>
      </c>
    </row>
    <row r="12">
      <c r="A12" s="10" t="inlineStr">
        <is>
          <t>3-km-Umkreis Schaafenstraße</t>
        </is>
      </c>
      <c r="B12" s="16">
        <f>'B Gebiet×Alter'!G6</f>
        <v/>
      </c>
      <c r="C12" s="9">
        <f>IF(N(SUM($B$12:$B$14))=0,"",B12/SUM($B$12:$B$14))</f>
        <v/>
      </c>
      <c r="D12" s="16">
        <f>IF(B8="","",B8)</f>
        <v/>
      </c>
      <c r="E12" s="9">
        <f>IF(OR(D12="",N($B$6)=0),"",D12/$B$6)</f>
        <v/>
      </c>
      <c r="F12" s="18">
        <f>IF(OR(C12="",E12=""),"",(C12-E12)*100)</f>
        <v/>
      </c>
      <c r="G12" s="13">
        <f>IF(F12="","",IF(ABS(F12)/100&gt;Fehlerspanne!$B$6*SQRT(Fehlerspanne!$B$5*(1-Fehlerspanne!$B$5)/SUM($B$12:$B$14)),"ja — Umfrage spricht für einen Ausschnitt","nein"))</f>
        <v/>
      </c>
    </row>
    <row r="13">
      <c r="A13" s="10" t="inlineStr">
        <is>
          <t>übrige Startstadt</t>
        </is>
      </c>
      <c r="B13" s="16">
        <f>'B Gebiet×Alter'!G7</f>
        <v/>
      </c>
      <c r="C13" s="9">
        <f>IF(N(SUM($B$12:$B$14))=0,"",B13/SUM($B$12:$B$14))</f>
        <v/>
      </c>
      <c r="D13" s="16">
        <f>IF(OR(B7="",B8=""),"",B7-B8)</f>
        <v/>
      </c>
      <c r="E13" s="9">
        <f>IF(OR(D13="",N($B$6)=0),"",D13/$B$6)</f>
        <v/>
      </c>
      <c r="F13" s="18">
        <f>IF(OR(C13="",E13=""),"",(C13-E13)*100)</f>
        <v/>
      </c>
      <c r="G13" s="13">
        <f>IF(F13="","",IF(ABS(F13)/100&gt;Fehlerspanne!$B$6*SQRT(Fehlerspanne!$B$5*(1-Fehlerspanne!$B$5)/SUM($B$12:$B$14)),"ja — Umfrage spricht für einen Ausschnitt","nein"))</f>
        <v/>
      </c>
    </row>
    <row r="14">
      <c r="A14" s="10" t="inlineStr">
        <is>
          <t>außerhalb der Startstadt</t>
        </is>
      </c>
      <c r="B14" s="16">
        <f>'B Gebiet×Alter'!G8</f>
        <v/>
      </c>
      <c r="C14" s="9">
        <f>IF(N(SUM($B$12:$B$14))=0,"",B14/SUM($B$12:$B$14))</f>
        <v/>
      </c>
      <c r="D14" s="16">
        <f>IF(OR(B6="",B7=""),"",B6-B7)</f>
        <v/>
      </c>
      <c r="E14" s="9">
        <f>IF(OR(D14="",N($B$6)=0),"",D14/$B$6)</f>
        <v/>
      </c>
      <c r="F14" s="18">
        <f>IF(OR(C14="",E14=""),"",(C14-E14)*100)</f>
        <v/>
      </c>
      <c r="G14" s="13">
        <f>IF(F14="","",IF(ABS(F14)/100&gt;Fehlerspanne!$B$6*SQRT(Fehlerspanne!$B$5*(1-Fehlerspanne!$B$5)/SUM($B$12:$B$14)),"ja — Umfrage spricht für einen Ausschnitt","nein"))</f>
        <v/>
      </c>
    </row>
    <row r="16">
      <c r="A16" s="10" t="inlineStr">
        <is>
          <t>Prüfung</t>
        </is>
      </c>
      <c r="B16" s="13">
        <f>IF(OR(B6="",B7="",B8=""),"Warteliste-Summen eintragen",IF(OR(B8&gt;B7,B7&gt;B6),"Summen widersprüchlich: 3-km ≤ Startstadt ≤ alle","keine Auffälligkeit"))</f>
        <v/>
      </c>
      <c r="C16" s="14" t="n"/>
      <c r="D16" s="14" t="n"/>
      <c r="E16" s="14" t="n"/>
      <c r="F16" s="14" t="n"/>
      <c r="G16" s="15" t="n"/>
    </row>
    <row r="18">
      <c r="A18" s="2" t="inlineStr">
        <is>
          <t>Antworten ohne Postleitzahl zählen im Vergleich nicht mit. Die Warteliste ist eine Vollzählung, die Umfrage ein Ausschnitt.</t>
        </is>
      </c>
    </row>
    <row r="19">
      <c r="A19" s="2" t="inlineStr">
        <is>
          <t>Größer als die Spanne heißt: Der Unterschied ist vermutlich kein Zufall. Dann die Umfrage nur für die Gruppen lesen, die sie wirklich abbildet.</t>
        </is>
      </c>
    </row>
  </sheetData>
  <mergeCells count="1">
    <mergeCell ref="B16:G16"/>
  </mergeCells>
  <conditionalFormatting sqref="B16">
    <cfRule type="expression" priority="1" dxfId="0">
      <formula>B16="keine Auffälligkeit"</formula>
    </cfRule>
    <cfRule type="expression" priority="2" dxfId="1">
      <formula>AND(B16&lt;&gt;"",B16&lt;&gt;"keine Auffälligkeit")</formula>
    </cfRule>
  </conditionalFormatting>
  <conditionalFormatting sqref="G12:G14">
    <cfRule type="expression" priority="3" dxfId="1">
      <formula>LEFT(G12,2)="ja"</formula>
    </cfRule>
  </conditionalFormatting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90" customWidth="1" min="3" max="3"/>
  </cols>
  <sheetData>
    <row r="1">
      <c r="A1" s="1" t="inlineStr">
        <is>
          <t>Fehlerspanne und Regeln</t>
        </is>
      </c>
    </row>
    <row r="2">
      <c r="A2" s="2" t="inlineStr">
        <is>
          <t>Aufgabe A-28 · erstellt 16.09.2026 · Grundlage: 20-interviews-feedback/wartelisten-umfrage.md, Handbuch B Teil VIII · Nur Summen eintragen, nie einzelne Antworten.</t>
        </is>
      </c>
    </row>
    <row r="3">
      <c r="A3" s="2" t="inlineStr">
        <is>
          <t>LEGENDE: Gelb mit blauer Schrift = Summen aus dem Umfragewerkzeug eintragen. Alles andere rechnet. Zellen unter 10 werden nicht ausgewiesen.</t>
        </is>
      </c>
    </row>
    <row r="4">
      <c r="A4" s="3" t="inlineStr">
        <is>
          <t>Größe</t>
        </is>
      </c>
      <c r="B4" s="3" t="inlineStr">
        <is>
          <t>Wert</t>
        </is>
      </c>
      <c r="C4" s="3" t="inlineStr">
        <is>
          <t>Herkunft</t>
        </is>
      </c>
    </row>
    <row r="5">
      <c r="A5" s="5" t="inlineStr">
        <is>
          <t>Anteil im ungünstigsten Fall</t>
        </is>
      </c>
      <c r="B5" s="19" t="n">
        <v>0.5</v>
      </c>
      <c r="C5" s="5" t="inlineStr">
        <is>
          <t>Bei 50 % ist die Spanne am größten — so gerechnet, gilt sie für jeden Anteil.</t>
        </is>
      </c>
    </row>
    <row r="6">
      <c r="A6" s="5" t="inlineStr">
        <is>
          <t>z-Wert für 95 %</t>
        </is>
      </c>
      <c r="B6" s="20" t="n">
        <v>1.96</v>
      </c>
      <c r="C6" s="5" t="inlineStr">
        <is>
          <t>Standardwert</t>
        </is>
      </c>
    </row>
    <row r="7">
      <c r="A7" s="5" t="inlineStr">
        <is>
          <t>Kleinste Zelle, die ausgewiesen wird</t>
        </is>
      </c>
      <c r="B7" s="8" t="n">
        <v>10</v>
      </c>
      <c r="C7" s="5" t="inlineStr">
        <is>
          <t>Regel 3 der Umfrage: kleinere Zellen erscheinen als „unter 10“ (Datenschutz und Zufall).</t>
        </is>
      </c>
    </row>
    <row r="8">
      <c r="A8" s="5" t="inlineStr">
        <is>
          <t>Mindestzahl je Gruppe für Anteile</t>
        </is>
      </c>
      <c r="B8" s="8" t="n">
        <v>100</v>
      </c>
      <c r="C8" s="5" t="inlineStr">
        <is>
          <t>Regel 1: darunter nur Rangfolgen und Beispiele (rund ±10 Prozentpunkte).</t>
        </is>
      </c>
    </row>
    <row r="10">
      <c r="A10" s="6" t="inlineStr">
        <is>
          <t>Spanne nach Fallzahl</t>
        </is>
      </c>
    </row>
    <row r="11">
      <c r="A11" s="3" t="inlineStr">
        <is>
          <t>Fallzahl n</t>
        </is>
      </c>
      <c r="B11" s="3" t="inlineStr">
        <is>
          <t>Spanne ±</t>
        </is>
      </c>
      <c r="C11" s="3" t="inlineStr">
        <is>
          <t>mit Endlichkeitskorrektur bei Listengröße unten</t>
        </is>
      </c>
    </row>
    <row r="12">
      <c r="A12" s="8" t="n">
        <v>30</v>
      </c>
      <c r="B12" s="9">
        <f>IF(N(A12)=0,"",Fehlerspanne!$B$6*SQRT(Fehlerspanne!$B$5*(1-Fehlerspanne!$B$5)/A12))</f>
        <v/>
      </c>
      <c r="C12" s="9">
        <f>IF(OR(N(A12)=0,N($B$19)&lt;=1,A12&gt;$B$19),"",B12*SQRT(($B$19-A12)/($B$19-1)))</f>
        <v/>
      </c>
    </row>
    <row r="13">
      <c r="A13" s="8" t="n">
        <v>50</v>
      </c>
      <c r="B13" s="9">
        <f>IF(N(A13)=0,"",Fehlerspanne!$B$6*SQRT(Fehlerspanne!$B$5*(1-Fehlerspanne!$B$5)/A13))</f>
        <v/>
      </c>
      <c r="C13" s="9">
        <f>IF(OR(N(A13)=0,N($B$19)&lt;=1,A13&gt;$B$19),"",B13*SQRT(($B$19-A13)/($B$19-1)))</f>
        <v/>
      </c>
    </row>
    <row r="14">
      <c r="A14" s="8" t="n">
        <v>100</v>
      </c>
      <c r="B14" s="9">
        <f>IF(N(A14)=0,"",Fehlerspanne!$B$6*SQRT(Fehlerspanne!$B$5*(1-Fehlerspanne!$B$5)/A14))</f>
        <v/>
      </c>
      <c r="C14" s="9">
        <f>IF(OR(N(A14)=0,N($B$19)&lt;=1,A14&gt;$B$19),"",B14*SQRT(($B$19-A14)/($B$19-1)))</f>
        <v/>
      </c>
    </row>
    <row r="15">
      <c r="A15" s="8" t="n">
        <v>200</v>
      </c>
      <c r="B15" s="9">
        <f>IF(N(A15)=0,"",Fehlerspanne!$B$6*SQRT(Fehlerspanne!$B$5*(1-Fehlerspanne!$B$5)/A15))</f>
        <v/>
      </c>
      <c r="C15" s="9">
        <f>IF(OR(N(A15)=0,N($B$19)&lt;=1,A15&gt;$B$19),"",B15*SQRT(($B$19-A15)/($B$19-1)))</f>
        <v/>
      </c>
    </row>
    <row r="16">
      <c r="A16" s="8" t="n">
        <v>400</v>
      </c>
      <c r="B16" s="9">
        <f>IF(N(A16)=0,"",Fehlerspanne!$B$6*SQRT(Fehlerspanne!$B$5*(1-Fehlerspanne!$B$5)/A16))</f>
        <v/>
      </c>
      <c r="C16" s="9">
        <f>IF(OR(N(A16)=0,N($B$19)&lt;=1,A16&gt;$B$19),"",B16*SQRT(($B$19-A16)/($B$19-1)))</f>
        <v/>
      </c>
    </row>
    <row r="17">
      <c r="A17" s="8" t="n">
        <v>1000</v>
      </c>
      <c r="B17" s="9">
        <f>IF(N(A17)=0,"",Fehlerspanne!$B$6*SQRT(Fehlerspanne!$B$5*(1-Fehlerspanne!$B$5)/A17))</f>
        <v/>
      </c>
      <c r="C17" s="9">
        <f>IF(OR(N(A17)=0,N($B$19)&lt;=1,A17&gt;$B$19),"",B17*SQRT(($B$19-A17)/($B$19-1)))</f>
        <v/>
      </c>
    </row>
    <row r="19">
      <c r="A19" s="5" t="inlineStr">
        <is>
          <t>Größe der Warteliste (bestätigte Eintragungen) für die Korrektur</t>
        </is>
      </c>
      <c r="B19" s="8" t="n"/>
      <c r="C19" s="5" t="inlineStr">
        <is>
          <t>Aus tor-1-vorlage.xlsx, Blatt „PLZ-Summen“, Zelle H6. Leer lassen, wenn unbekannt.</t>
        </is>
      </c>
    </row>
    <row r="21">
      <c r="A21" s="2" t="inlineStr">
        <is>
          <t>Die Spanne deckt nur den Zufall ab — nicht Selbstauswahl, Einstimmung, Abbruch oder Mehrfachteilnahme (Umfrage, Abschnitt 4.5).</t>
        </is>
      </c>
    </row>
    <row r="22">
      <c r="A22" s="2" t="inlineStr">
        <is>
          <t>Regel 2: Einen Unterschied zwischen zwei Gruppen erst lesen, wenn er größer ist als beide Spannen zusammen.</t>
        </is>
      </c>
    </row>
    <row r="23">
      <c r="A23" s="2" t="inlineStr">
        <is>
          <t>Die Spannen sind als Prozentpunkte zu lesen: 9,8 % heißt, ein gemessener Anteil von 40 % liegt mit 95 % Sicherheit zwischen 30,2 und 49,8 %.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2026-09-16T13:32:37Z</dcterms:created>
  <dcterms:modified xmlns:dcterms="http://purl.org/dc/terms/" xmlns:xsi="http://www.w3.org/2001/XMLSchema-instance" xsi:type="dcterms:W3CDTF">2026-09-16T13:32:38Z</dcterms:modified>
</cp:coreProperties>
</file>