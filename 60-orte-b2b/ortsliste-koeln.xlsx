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tsliste" sheetId="1" state="visible" r:id="rId3"/>
    <sheet name="Legende + Regeln" sheetId="2" state="visible" r:id="rId4"/>
  </sheets>
  <definedNames>
    <definedName function="false" hidden="true" localSheetId="0" name="_xlnm._FilterDatabase" vbProcedure="false">Ortsliste!$A$1:$L$41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<sst xmlns="http://schemas.openxmlformats.org/spreadsheetml/2006/main" count="334" uniqueCount="167">
  <si>
    <t xml:space="preserve">Nr</t>
  </si>
  <si>
    <t xml:space="preserve">Name</t>
  </si>
  <si>
    <t xml:space="preserve">Art</t>
  </si>
  <si>
    <t xml:space="preserve">Prio</t>
  </si>
  <si>
    <t xml:space="preserve">Viertel / Adresse</t>
  </si>
  <si>
    <t xml:space="preserve">Website / Impressum-Domain</t>
  </si>
  <si>
    <t xml:space="preserve">Öffnungszeiten</t>
  </si>
  <si>
    <t xml:space="preserve">Recherche-Status</t>
  </si>
  <si>
    <t xml:space="preserve">Kontaktanlass (Vorschlag)</t>
  </si>
  <si>
    <t xml:space="preserve">Ansprechpartner (ausfüllen)</t>
  </si>
  <si>
    <t xml:space="preserve">Erstkontakt am (ausfüllen)</t>
  </si>
  <si>
    <t xml:space="preserve">Notizen (ausfüllen)</t>
  </si>
  <si>
    <t xml:space="preserve">ExCorner</t>
  </si>
  <si>
    <t xml:space="preserve">Bar/Tanzbar</t>
  </si>
  <si>
    <t xml:space="preserve">A</t>
  </si>
  <si>
    <t xml:space="preserve">Schaafenstraße (Nr. prüfen)</t>
  </si>
  <si>
    <t xml:space="preserve">prüfen</t>
  </si>
  <si>
    <t xml:space="preserve">vor Ort prüfen</t>
  </si>
  <si>
    <t xml:space="preserve">per Websuche bestätigt 07/2026</t>
  </si>
  <si>
    <t xml:space="preserve">Mittwochsfrage: "Was würde helfen, mehr Leute an einem Mittwoch reinzubekommen?" — kein Pitch; Ortsporträt anbieten</t>
  </si>
  <si>
    <t xml:space="preserve">Schampanja</t>
  </si>
  <si>
    <t xml:space="preserve">Kneipe (Institution, 30+ Jahre)</t>
  </si>
  <si>
    <t xml:space="preserve">Die Mumu</t>
  </si>
  <si>
    <t xml:space="preserve">Bar (Karaoke, schrill)</t>
  </si>
  <si>
    <t xml:space="preserve">die-mumu.de</t>
  </si>
  <si>
    <t xml:space="preserve">Iron Cocktail Lounge</t>
  </si>
  <si>
    <t xml:space="preserve">Cocktailbar</t>
  </si>
  <si>
    <t xml:space="preserve">Rudolfplatz/Schaafenstraße (prüfen)</t>
  </si>
  <si>
    <t xml:space="preserve">Blue Lounge</t>
  </si>
  <si>
    <t xml:space="preserve">Bar (gemischt/lesbisch)</t>
  </si>
  <si>
    <t xml:space="preserve">Mathiasstraße (prüfen)</t>
  </si>
  <si>
    <t xml:space="preserve">Vorwissen — vor Kontakt verifizieren</t>
  </si>
  <si>
    <t xml:space="preserve">Stiefelknecht</t>
  </si>
  <si>
    <t xml:space="preserve">Leder-/Cruising-Bar</t>
  </si>
  <si>
    <t xml:space="preserve">Rudolfplatz-Umfeld (prüfen)</t>
  </si>
  <si>
    <t xml:space="preserve">Vampire</t>
  </si>
  <si>
    <t xml:space="preserve">Bar (lesbisch/queer)</t>
  </si>
  <si>
    <t xml:space="preserve">Rathenauviertel (prüfen)</t>
  </si>
  <si>
    <t xml:space="preserve">Baustelle 4U</t>
  </si>
  <si>
    <t xml:space="preserve">Bar</t>
  </si>
  <si>
    <t xml:space="preserve">B</t>
  </si>
  <si>
    <t xml:space="preserve">Pipinstraße 5, Altstadt</t>
  </si>
  <si>
    <t xml:space="preserve">Barcelon</t>
  </si>
  <si>
    <t xml:space="preserve">Café-Bar</t>
  </si>
  <si>
    <t xml:space="preserve">Pipinstraße (prüfen)</t>
  </si>
  <si>
    <t xml:space="preserve">Zum Pitter</t>
  </si>
  <si>
    <t xml:space="preserve">Traditionskneipe</t>
  </si>
  <si>
    <t xml:space="preserve">Alter Markt (prüfen)</t>
  </si>
  <si>
    <t xml:space="preserve">Comeback</t>
  </si>
  <si>
    <t xml:space="preserve">Kneipe</t>
  </si>
  <si>
    <t xml:space="preserve">Altstadt (prüfen — evtl. geschlossen)</t>
  </si>
  <si>
    <t xml:space="preserve">Exile on Mainstreet</t>
  </si>
  <si>
    <t xml:space="preserve">Balduinstraße (prüfen)</t>
  </si>
  <si>
    <t xml:space="preserve">Hotel Timp</t>
  </si>
  <si>
    <t xml:space="preserve">Travestie-Bar/Hotel</t>
  </si>
  <si>
    <t xml:space="preserve">Heumarkt (prüfen)</t>
  </si>
  <si>
    <t xml:space="preserve">Ereignis-Listing (tägliche Show) anbieten</t>
  </si>
  <si>
    <t xml:space="preserve">Badehaus Babylon</t>
  </si>
  <si>
    <t xml:space="preserve">Sauna</t>
  </si>
  <si>
    <t xml:space="preserve">Nähe Römerturm/Friesenplatz (prüfen)</t>
  </si>
  <si>
    <t xml:space="preserve">Auslastungs-/Terminservice vorstellen (2. Gespräch)</t>
  </si>
  <si>
    <t xml:space="preserve">Phoenix Sauna Köln</t>
  </si>
  <si>
    <t xml:space="preserve">Adresse prüfen</t>
  </si>
  <si>
    <t xml:space="preserve">Station 2B</t>
  </si>
  <si>
    <t xml:space="preserve">Cruising-Club</t>
  </si>
  <si>
    <t xml:space="preserve">Chains</t>
  </si>
  <si>
    <t xml:space="preserve">Fetisch-/Cruising-Bar</t>
  </si>
  <si>
    <t xml:space="preserve">Stephanstraße (prüfen)</t>
  </si>
  <si>
    <t xml:space="preserve">Hustler</t>
  </si>
  <si>
    <t xml:space="preserve">Cruising-Bar</t>
  </si>
  <si>
    <t xml:space="preserve">unbestätigt</t>
  </si>
  <si>
    <t xml:space="preserve">Existenz unklar — prüfen oder streichen</t>
  </si>
  <si>
    <t xml:space="preserve">Gloria Theater</t>
  </si>
  <si>
    <t xml:space="preserve">Club/Kulturhaus (queer-affin)</t>
  </si>
  <si>
    <t xml:space="preserve">C</t>
  </si>
  <si>
    <t xml:space="preserve">Apostelnstraße 11</t>
  </si>
  <si>
    <t xml:space="preserve">Ereignis-Listing + Ticketing-Perspektive (später)</t>
  </si>
  <si>
    <t xml:space="preserve">Garry Klein</t>
  </si>
  <si>
    <t xml:space="preserve">Queere Techno-Partyreihe</t>
  </si>
  <si>
    <t xml:space="preserve">wechselnd (Stadtgarten-Umfeld, prüfen)</t>
  </si>
  <si>
    <t xml:space="preserve">—</t>
  </si>
  <si>
    <t xml:space="preserve">Instagram-DM: kostenlose Hervorhebung gegen Erwähnung</t>
  </si>
  <si>
    <t xml:space="preserve">Revolver Party</t>
  </si>
  <si>
    <t xml:space="preserve">Queere Partyreihe</t>
  </si>
  <si>
    <t xml:space="preserve">wechselnd (prüfen)</t>
  </si>
  <si>
    <t xml:space="preserve">Queerfilmnacht Köln</t>
  </si>
  <si>
    <t xml:space="preserve">Filmreihe</t>
  </si>
  <si>
    <t xml:space="preserve">Kino prüfen</t>
  </si>
  <si>
    <t xml:space="preserve">Terminverbreitung anbieten</t>
  </si>
  <si>
    <t xml:space="preserve">anyway e.V.</t>
  </si>
  <si>
    <t xml:space="preserve">Queeres Jugendzentrum + Café</t>
  </si>
  <si>
    <t xml:space="preserve">Kamekestraße 14 (prüfen)</t>
  </si>
  <si>
    <t xml:space="preserve">anyway-koeln.de (prüfen)</t>
  </si>
  <si>
    <t xml:space="preserve">Kostenlose Terminverbreitung anbieten; Angebot, keine Bitte — Achtung: Zielgruppe teils U18, nur als Partner, nie als Akquiseort</t>
  </si>
  <si>
    <t xml:space="preserve">rubicon e.V.</t>
  </si>
  <si>
    <t xml:space="preserve">Queere Beratungsstelle</t>
  </si>
  <si>
    <t xml:space="preserve">50676 Köln (Adresse prüfen)</t>
  </si>
  <si>
    <t xml:space="preserve">rubicon-koeln.de</t>
  </si>
  <si>
    <t xml:space="preserve">Kostenlose Terminverbreitung anbieten; Angebot, keine Bitte</t>
  </si>
  <si>
    <t xml:space="preserve">Aidshilfe Köln</t>
  </si>
  <si>
    <t xml:space="preserve">Gesundheit/Beratung</t>
  </si>
  <si>
    <t xml:space="preserve">Beethovenstraße (prüfen)</t>
  </si>
  <si>
    <t xml:space="preserve">aidshilfe-koeln.de (prüfen)</t>
  </si>
  <si>
    <t xml:space="preserve">Gesundheitspartnerschaft (Handbuch B) — Angebot: Terminverbreitung für Testangebote</t>
  </si>
  <si>
    <t xml:space="preserve">Checkpoint Köln</t>
  </si>
  <si>
    <t xml:space="preserve">Test-/Gesundheitsangebot</t>
  </si>
  <si>
    <t xml:space="preserve">wie Aidshilfe — ein Träger?</t>
  </si>
  <si>
    <t xml:space="preserve">SC Janus e.V.</t>
  </si>
  <si>
    <t xml:space="preserve">Queerer Sportverein (Europas größter)</t>
  </si>
  <si>
    <t xml:space="preserve">Geschäftsstelle prüfen</t>
  </si>
  <si>
    <t xml:space="preserve">sc-janus.de</t>
  </si>
  <si>
    <t xml:space="preserve">"Eigenes Treffen anlegen"-Zielgruppe; Terminverbreitung für Trainings/Turniere</t>
  </si>
  <si>
    <t xml:space="preserve">Centrum Schwule Geschichte</t>
  </si>
  <si>
    <t xml:space="preserve">Archiv/Verein</t>
  </si>
  <si>
    <t xml:space="preserve">ColognePride / KLuST e.V.</t>
  </si>
  <si>
    <t xml:space="preserve">CSD-Veranstalter (19.06.–05.07.2026)</t>
  </si>
  <si>
    <t xml:space="preserve">colognepride.de</t>
  </si>
  <si>
    <t xml:space="preserve">Terminpartner anbieten — CSD-Vereine planen ein Jahr voraus, Kontakt im Herbst 2026 für 2027</t>
  </si>
  <si>
    <t xml:space="preserve">QueerGoingOut</t>
  </si>
  <si>
    <t xml:space="preserve">Terminkalender Köln (Medium)</t>
  </si>
  <si>
    <t xml:space="preserve">online</t>
  </si>
  <si>
    <t xml:space="preserve">queergoingout.de</t>
  </si>
  <si>
    <t xml:space="preserve">Medien-/Datenpartner für Ereignisquellen — früh und fair ansprechen</t>
  </si>
  <si>
    <t xml:space="preserve">Rosa Funken Köln</t>
  </si>
  <si>
    <t xml:space="preserve">Schwuler Karnevalsverein</t>
  </si>
  <si>
    <t xml:space="preserve">Sessionstermine (ab 11.11.) — Karneval ist Kölns größter Ereignis-Hebel</t>
  </si>
  <si>
    <t xml:space="preserve">Colombina Colonia</t>
  </si>
  <si>
    <t xml:space="preserve">Schwul-lesbischer Karnevalsverein</t>
  </si>
  <si>
    <t xml:space="preserve">wie Rosa Funken</t>
  </si>
  <si>
    <t xml:space="preserve">Zauberflöten Köln</t>
  </si>
  <si>
    <t xml:space="preserve">Schwuler Chor</t>
  </si>
  <si>
    <t xml:space="preserve">Konzerttermine listen</t>
  </si>
  <si>
    <t xml:space="preserve">— zu recherchieren: 2. Leder-/Fetischort —</t>
  </si>
  <si>
    <t xml:space="preserve">offen</t>
  </si>
  <si>
    <t xml:space="preserve">D</t>
  </si>
  <si>
    <t xml:space="preserve">Feldbesuch + Szeneempfehlungen</t>
  </si>
  <si>
    <t xml:space="preserve">— zu recherchieren: queere Café-Tagesorte (2–3) —</t>
  </si>
  <si>
    <t xml:space="preserve">wichtig für "erstes Treffen"-Anwendungsfall</t>
  </si>
  <si>
    <t xml:space="preserve">— zu recherchieren: weitere Partyreihen via QueerGoingOut —</t>
  </si>
  <si>
    <t xml:space="preserve">— zu recherchieren: lesbische/queere Bars jenseits Rudolfplatz —</t>
  </si>
  <si>
    <t xml:space="preserve">— zu recherchieren: queere Sportgruppen außerhalb SC Janus —</t>
  </si>
  <si>
    <t xml:space="preserve">— zu recherchieren: Drag-/Show-Formate —</t>
  </si>
  <si>
    <t xml:space="preserve">— zu recherchieren: szenenahe Kioske/Läden Schaafenstraße —</t>
  </si>
  <si>
    <t xml:space="preserve">QR-Aufsteller-Kandidaten</t>
  </si>
  <si>
    <t xml:space="preserve">Zweck</t>
  </si>
  <si>
    <t xml:space="preserve">Arbeitsliste für die Ortsakquise Köln (Handbuch B: 40 Locations). Ziel der ersten Monate: 300 Nutzer im 500-m-Radius Schaafenstraße — deshalb Priorität A zuerst.</t>
  </si>
  <si>
    <t xml:space="preserve">Prio A</t>
  </si>
  <si>
    <t xml:space="preserve">Kaltstart-Zone Rudolfplatz/Schaafenstraße — persönlich, unter der Woche am frühen Abend, zuerst.</t>
  </si>
  <si>
    <t xml:space="preserve">Prio B</t>
  </si>
  <si>
    <t xml:space="preserve">Altstadt, Saunen, Cruising — hohe Frequenz, zweiter Ring.</t>
  </si>
  <si>
    <t xml:space="preserve">Prio C</t>
  </si>
  <si>
    <t xml:space="preserve">Vereine, Kultur, Partyreihen, Gesundheit — Glaubwürdigkeit, Termine, spätere Partnerschaften.</t>
  </si>
  <si>
    <t xml:space="preserve">Prio D</t>
  </si>
  <si>
    <t xml:space="preserve">Recherchelücken — auffüllen bis 40 bestätigte Orte.</t>
  </si>
  <si>
    <t xml:space="preserve">'per Websuche bestätigt 07/2026' = Existenz belegt, Details trotzdem prüfen. 'Vorwissen' = aus Szene-Kenntnis, VOR jedem Kontakt verifizieren (Öffnung, Adresse, Betreiber). Nichts aus dieser Liste ungeprüft verwenden.</t>
  </si>
  <si>
    <t xml:space="preserve">Gelbe Spalten</t>
  </si>
  <si>
    <t xml:space="preserve">Von den Gründern zu pflegen: Ansprechpartner, Erstkontakt-Datum, Notizen. Beispiel: 'Peter (Inhaber) | 12.08. | will Ortsporträt, nochmal Ende August'.</t>
  </si>
  <si>
    <t xml:space="preserve">Regel 1</t>
  </si>
  <si>
    <t xml:space="preserve">Kontaktaufnahme ausschließlich persönlich durch die Gründer — nie delegieren, nie zuerst per Mail (Ausnahme: Partyreihen/DJs per Instagram).</t>
  </si>
  <si>
    <t xml:space="preserve">Regel 2</t>
  </si>
  <si>
    <t xml:space="preserve">Erstes Gespräch ohne Pitch: eine Frage stellen, zuhören. Über die App erst beim zweiten Gespräch.</t>
  </si>
  <si>
    <t xml:space="preserve">Regel 3</t>
  </si>
  <si>
    <t xml:space="preserve">Jeder Besuch ist auch Marktforschung: 'Was erzählen die Leute gerade?' notieren (Protokollvorlage im Ordner 20).</t>
  </si>
  <si>
    <t xml:space="preserve">Statistik</t>
  </si>
  <si>
    <t xml:space="preserve">Orte gesamt (inkl. offener)</t>
  </si>
  <si>
    <t xml:space="preserve">noch offen (Prio D)</t>
  </si>
  <si>
    <t xml:space="preserve">Erstkontakte erfolgt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</si>
</sst>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7490"/>
        <bgColor rgb="FF008080"/>
      </patternFill>
    </fill>
    <fill>
      <patternFill patternType="solid">
        <fgColor rgb="FFF3F4F6"/>
        <bgColor rgb="FFFFFFFF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E7490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C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0C0C0"/>
      <rgbColor rgb="FF808080"/>
      <rgbColor rgb="FF9999FF"/>
      <rgbColor rgb="FF993366"/>
      <rgbColor rgb="FFFFF9C4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4"/>
    <col collapsed="false" customWidth="true" hidden="false" outlineLevel="0" max="4" min="4" style="0" width="5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9" min="9" style="0" width="40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24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5.05" hidden="false" customHeight="false" outlineLevel="0" collapsed="false">
      <c r="A2" s="2" t="n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/>
      <c r="K2" s="3"/>
      <c r="L2" s="3"/>
    </row>
    <row r="3" customFormat="false" ht="35.05" hidden="false" customHeight="false" outlineLevel="0" collapsed="false">
      <c r="A3" s="4" t="n">
        <v>2</v>
      </c>
      <c r="B3" s="4" t="s">
        <v>20</v>
      </c>
      <c r="C3" s="4" t="s">
        <v>21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3"/>
      <c r="K3" s="3"/>
      <c r="L3" s="3"/>
    </row>
    <row r="4" customFormat="false" ht="35.05" hidden="false" customHeight="false" outlineLevel="0" collapsed="false">
      <c r="A4" s="2" t="n">
        <v>3</v>
      </c>
      <c r="B4" s="2" t="s">
        <v>22</v>
      </c>
      <c r="C4" s="2" t="s">
        <v>23</v>
      </c>
      <c r="D4" s="2" t="s">
        <v>14</v>
      </c>
      <c r="E4" s="2" t="s">
        <v>15</v>
      </c>
      <c r="F4" s="2" t="s">
        <v>24</v>
      </c>
      <c r="G4" s="2" t="s">
        <v>17</v>
      </c>
      <c r="H4" s="2" t="s">
        <v>18</v>
      </c>
      <c r="I4" s="2" t="s">
        <v>19</v>
      </c>
      <c r="J4" s="3"/>
      <c r="K4" s="3"/>
      <c r="L4" s="3"/>
    </row>
    <row r="5" customFormat="false" ht="35.05" hidden="false" customHeight="false" outlineLevel="0" collapsed="false">
      <c r="A5" s="4" t="n">
        <v>4</v>
      </c>
      <c r="B5" s="4" t="s">
        <v>25</v>
      </c>
      <c r="C5" s="4" t="s">
        <v>26</v>
      </c>
      <c r="D5" s="4" t="s">
        <v>14</v>
      </c>
      <c r="E5" s="4" t="s">
        <v>27</v>
      </c>
      <c r="F5" s="4" t="s">
        <v>16</v>
      </c>
      <c r="G5" s="4" t="s">
        <v>17</v>
      </c>
      <c r="H5" s="4" t="s">
        <v>18</v>
      </c>
      <c r="I5" s="4" t="s">
        <v>19</v>
      </c>
      <c r="J5" s="3"/>
      <c r="K5" s="3"/>
      <c r="L5" s="3"/>
    </row>
    <row r="6" customFormat="false" ht="35.05" hidden="false" customHeight="false" outlineLevel="0" collapsed="false">
      <c r="A6" s="2" t="n">
        <v>5</v>
      </c>
      <c r="B6" s="2" t="s">
        <v>28</v>
      </c>
      <c r="C6" s="2" t="s">
        <v>29</v>
      </c>
      <c r="D6" s="2" t="s">
        <v>14</v>
      </c>
      <c r="E6" s="2" t="s">
        <v>30</v>
      </c>
      <c r="F6" s="2" t="s">
        <v>16</v>
      </c>
      <c r="G6" s="2" t="s">
        <v>17</v>
      </c>
      <c r="H6" s="2" t="s">
        <v>31</v>
      </c>
      <c r="I6" s="2" t="s">
        <v>19</v>
      </c>
      <c r="J6" s="3"/>
      <c r="K6" s="3"/>
      <c r="L6" s="3"/>
    </row>
    <row r="7" customFormat="false" ht="35.05" hidden="false" customHeight="false" outlineLevel="0" collapsed="false">
      <c r="A7" s="4" t="n">
        <v>6</v>
      </c>
      <c r="B7" s="4" t="s">
        <v>32</v>
      </c>
      <c r="C7" s="4" t="s">
        <v>33</v>
      </c>
      <c r="D7" s="4" t="s">
        <v>14</v>
      </c>
      <c r="E7" s="4" t="s">
        <v>34</v>
      </c>
      <c r="F7" s="4" t="s">
        <v>16</v>
      </c>
      <c r="G7" s="4" t="s">
        <v>17</v>
      </c>
      <c r="H7" s="4" t="s">
        <v>31</v>
      </c>
      <c r="I7" s="4" t="s">
        <v>19</v>
      </c>
      <c r="J7" s="3"/>
      <c r="K7" s="3"/>
      <c r="L7" s="3"/>
    </row>
    <row r="8" customFormat="false" ht="35.05" hidden="false" customHeight="false" outlineLevel="0" collapsed="false">
      <c r="A8" s="2" t="n">
        <v>7</v>
      </c>
      <c r="B8" s="2" t="s">
        <v>35</v>
      </c>
      <c r="C8" s="2" t="s">
        <v>36</v>
      </c>
      <c r="D8" s="2" t="s">
        <v>14</v>
      </c>
      <c r="E8" s="2" t="s">
        <v>37</v>
      </c>
      <c r="F8" s="2" t="s">
        <v>16</v>
      </c>
      <c r="G8" s="2" t="s">
        <v>17</v>
      </c>
      <c r="H8" s="2" t="s">
        <v>31</v>
      </c>
      <c r="I8" s="2" t="s">
        <v>19</v>
      </c>
      <c r="J8" s="3"/>
      <c r="K8" s="3"/>
      <c r="L8" s="3"/>
    </row>
    <row r="9" customFormat="false" ht="35.05" hidden="false" customHeight="false" outlineLevel="0" collapsed="false">
      <c r="A9" s="4" t="n">
        <v>8</v>
      </c>
      <c r="B9" s="4" t="s">
        <v>38</v>
      </c>
      <c r="C9" s="4" t="s">
        <v>39</v>
      </c>
      <c r="D9" s="4" t="s">
        <v>40</v>
      </c>
      <c r="E9" s="4" t="s">
        <v>41</v>
      </c>
      <c r="F9" s="4" t="s">
        <v>16</v>
      </c>
      <c r="G9" s="4" t="s">
        <v>17</v>
      </c>
      <c r="H9" s="4" t="s">
        <v>18</v>
      </c>
      <c r="I9" s="4" t="s">
        <v>19</v>
      </c>
      <c r="J9" s="3"/>
      <c r="K9" s="3"/>
      <c r="L9" s="3"/>
    </row>
    <row r="10" customFormat="false" ht="35.05" hidden="false" customHeight="false" outlineLevel="0" collapsed="false">
      <c r="A10" s="2" t="n">
        <v>9</v>
      </c>
      <c r="B10" s="2" t="s">
        <v>42</v>
      </c>
      <c r="C10" s="2" t="s">
        <v>43</v>
      </c>
      <c r="D10" s="2" t="s">
        <v>40</v>
      </c>
      <c r="E10" s="2" t="s">
        <v>44</v>
      </c>
      <c r="F10" s="2" t="s">
        <v>16</v>
      </c>
      <c r="G10" s="2" t="s">
        <v>17</v>
      </c>
      <c r="H10" s="2" t="s">
        <v>31</v>
      </c>
      <c r="I10" s="2" t="s">
        <v>19</v>
      </c>
      <c r="J10" s="3"/>
      <c r="K10" s="3"/>
      <c r="L10" s="3"/>
    </row>
    <row r="11" customFormat="false" ht="35.05" hidden="false" customHeight="false" outlineLevel="0" collapsed="false">
      <c r="A11" s="4" t="n">
        <v>10</v>
      </c>
      <c r="B11" s="4" t="s">
        <v>45</v>
      </c>
      <c r="C11" s="4" t="s">
        <v>46</v>
      </c>
      <c r="D11" s="4" t="s">
        <v>40</v>
      </c>
      <c r="E11" s="4" t="s">
        <v>47</v>
      </c>
      <c r="F11" s="4" t="s">
        <v>16</v>
      </c>
      <c r="G11" s="4" t="s">
        <v>17</v>
      </c>
      <c r="H11" s="4" t="s">
        <v>31</v>
      </c>
      <c r="I11" s="4" t="s">
        <v>19</v>
      </c>
      <c r="J11" s="3"/>
      <c r="K11" s="3"/>
      <c r="L11" s="3"/>
    </row>
    <row r="12" customFormat="false" ht="35.05" hidden="false" customHeight="false" outlineLevel="0" collapsed="false">
      <c r="A12" s="2" t="n">
        <v>11</v>
      </c>
      <c r="B12" s="2" t="s">
        <v>48</v>
      </c>
      <c r="C12" s="2" t="s">
        <v>49</v>
      </c>
      <c r="D12" s="2" t="s">
        <v>40</v>
      </c>
      <c r="E12" s="2" t="s">
        <v>50</v>
      </c>
      <c r="F12" s="2" t="s">
        <v>16</v>
      </c>
      <c r="G12" s="2" t="s">
        <v>17</v>
      </c>
      <c r="H12" s="2" t="s">
        <v>31</v>
      </c>
      <c r="I12" s="2" t="s">
        <v>19</v>
      </c>
      <c r="J12" s="3"/>
      <c r="K12" s="3"/>
      <c r="L12" s="3"/>
    </row>
    <row r="13" customFormat="false" ht="35.05" hidden="false" customHeight="false" outlineLevel="0" collapsed="false">
      <c r="A13" s="4" t="n">
        <v>12</v>
      </c>
      <c r="B13" s="4" t="s">
        <v>51</v>
      </c>
      <c r="C13" s="4" t="s">
        <v>39</v>
      </c>
      <c r="D13" s="4" t="s">
        <v>40</v>
      </c>
      <c r="E13" s="4" t="s">
        <v>52</v>
      </c>
      <c r="F13" s="4" t="s">
        <v>16</v>
      </c>
      <c r="G13" s="4" t="s">
        <v>17</v>
      </c>
      <c r="H13" s="4" t="s">
        <v>31</v>
      </c>
      <c r="I13" s="4" t="s">
        <v>19</v>
      </c>
      <c r="J13" s="3"/>
      <c r="K13" s="3"/>
      <c r="L13" s="3"/>
    </row>
    <row r="14" customFormat="false" ht="23.85" hidden="false" customHeight="false" outlineLevel="0" collapsed="false">
      <c r="A14" s="2" t="n">
        <v>13</v>
      </c>
      <c r="B14" s="2" t="s">
        <v>53</v>
      </c>
      <c r="C14" s="2" t="s">
        <v>54</v>
      </c>
      <c r="D14" s="2" t="s">
        <v>40</v>
      </c>
      <c r="E14" s="2" t="s">
        <v>55</v>
      </c>
      <c r="F14" s="2" t="s">
        <v>16</v>
      </c>
      <c r="G14" s="2" t="s">
        <v>17</v>
      </c>
      <c r="H14" s="2" t="s">
        <v>31</v>
      </c>
      <c r="I14" s="2" t="s">
        <v>56</v>
      </c>
      <c r="J14" s="3"/>
      <c r="K14" s="3"/>
      <c r="L14" s="3"/>
    </row>
    <row r="15" customFormat="false" ht="23.85" hidden="false" customHeight="false" outlineLevel="0" collapsed="false">
      <c r="A15" s="4" t="n">
        <v>14</v>
      </c>
      <c r="B15" s="4" t="s">
        <v>57</v>
      </c>
      <c r="C15" s="4" t="s">
        <v>58</v>
      </c>
      <c r="D15" s="4" t="s">
        <v>40</v>
      </c>
      <c r="E15" s="4" t="s">
        <v>59</v>
      </c>
      <c r="F15" s="4" t="s">
        <v>16</v>
      </c>
      <c r="G15" s="4" t="s">
        <v>17</v>
      </c>
      <c r="H15" s="4" t="s">
        <v>18</v>
      </c>
      <c r="I15" s="4" t="s">
        <v>60</v>
      </c>
      <c r="J15" s="3"/>
      <c r="K15" s="3"/>
      <c r="L15" s="3"/>
    </row>
    <row r="16" customFormat="false" ht="23.85" hidden="false" customHeight="false" outlineLevel="0" collapsed="false">
      <c r="A16" s="2" t="n">
        <v>15</v>
      </c>
      <c r="B16" s="2" t="s">
        <v>61</v>
      </c>
      <c r="C16" s="2" t="s">
        <v>58</v>
      </c>
      <c r="D16" s="2" t="s">
        <v>40</v>
      </c>
      <c r="E16" s="2" t="s">
        <v>62</v>
      </c>
      <c r="F16" s="2" t="s">
        <v>16</v>
      </c>
      <c r="G16" s="2" t="s">
        <v>17</v>
      </c>
      <c r="H16" s="2" t="s">
        <v>18</v>
      </c>
      <c r="I16" s="2" t="s">
        <v>60</v>
      </c>
      <c r="J16" s="3"/>
      <c r="K16" s="3"/>
      <c r="L16" s="3"/>
    </row>
    <row r="17" customFormat="false" ht="23.85" hidden="false" customHeight="false" outlineLevel="0" collapsed="false">
      <c r="A17" s="4" t="n">
        <v>16</v>
      </c>
      <c r="B17" s="4" t="s">
        <v>63</v>
      </c>
      <c r="C17" s="4" t="s">
        <v>64</v>
      </c>
      <c r="D17" s="4" t="s">
        <v>40</v>
      </c>
      <c r="E17" s="4" t="s">
        <v>62</v>
      </c>
      <c r="F17" s="4" t="s">
        <v>16</v>
      </c>
      <c r="G17" s="4" t="s">
        <v>17</v>
      </c>
      <c r="H17" s="4" t="s">
        <v>18</v>
      </c>
      <c r="I17" s="4" t="s">
        <v>60</v>
      </c>
      <c r="J17" s="3"/>
      <c r="K17" s="3"/>
      <c r="L17" s="3"/>
    </row>
    <row r="18" customFormat="false" ht="35.05" hidden="false" customHeight="false" outlineLevel="0" collapsed="false">
      <c r="A18" s="2" t="n">
        <v>17</v>
      </c>
      <c r="B18" s="2" t="s">
        <v>65</v>
      </c>
      <c r="C18" s="2" t="s">
        <v>66</v>
      </c>
      <c r="D18" s="2" t="s">
        <v>40</v>
      </c>
      <c r="E18" s="2" t="s">
        <v>67</v>
      </c>
      <c r="F18" s="2" t="s">
        <v>16</v>
      </c>
      <c r="G18" s="2" t="s">
        <v>17</v>
      </c>
      <c r="H18" s="2" t="s">
        <v>31</v>
      </c>
      <c r="I18" s="2" t="s">
        <v>19</v>
      </c>
      <c r="J18" s="3"/>
      <c r="K18" s="3"/>
      <c r="L18" s="3"/>
    </row>
    <row r="19" customFormat="false" ht="35.05" hidden="false" customHeight="false" outlineLevel="0" collapsed="false">
      <c r="A19" s="4" t="n">
        <v>18</v>
      </c>
      <c r="B19" s="4" t="s">
        <v>68</v>
      </c>
      <c r="C19" s="4" t="s">
        <v>69</v>
      </c>
      <c r="D19" s="4" t="s">
        <v>40</v>
      </c>
      <c r="E19" s="4" t="s">
        <v>70</v>
      </c>
      <c r="F19" s="4" t="s">
        <v>16</v>
      </c>
      <c r="G19" s="4" t="s">
        <v>17</v>
      </c>
      <c r="H19" s="4" t="s">
        <v>71</v>
      </c>
      <c r="I19" s="4" t="s">
        <v>19</v>
      </c>
      <c r="J19" s="3"/>
      <c r="K19" s="3"/>
      <c r="L19" s="3"/>
    </row>
    <row r="20" customFormat="false" ht="23.85" hidden="false" customHeight="false" outlineLevel="0" collapsed="false">
      <c r="A20" s="2" t="n">
        <v>19</v>
      </c>
      <c r="B20" s="2" t="s">
        <v>72</v>
      </c>
      <c r="C20" s="2" t="s">
        <v>73</v>
      </c>
      <c r="D20" s="2" t="s">
        <v>74</v>
      </c>
      <c r="E20" s="2" t="s">
        <v>75</v>
      </c>
      <c r="F20" s="2" t="s">
        <v>16</v>
      </c>
      <c r="G20" s="2" t="s">
        <v>17</v>
      </c>
      <c r="H20" s="2" t="s">
        <v>31</v>
      </c>
      <c r="I20" s="2" t="s">
        <v>76</v>
      </c>
      <c r="J20" s="3"/>
      <c r="K20" s="3"/>
      <c r="L20" s="3"/>
    </row>
    <row r="21" customFormat="false" ht="23.85" hidden="false" customHeight="false" outlineLevel="0" collapsed="false">
      <c r="A21" s="4" t="n">
        <v>20</v>
      </c>
      <c r="B21" s="4" t="s">
        <v>77</v>
      </c>
      <c r="C21" s="4" t="s">
        <v>78</v>
      </c>
      <c r="D21" s="4" t="s">
        <v>74</v>
      </c>
      <c r="E21" s="4" t="s">
        <v>79</v>
      </c>
      <c r="F21" s="4" t="s">
        <v>16</v>
      </c>
      <c r="G21" s="4" t="s">
        <v>80</v>
      </c>
      <c r="H21" s="4" t="s">
        <v>31</v>
      </c>
      <c r="I21" s="4" t="s">
        <v>81</v>
      </c>
      <c r="J21" s="3"/>
      <c r="K21" s="3"/>
      <c r="L21" s="3"/>
    </row>
    <row r="22" customFormat="false" ht="23.85" hidden="false" customHeight="false" outlineLevel="0" collapsed="false">
      <c r="A22" s="2" t="n">
        <v>21</v>
      </c>
      <c r="B22" s="2" t="s">
        <v>82</v>
      </c>
      <c r="C22" s="2" t="s">
        <v>83</v>
      </c>
      <c r="D22" s="2" t="s">
        <v>74</v>
      </c>
      <c r="E22" s="2" t="s">
        <v>84</v>
      </c>
      <c r="F22" s="2" t="s">
        <v>16</v>
      </c>
      <c r="G22" s="2" t="s">
        <v>80</v>
      </c>
      <c r="H22" s="2" t="s">
        <v>31</v>
      </c>
      <c r="I22" s="2" t="s">
        <v>81</v>
      </c>
      <c r="J22" s="3"/>
      <c r="K22" s="3"/>
      <c r="L22" s="3"/>
    </row>
    <row r="23" customFormat="false" ht="23.85" hidden="false" customHeight="false" outlineLevel="0" collapsed="false">
      <c r="A23" s="4" t="n">
        <v>22</v>
      </c>
      <c r="B23" s="4" t="s">
        <v>85</v>
      </c>
      <c r="C23" s="4" t="s">
        <v>86</v>
      </c>
      <c r="D23" s="4" t="s">
        <v>74</v>
      </c>
      <c r="E23" s="4" t="s">
        <v>87</v>
      </c>
      <c r="F23" s="4" t="s">
        <v>16</v>
      </c>
      <c r="G23" s="4" t="s">
        <v>80</v>
      </c>
      <c r="H23" s="4" t="s">
        <v>31</v>
      </c>
      <c r="I23" s="4" t="s">
        <v>88</v>
      </c>
      <c r="J23" s="3"/>
      <c r="K23" s="3"/>
      <c r="L23" s="3"/>
    </row>
    <row r="24" customFormat="false" ht="35.05" hidden="false" customHeight="false" outlineLevel="0" collapsed="false">
      <c r="A24" s="2" t="n">
        <v>23</v>
      </c>
      <c r="B24" s="2" t="s">
        <v>89</v>
      </c>
      <c r="C24" s="2" t="s">
        <v>90</v>
      </c>
      <c r="D24" s="2" t="s">
        <v>74</v>
      </c>
      <c r="E24" s="2" t="s">
        <v>91</v>
      </c>
      <c r="F24" s="2" t="s">
        <v>92</v>
      </c>
      <c r="G24" s="2" t="s">
        <v>17</v>
      </c>
      <c r="H24" s="2" t="s">
        <v>18</v>
      </c>
      <c r="I24" s="2" t="s">
        <v>93</v>
      </c>
      <c r="J24" s="3"/>
      <c r="K24" s="3"/>
      <c r="L24" s="3"/>
    </row>
    <row r="25" customFormat="false" ht="23.85" hidden="false" customHeight="false" outlineLevel="0" collapsed="false">
      <c r="A25" s="4" t="n">
        <v>24</v>
      </c>
      <c r="B25" s="4" t="s">
        <v>94</v>
      </c>
      <c r="C25" s="4" t="s">
        <v>95</v>
      </c>
      <c r="D25" s="4" t="s">
        <v>74</v>
      </c>
      <c r="E25" s="4" t="s">
        <v>96</v>
      </c>
      <c r="F25" s="4" t="s">
        <v>97</v>
      </c>
      <c r="G25" s="4" t="s">
        <v>17</v>
      </c>
      <c r="H25" s="4" t="s">
        <v>18</v>
      </c>
      <c r="I25" s="4" t="s">
        <v>98</v>
      </c>
      <c r="J25" s="3"/>
      <c r="K25" s="3"/>
      <c r="L25" s="3"/>
    </row>
    <row r="26" customFormat="false" ht="23.85" hidden="false" customHeight="false" outlineLevel="0" collapsed="false">
      <c r="A26" s="2" t="n">
        <v>25</v>
      </c>
      <c r="B26" s="2" t="s">
        <v>99</v>
      </c>
      <c r="C26" s="2" t="s">
        <v>100</v>
      </c>
      <c r="D26" s="2" t="s">
        <v>74</v>
      </c>
      <c r="E26" s="2" t="s">
        <v>101</v>
      </c>
      <c r="F26" s="2" t="s">
        <v>102</v>
      </c>
      <c r="G26" s="2" t="s">
        <v>17</v>
      </c>
      <c r="H26" s="2" t="s">
        <v>31</v>
      </c>
      <c r="I26" s="2" t="s">
        <v>103</v>
      </c>
      <c r="J26" s="3"/>
      <c r="K26" s="3"/>
      <c r="L26" s="3"/>
    </row>
    <row r="27" customFormat="false" ht="23.85" hidden="false" customHeight="false" outlineLevel="0" collapsed="false">
      <c r="A27" s="4" t="n">
        <v>26</v>
      </c>
      <c r="B27" s="4" t="s">
        <v>104</v>
      </c>
      <c r="C27" s="4" t="s">
        <v>105</v>
      </c>
      <c r="D27" s="4" t="s">
        <v>74</v>
      </c>
      <c r="E27" s="4" t="s">
        <v>16</v>
      </c>
      <c r="F27" s="4" t="s">
        <v>16</v>
      </c>
      <c r="G27" s="4" t="s">
        <v>17</v>
      </c>
      <c r="H27" s="4" t="s">
        <v>31</v>
      </c>
      <c r="I27" s="4" t="s">
        <v>106</v>
      </c>
      <c r="J27" s="3"/>
      <c r="K27" s="3"/>
      <c r="L27" s="3"/>
    </row>
    <row r="28" customFormat="false" ht="23.85" hidden="false" customHeight="false" outlineLevel="0" collapsed="false">
      <c r="A28" s="2" t="n">
        <v>27</v>
      </c>
      <c r="B28" s="2" t="s">
        <v>107</v>
      </c>
      <c r="C28" s="2" t="s">
        <v>108</v>
      </c>
      <c r="D28" s="2" t="s">
        <v>74</v>
      </c>
      <c r="E28" s="2" t="s">
        <v>109</v>
      </c>
      <c r="F28" s="2" t="s">
        <v>110</v>
      </c>
      <c r="G28" s="2" t="s">
        <v>80</v>
      </c>
      <c r="H28" s="2" t="s">
        <v>18</v>
      </c>
      <c r="I28" s="2" t="s">
        <v>111</v>
      </c>
      <c r="J28" s="3"/>
      <c r="K28" s="3"/>
      <c r="L28" s="3"/>
    </row>
    <row r="29" customFormat="false" ht="23.85" hidden="false" customHeight="false" outlineLevel="0" collapsed="false">
      <c r="A29" s="4" t="n">
        <v>28</v>
      </c>
      <c r="B29" s="4" t="s">
        <v>112</v>
      </c>
      <c r="C29" s="4" t="s">
        <v>113</v>
      </c>
      <c r="D29" s="4" t="s">
        <v>74</v>
      </c>
      <c r="E29" s="4" t="s">
        <v>16</v>
      </c>
      <c r="F29" s="4" t="s">
        <v>16</v>
      </c>
      <c r="G29" s="4" t="s">
        <v>80</v>
      </c>
      <c r="H29" s="4" t="s">
        <v>31</v>
      </c>
      <c r="I29" s="4" t="s">
        <v>98</v>
      </c>
      <c r="J29" s="3"/>
      <c r="K29" s="3"/>
      <c r="L29" s="3"/>
    </row>
    <row r="30" customFormat="false" ht="23.85" hidden="false" customHeight="false" outlineLevel="0" collapsed="false">
      <c r="A30" s="2" t="n">
        <v>29</v>
      </c>
      <c r="B30" s="2" t="s">
        <v>114</v>
      </c>
      <c r="C30" s="2" t="s">
        <v>115</v>
      </c>
      <c r="D30" s="2" t="s">
        <v>74</v>
      </c>
      <c r="E30" s="2" t="s">
        <v>16</v>
      </c>
      <c r="F30" s="2" t="s">
        <v>116</v>
      </c>
      <c r="G30" s="2" t="s">
        <v>80</v>
      </c>
      <c r="H30" s="2" t="s">
        <v>18</v>
      </c>
      <c r="I30" s="2" t="s">
        <v>117</v>
      </c>
      <c r="J30" s="3"/>
      <c r="K30" s="3"/>
      <c r="L30" s="3"/>
    </row>
    <row r="31" customFormat="false" ht="23.85" hidden="false" customHeight="false" outlineLevel="0" collapsed="false">
      <c r="A31" s="4" t="n">
        <v>30</v>
      </c>
      <c r="B31" s="4" t="s">
        <v>118</v>
      </c>
      <c r="C31" s="4" t="s">
        <v>119</v>
      </c>
      <c r="D31" s="4" t="s">
        <v>74</v>
      </c>
      <c r="E31" s="4" t="s">
        <v>120</v>
      </c>
      <c r="F31" s="4" t="s">
        <v>121</v>
      </c>
      <c r="G31" s="4" t="s">
        <v>80</v>
      </c>
      <c r="H31" s="4" t="s">
        <v>18</v>
      </c>
      <c r="I31" s="4" t="s">
        <v>122</v>
      </c>
      <c r="J31" s="3"/>
      <c r="K31" s="3"/>
      <c r="L31" s="3"/>
    </row>
    <row r="32" customFormat="false" ht="23.85" hidden="false" customHeight="false" outlineLevel="0" collapsed="false">
      <c r="A32" s="2" t="n">
        <v>31</v>
      </c>
      <c r="B32" s="2" t="s">
        <v>123</v>
      </c>
      <c r="C32" s="2" t="s">
        <v>124</v>
      </c>
      <c r="D32" s="2" t="s">
        <v>74</v>
      </c>
      <c r="E32" s="2" t="s">
        <v>16</v>
      </c>
      <c r="F32" s="2" t="s">
        <v>16</v>
      </c>
      <c r="G32" s="2" t="s">
        <v>80</v>
      </c>
      <c r="H32" s="2" t="s">
        <v>31</v>
      </c>
      <c r="I32" s="2" t="s">
        <v>125</v>
      </c>
      <c r="J32" s="3"/>
      <c r="K32" s="3"/>
      <c r="L32" s="3"/>
    </row>
    <row r="33" customFormat="false" ht="23.85" hidden="false" customHeight="false" outlineLevel="0" collapsed="false">
      <c r="A33" s="4" t="n">
        <v>32</v>
      </c>
      <c r="B33" s="4" t="s">
        <v>126</v>
      </c>
      <c r="C33" s="4" t="s">
        <v>127</v>
      </c>
      <c r="D33" s="4" t="s">
        <v>74</v>
      </c>
      <c r="E33" s="4" t="s">
        <v>16</v>
      </c>
      <c r="F33" s="4" t="s">
        <v>16</v>
      </c>
      <c r="G33" s="4" t="s">
        <v>80</v>
      </c>
      <c r="H33" s="4" t="s">
        <v>31</v>
      </c>
      <c r="I33" s="4" t="s">
        <v>128</v>
      </c>
      <c r="J33" s="3"/>
      <c r="K33" s="3"/>
      <c r="L33" s="3"/>
    </row>
    <row r="34" customFormat="false" ht="23.85" hidden="false" customHeight="false" outlineLevel="0" collapsed="false">
      <c r="A34" s="2" t="n">
        <v>33</v>
      </c>
      <c r="B34" s="2" t="s">
        <v>129</v>
      </c>
      <c r="C34" s="2" t="s">
        <v>130</v>
      </c>
      <c r="D34" s="2" t="s">
        <v>74</v>
      </c>
      <c r="E34" s="2" t="s">
        <v>16</v>
      </c>
      <c r="F34" s="2" t="s">
        <v>16</v>
      </c>
      <c r="G34" s="2" t="s">
        <v>80</v>
      </c>
      <c r="H34" s="2" t="s">
        <v>31</v>
      </c>
      <c r="I34" s="2" t="s">
        <v>131</v>
      </c>
      <c r="J34" s="3"/>
      <c r="K34" s="3"/>
      <c r="L34" s="3"/>
    </row>
    <row r="35" customFormat="false" ht="23.85" hidden="false" customHeight="false" outlineLevel="0" collapsed="false">
      <c r="A35" s="4" t="n">
        <v>34</v>
      </c>
      <c r="B35" s="4" t="s">
        <v>132</v>
      </c>
      <c r="C35" s="4" t="s">
        <v>133</v>
      </c>
      <c r="D35" s="4" t="s">
        <v>134</v>
      </c>
      <c r="E35" s="4"/>
      <c r="F35" s="4"/>
      <c r="G35" s="4"/>
      <c r="H35" s="4" t="s">
        <v>133</v>
      </c>
      <c r="I35" s="4" t="s">
        <v>135</v>
      </c>
      <c r="J35" s="3"/>
      <c r="K35" s="3"/>
      <c r="L35" s="3"/>
    </row>
    <row r="36" customFormat="false" ht="23.85" hidden="false" customHeight="false" outlineLevel="0" collapsed="false">
      <c r="A36" s="2" t="n">
        <v>35</v>
      </c>
      <c r="B36" s="2" t="s">
        <v>136</v>
      </c>
      <c r="C36" s="2" t="s">
        <v>133</v>
      </c>
      <c r="D36" s="2" t="s">
        <v>134</v>
      </c>
      <c r="E36" s="2"/>
      <c r="F36" s="2"/>
      <c r="G36" s="2"/>
      <c r="H36" s="2" t="s">
        <v>133</v>
      </c>
      <c r="I36" s="2" t="s">
        <v>137</v>
      </c>
      <c r="J36" s="3"/>
      <c r="K36" s="3"/>
      <c r="L36" s="3"/>
    </row>
    <row r="37" customFormat="false" ht="35.05" hidden="false" customHeight="false" outlineLevel="0" collapsed="false">
      <c r="A37" s="4" t="n">
        <v>36</v>
      </c>
      <c r="B37" s="4" t="s">
        <v>138</v>
      </c>
      <c r="C37" s="4" t="s">
        <v>133</v>
      </c>
      <c r="D37" s="4" t="s">
        <v>134</v>
      </c>
      <c r="E37" s="4"/>
      <c r="F37" s="4"/>
      <c r="G37" s="4"/>
      <c r="H37" s="4" t="s">
        <v>133</v>
      </c>
      <c r="I37" s="4"/>
      <c r="J37" s="3"/>
      <c r="K37" s="3"/>
      <c r="L37" s="3"/>
    </row>
    <row r="38" customFormat="false" ht="35.05" hidden="false" customHeight="false" outlineLevel="0" collapsed="false">
      <c r="A38" s="2" t="n">
        <v>37</v>
      </c>
      <c r="B38" s="2" t="s">
        <v>139</v>
      </c>
      <c r="C38" s="2" t="s">
        <v>133</v>
      </c>
      <c r="D38" s="2" t="s">
        <v>134</v>
      </c>
      <c r="E38" s="2"/>
      <c r="F38" s="2"/>
      <c r="G38" s="2"/>
      <c r="H38" s="2" t="s">
        <v>133</v>
      </c>
      <c r="I38" s="2"/>
      <c r="J38" s="3"/>
      <c r="K38" s="3"/>
      <c r="L38" s="3"/>
    </row>
    <row r="39" customFormat="false" ht="35.05" hidden="false" customHeight="false" outlineLevel="0" collapsed="false">
      <c r="A39" s="4" t="n">
        <v>38</v>
      </c>
      <c r="B39" s="4" t="s">
        <v>140</v>
      </c>
      <c r="C39" s="4" t="s">
        <v>133</v>
      </c>
      <c r="D39" s="4" t="s">
        <v>134</v>
      </c>
      <c r="E39" s="4"/>
      <c r="F39" s="4"/>
      <c r="G39" s="4"/>
      <c r="H39" s="4" t="s">
        <v>133</v>
      </c>
      <c r="I39" s="4"/>
      <c r="J39" s="3"/>
      <c r="K39" s="3"/>
      <c r="L39" s="3"/>
    </row>
    <row r="40" customFormat="false" ht="23.85" hidden="false" customHeight="false" outlineLevel="0" collapsed="false">
      <c r="A40" s="2" t="n">
        <v>39</v>
      </c>
      <c r="B40" s="2" t="s">
        <v>141</v>
      </c>
      <c r="C40" s="2" t="s">
        <v>133</v>
      </c>
      <c r="D40" s="2" t="s">
        <v>134</v>
      </c>
      <c r="E40" s="2"/>
      <c r="F40" s="2"/>
      <c r="G40" s="2"/>
      <c r="H40" s="2" t="s">
        <v>133</v>
      </c>
      <c r="I40" s="2"/>
      <c r="J40" s="3"/>
      <c r="K40" s="3"/>
      <c r="L40" s="3"/>
    </row>
    <row r="41" customFormat="false" ht="35.05" hidden="false" customHeight="false" outlineLevel="0" collapsed="false">
      <c r="A41" s="4" t="n">
        <v>40</v>
      </c>
      <c r="B41" s="4" t="s">
        <v>142</v>
      </c>
      <c r="C41" s="4" t="s">
        <v>133</v>
      </c>
      <c r="D41" s="4" t="s">
        <v>134</v>
      </c>
      <c r="E41" s="4"/>
      <c r="F41" s="4"/>
      <c r="G41" s="4"/>
      <c r="H41" s="4" t="s">
        <v>133</v>
      </c>
      <c r="I41" s="4" t="s">
        <v>143</v>
      </c>
      <c r="J41" s="3"/>
      <c r="K41" s="3"/>
      <c r="L41" s="3"/>
    </row>
  </sheetData>
  <autoFilter ref="A1:L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23.85" hidden="false" customHeight="false" outlineLevel="0" collapsed="false">
      <c r="A1" s="5" t="s">
        <v>144</v>
      </c>
      <c r="B1" s="6" t="s">
        <v>145</v>
      </c>
    </row>
    <row r="2" customFormat="false" ht="15" hidden="false" customHeight="false" outlineLevel="0" collapsed="false">
      <c r="A2" s="5" t="s">
        <v>146</v>
      </c>
      <c r="B2" s="6" t="s">
        <v>147</v>
      </c>
    </row>
    <row r="3" customFormat="false" ht="15" hidden="false" customHeight="false" outlineLevel="0" collapsed="false">
      <c r="A3" s="5" t="s">
        <v>148</v>
      </c>
      <c r="B3" s="6" t="s">
        <v>149</v>
      </c>
    </row>
    <row r="4" customFormat="false" ht="15" hidden="false" customHeight="false" outlineLevel="0" collapsed="false">
      <c r="A4" s="5" t="s">
        <v>150</v>
      </c>
      <c r="B4" s="6" t="s">
        <v>151</v>
      </c>
    </row>
    <row r="5" customFormat="false" ht="15" hidden="false" customHeight="false" outlineLevel="0" collapsed="false">
      <c r="A5" s="5" t="s">
        <v>152</v>
      </c>
      <c r="B5" s="6" t="s">
        <v>153</v>
      </c>
    </row>
    <row r="6" customFormat="false" ht="35.05" hidden="false" customHeight="false" outlineLevel="0" collapsed="false">
      <c r="A6" s="5" t="s">
        <v>7</v>
      </c>
      <c r="B6" s="6" t="s">
        <v>154</v>
      </c>
    </row>
    <row r="7" customFormat="false" ht="23.85" hidden="false" customHeight="false" outlineLevel="0" collapsed="false">
      <c r="A7" s="5" t="s">
        <v>155</v>
      </c>
      <c r="B7" s="6" t="s">
        <v>156</v>
      </c>
    </row>
    <row r="8" customFormat="false" ht="23.85" hidden="false" customHeight="false" outlineLevel="0" collapsed="false">
      <c r="A8" s="5" t="s">
        <v>157</v>
      </c>
      <c r="B8" s="6" t="s">
        <v>158</v>
      </c>
    </row>
    <row r="9" customFormat="false" ht="15" hidden="false" customHeight="false" outlineLevel="0" collapsed="false">
      <c r="A9" s="5" t="s">
        <v>159</v>
      </c>
      <c r="B9" s="6" t="s">
        <v>160</v>
      </c>
    </row>
    <row r="10" customFormat="false" ht="23.85" hidden="false" customHeight="false" outlineLevel="0" collapsed="false">
      <c r="A10" s="5" t="s">
        <v>161</v>
      </c>
      <c r="B10" s="6" t="s">
        <v>162</v>
      </c>
    </row>
    <row r="11" customFormat="false" ht="15" hidden="false" customHeight="false" outlineLevel="0" collapsed="false">
      <c r="A11" s="5" t="s">
        <v>163</v>
      </c>
      <c r="B11" s="6"/>
    </row>
    <row r="12" customFormat="false" ht="15" hidden="false" customHeight="false" outlineLevel="0" collapsed="false">
      <c r="A12" s="5" t="s">
        <v>164</v>
      </c>
      <c r="B12" s="7" t="n">
        <f aca="false">COUNTA(Ortsliste!B2:B41)</f>
        <v>40</v>
      </c>
    </row>
    <row r="13" customFormat="false" ht="15" hidden="false" customHeight="false" outlineLevel="0" collapsed="false">
      <c r="A13" s="5" t="s">
        <v>146</v>
      </c>
      <c r="B13" s="7" t="n">
        <f aca="false">COUNTIF(Ortsliste!D2:D41,"A")</f>
        <v>7</v>
      </c>
    </row>
    <row r="14" customFormat="false" ht="15" hidden="false" customHeight="false" outlineLevel="0" collapsed="false">
      <c r="A14" s="5" t="s">
        <v>148</v>
      </c>
      <c r="B14" s="7" t="n">
        <f aca="false">COUNTIF(Ortsliste!D2:D41,"B")</f>
        <v>11</v>
      </c>
    </row>
    <row r="15" customFormat="false" ht="15" hidden="false" customHeight="false" outlineLevel="0" collapsed="false">
      <c r="A15" s="5" t="s">
        <v>150</v>
      </c>
      <c r="B15" s="7" t="n">
        <f aca="false">COUNTIF(Ortsliste!D2:D41,"C")</f>
        <v>15</v>
      </c>
    </row>
    <row r="16" customFormat="false" ht="15" hidden="false" customHeight="false" outlineLevel="0" collapsed="false">
      <c r="A16" s="5" t="s">
        <v>165</v>
      </c>
      <c r="B16" s="7" t="n">
        <f aca="false">COUNTIF(Ortsliste!D2:D41,"D")</f>
        <v>7</v>
      </c>
    </row>
    <row r="17" customFormat="false" ht="15" hidden="false" customHeight="false" outlineLevel="0" collapsed="false">
      <c r="A17" s="5" t="s">
        <v>166</v>
      </c>
      <c r="B17" s="7" t="n">
        <f aca="false">COUNTA(Ortsliste!K2:K41)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2026-07-24T13:53:34Z</dcterms:created>
  <dc:creator>openpyxl</dc:creator>
  <dc:description/>
  <dc:language>en-US</dc:language>
  <cp:lastModifiedBy/>
  <dcterms:modified xsi:type="dcterms:W3CDTF">2026-07-24T13:53:34Z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