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Die zwölf zuerst" sheetId="2" state="visible" r:id="rId4"/>
    <sheet name="Alle 95" sheetId="3" state="visible" r:id="rId5"/>
    <sheet name="Auswertu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<sst xmlns="http://schemas.openxmlformats.org/spreadsheetml/2006/main" count="547" uniqueCount="481">
  <si>
    <t xml:space="preserve">Prüfliste der Festlegungen — Entscheidung Nr. 68</t>
  </si>
  <si>
    <t xml:space="preserve">Stand 21.09.2026 · 95 Festlegungen (FV-01 bis FV-95) aus der Produktspezifikation · Quelle: produktspezifikation.md, Abschnitt 18</t>
  </si>
  <si>
    <t xml:space="preserve">Was das ist</t>
  </si>
  <si>
    <t xml:space="preserve">Wo Handbuch A schweigt, musste die Spezifikation entscheiden — 95-mal. Jede Festlegung ist als FV markiert, damit sichtbar bleibt: das war die KI, nicht das Handbuch. Du bestätigst oder änderst sie hier.</t>
  </si>
  <si>
    <t xml:space="preserve">Wie du vorgehst</t>
  </si>
  <si>
    <t xml:space="preserve">1. Blatt „Die zwölf zuerst“: je drei Möglichkeiten, A ist der heutige Stand. Trag in die gelbe Spalte A, B, C oder „eigene“ ein. 2. Blatt „Alle 95“: nur wenn Zeit ist — „passt“, „ändern“ oder „unklar“. 3. Blatt „Auswertung“ zählt von selbst mit.</t>
  </si>
  <si>
    <t xml:space="preserve">Gelbe Felder</t>
  </si>
  <si>
    <t xml:space="preserve">Nur die gelben Zellen sind für dich. Alles andere rechnet sich oder ist Text.</t>
  </si>
  <si>
    <t xml:space="preserve">Was „passt“ heißt</t>
  </si>
  <si>
    <t xml:space="preserve">Die Festlegung gilt so. Keine Begründung nötig.</t>
  </si>
  <si>
    <t xml:space="preserve">Was „ändern“ heißt</t>
  </si>
  <si>
    <t xml:space="preserve">Bitte in die Kommentarspalte schreiben, was stattdessen gelten soll — ein Satz reicht.</t>
  </si>
  <si>
    <t xml:space="preserve">Neu seit dem 19.09.</t>
  </si>
  <si>
    <t xml:space="preserve">FV-91 bis FV-95 kamen am 20. und 21.09.2026 hinzu (Kontaktservice, Codes, Wiederherstellung, Mobilnummer). FV-65 ist durch Nr. 66 ersetzt, FV-70 durch Nr. 48 und Nr. 77 — beide stehen nur noch zur Vollständigkeit da; „passt“ genügt.</t>
  </si>
  <si>
    <t xml:space="preserve">Was danach passiert</t>
  </si>
  <si>
    <t xml:space="preserve">Deine Rückmeldung geht zurück an die KI; sie ändert die Spezifikation, die Parameter und die betroffenen Texte und protokolliert es.</t>
  </si>
  <si>
    <t xml:space="preserve">Farben</t>
  </si>
  <si>
    <t xml:space="preserve">von dir auszufüllen</t>
  </si>
  <si>
    <t xml:space="preserve">Hinweis, meine Empfehlung</t>
  </si>
  <si>
    <t xml:space="preserve">Stellhebel (hier keine)</t>
  </si>
  <si>
    <t xml:space="preserve">NEU AM 26.09.2026: Die zwölf aus dem Blatt „Die zwölf zuerst" stehen jetzt ausführlich in festlegungen-die-zwoelf-ausfuehrlich.md — je Festlegung mit Beispielsituation, allen Möglichkeiten im Klartext, Kosten (Bauzeit, Geld, Rechtsrisiko, Schutz), dem Einwand gegen die Empfehlung und der Angabe, ob sie später noch änderbar ist. Grund: Die Kurzform in diesem Blatt reichte zum Entscheiden nicht aus.</t>
  </si>
  <si>
    <t xml:space="preserve">WICHTIGSTES ERGEBNIS DARAUS: Nur zwei der zwölf müssen jetzt entschieden werden, weil sie an das Datenmodell gehen — FV-23 (wie das Alter gespeichert wird) und FV-77 (was mit gemeinsamen Gesprächen bei einer Kontolöschung geschieht). Die übrigen zehn sind Parameter oder Bildschirme und lassen sich auch später noch ändern.</t>
  </si>
  <si>
    <t xml:space="preserve">ALLE ZWÖLF SIND AM 27.09.2026 BEANTWORTET — die Spalte „Deine Wahl" im Blatt „Die zwölf zuerst" ist gefüllt. FV-87 B · FV-23 B · FV-17 B (unter Vorbehalt der Anwaltsprüfung K6) · FV-15 B · FV-01 A · FV-46 A, in der Testphase 5 · FV-57 A als Voreinstellung plus zwei wählbare Stellungen · FV-86 A · FV-77 A plus Nachlauffrist · FV-71 C · FV-34 B · FV-29 freie Wahl der Dauer. Drei davon sind neue Mechanik und stehen als FV-96 und FV-97 in der Spezifikation. Herleitung: 01-steuerung/beschluesse-2026-09-27.md, Abschnitt 8.</t>
  </si>
  <si>
    <t xml:space="preserve">Die zwölf folgenschwersten Festlegungen — zuerst prüfen</t>
  </si>
  <si>
    <t xml:space="preserve">A ist immer der heutige Stand. Trag in Spalte I ein: A, B, C oder eigene (dann Spalte J).</t>
  </si>
  <si>
    <t xml:space="preserve">Rang</t>
  </si>
  <si>
    <t xml:space="preserve">FV</t>
  </si>
  <si>
    <t xml:space="preserve">Worum es geht</t>
  </si>
  <si>
    <t xml:space="preserve">A — heute festgelegt</t>
  </si>
  <si>
    <t xml:space="preserve">B</t>
  </si>
  <si>
    <t xml:space="preserve">C</t>
  </si>
  <si>
    <t xml:space="preserve">Empfehlung</t>
  </si>
  <si>
    <t xml:space="preserve">Warum es folgenschwer ist</t>
  </si>
  <si>
    <t xml:space="preserve">Deine Wahl</t>
  </si>
  <si>
    <t xml:space="preserve">Kommentar</t>
  </si>
  <si>
    <t xml:space="preserve">FV-87</t>
  </si>
  <si>
    <t xml:space="preserve">Wie bestätigt man sich vor dem privaten Bereich?</t>
  </si>
  <si>
    <t xml:space="preserve">Geräteschlüssel (Passkey) oder Gerätesperre, je Sitzung und nach einer Pause</t>
  </si>
  <si>
    <t xml:space="preserve">Nur gerätegebundene Schlüssel, die NICHT synchronisiert werden — nichts verlässt das Gerät</t>
  </si>
  <si>
    <t xml:space="preserve">Nur die Gerätesperre (PIN, Fingerabdruck, Gesicht des Telefons)</t>
  </si>
  <si>
    <t xml:space="preserve">Du hast Passkeys am 21.09. ausgeschlossen (Nr. 69). Synchronisierte Passkeys laufen über Apple oder Google. B hält die Authentifizierung, die das KJM-Raster verlangt, ohne US-Dienst.</t>
  </si>
  <si>
    <t xml:space="preserve">FV-23</t>
  </si>
  <si>
    <t xml:space="preserve">Wie wird das Profilalter gespeichert?</t>
  </si>
  <si>
    <t xml:space="preserve">Als Monat und Jahr der Geburt — zählt von selbst weiter</t>
  </si>
  <si>
    <t xml:space="preserve">Nur die Zahl; einmal im Jahr zur Bestätigung vorgelegt</t>
  </si>
  <si>
    <t xml:space="preserve">Nur ein Altersband (18–25, 26–35, 36–50, über 50)</t>
  </si>
  <si>
    <t xml:space="preserve">Ein Geburtsmonat ist zusammen mit einer Stadt ein halbes Identifizierungsmerkmal. Du hast gesagt: gefiltert wird nach Alter, geprüft wird nur 18+. Dafür reicht die Zahl.</t>
  </si>
  <si>
    <t xml:space="preserve">FV-17</t>
  </si>
  <si>
    <t xml:space="preserve">Was geschieht bei „nicht volljährig“?</t>
  </si>
  <si>
    <t xml:space="preserve">Konto sofort gesperrt und ohne Karenz gelöscht</t>
  </si>
  <si>
    <t xml:space="preserve">Sofort gesperrt; Löschung nach 7 Tagen, in denen ein Einspruch mit Ausweis möglich ist</t>
  </si>
  <si>
    <t xml:space="preserve">Sofort gesperrt und gelöscht, Einspruch nur über ein neues Konto mit Ausweisprüfung</t>
  </si>
  <si>
    <t xml:space="preserve">A</t>
  </si>
  <si>
    <t xml:space="preserve">Daten Minderjähriger schnell loswerden gegen Fehlmessungen der Schätzung. A ist am sichersten für den Jugendschutz; B ist freundlicher zu 19-Jährigen, die jünger aussehen. Anwaltsfrage K6 hängt daran.</t>
  </si>
  <si>
    <t xml:space="preserve">B (Vorbehalt K6)</t>
  </si>
  <si>
    <t xml:space="preserve">FV-15</t>
  </si>
  <si>
    <t xml:space="preserve">Welche Wege gibt es für die Altersprüfung (Stufe 1)?</t>
  </si>
  <si>
    <t xml:space="preserve">Immer mindestens zwei, einer ohne Biometrie; unter der Schätzschwelle folgt der Ausweisweg</t>
  </si>
  <si>
    <t xml:space="preserve">Wie A, und ab 2027 zusätzlich die staatliche Brieftasche d-you</t>
  </si>
  <si>
    <t xml:space="preserve">Nur Brieftasche und Online-Ausweis — keine Gesichtsschätzung</t>
  </si>
  <si>
    <t xml:space="preserve">d-you erfüllt G-01 vollständig und ist kostenlos. C wäre am datensparsamsten, schließt aber alle aus, die weder Brieftasche noch Online-Ausweis nutzen.</t>
  </si>
  <si>
    <t xml:space="preserve">FV-01</t>
  </si>
  <si>
    <t xml:space="preserve">Welche Standortgenauigkeit ist voreingestellt?</t>
  </si>
  <si>
    <t xml:space="preserve">„Grob“ — die gröbste Stufe, Nutzer stellen selbst genauer</t>
  </si>
  <si>
    <t xml:space="preserve">„Nah“ — genauer voreingestellt, Nutzer stellen selbst gröber</t>
  </si>
  <si>
    <t xml:space="preserve">Beim ersten Start fragen, ohne Voreinstellung</t>
  </si>
  <si>
    <t xml:space="preserve">Du hast geschrieben, ohne Entfernung verliere es den Reiz. Eine Entfernung gibt es aber in jeder Stufe — die Stufe bestimmt nur die Zellgröße. A ist Datenschutz durch Voreinstellung (Art. 25 DSGVO).</t>
  </si>
  <si>
    <t xml:space="preserve">FV-46</t>
  </si>
  <si>
    <t xml:space="preserve">Ab wie vielen Personen zeigt die Karte eine Gruppe?</t>
  </si>
  <si>
    <t xml:space="preserve">Ab 10 Personen (P-CLUSTER-MIN)</t>
  </si>
  <si>
    <t xml:space="preserve">Ab 5 — die Karte ist früher lebendig</t>
  </si>
  <si>
    <t xml:space="preserve">Ab 20 — sicherer, aber in kleinen Städten lange leer</t>
  </si>
  <si>
    <t xml:space="preserve">Je kleiner die Gruppe, desto leichter lässt sich aus „3 Personen am Park“ auf einzelne schließen. 10 ist der Kompromiss zwischen Leben auf der Karte und Schutz.</t>
  </si>
  <si>
    <t xml:space="preserve">A, im Test 5</t>
  </si>
  <si>
    <t xml:space="preserve">FV-57</t>
  </si>
  <si>
    <t xml:space="preserve">Wann darf man im Gespräch Bilder schicken?</t>
  </si>
  <si>
    <t xml:space="preserve">Erst, wenn beide Seiten Text geschrieben haben</t>
  </si>
  <si>
    <t xml:space="preserve">Erst, wenn die empfangende Seite Bilder ausdrücklich zulässt</t>
  </si>
  <si>
    <t xml:space="preserve">Sofort, ohne Einschränkung</t>
  </si>
  <si>
    <t xml:space="preserve">Ungefragte Nacktbilder sind der häufigste Grund, warum Menschen solche Apps verlassen. A verhindert das erste ungefragte Bild; B ist strenger, aber ein zusätzlicher Schritt in jedem Gespräch.</t>
  </si>
  <si>
    <t xml:space="preserve">A + zwei wählbare Stellungen</t>
  </si>
  <si>
    <t xml:space="preserve">FV-86</t>
  </si>
  <si>
    <t xml:space="preserve">Was sieht jemand, der Bilder noch nicht empfangen darf?</t>
  </si>
  <si>
    <t xml:space="preserve">Eine geschlossene Kachel; der Absender erfährt nichts</t>
  </si>
  <si>
    <t xml:space="preserve">Eine geschlossene Kachel; der Absender sieht „kann noch keine Bilder empfangen“</t>
  </si>
  <si>
    <t xml:space="preserve">Das Senden ist gar nicht erst möglich</t>
  </si>
  <si>
    <t xml:space="preserve">B verrät dem Absender den Prüfstand des Empfängers — eine Information über eine andere Person. A schützt das, auf Kosten von Verwirrung beim Absender.</t>
  </si>
  <si>
    <t xml:space="preserve">A + allgemeiner Hinweis</t>
  </si>
  <si>
    <t xml:space="preserve">FV-77</t>
  </si>
  <si>
    <t xml:space="preserve">Was geschieht mit gemeinsamen Gesprächen, wenn jemand sein Konto löscht?</t>
  </si>
  <si>
    <t xml:space="preserve">Alles wird gelöscht, auch die Nachrichten der Gegenseite im selben Gespräch</t>
  </si>
  <si>
    <t xml:space="preserve">Die Gegenseite behält ihre eigenen Nachrichten; die der gelöschten Person verschwinden</t>
  </si>
  <si>
    <t xml:space="preserve">Die Gegenseite behält das ganze Gespräch bis zu ihrer eigenen Löschung</t>
  </si>
  <si>
    <t xml:space="preserve">A ist maximal datensparsam, nimmt der Gegenseite aber, was sie selbst geschrieben hat — auch mögliche Beweise. C ist bequem, aber dann ist Löschen nicht Löschen. Anwaltsfrage AF-09.</t>
  </si>
  <si>
    <t xml:space="preserve">A + Nachlauffrist</t>
  </si>
  <si>
    <t xml:space="preserve">FV-71</t>
  </si>
  <si>
    <t xml:space="preserve">Was geschieht mit dem Gespräch, wenn eine Blockierung endgültig wird?</t>
  </si>
  <si>
    <t xml:space="preserve">Das Gespräch wird gelöscht (außer gesicherten Fallinhalten)</t>
  </si>
  <si>
    <t xml:space="preserve">Das Gespräch bleibt für die blockierende Person lesbar, bis sie es selbst löscht</t>
  </si>
  <si>
    <t xml:space="preserve">Das Gespräch wird gelöscht, vorher wird angeboten, es zu melden</t>
  </si>
  <si>
    <t xml:space="preserve">Wer blockiert, hat oft einen Grund. Wird das Gespräch still gelöscht, ist der Beweis weg, bevor jemand an eine Meldung denkt. C bewahrt ihn nur, wenn die Person es will.</t>
  </si>
  <si>
    <t xml:space="preserve">FV-34</t>
  </si>
  <si>
    <t xml:space="preserve">Ab wann landet jemand im untersten Band der Antwortquote?</t>
  </si>
  <si>
    <t xml:space="preserve">Band 1 ab 70 %, Band 2 ab 30 %, darunter Band 3; mindestens 5 gewertete Nachrichten, 28 Tage</t>
  </si>
  <si>
    <t xml:space="preserve">Mildere Grenzen: Band 1 ab 60 %, Band 2 ab 20 %</t>
  </si>
  <si>
    <t xml:space="preserve">Band 3 wird berechnet, aber nicht angezeigt — dort steht „keine Angabe“</t>
  </si>
  <si>
    <t xml:space="preserve">Das dritte Band kann beschämen (A-14). C berührt die Vorgabe „drei Bänder“ aus Handbuch A. B mildert, ohne die Vorgabe zu verletzen. Endgültig nach den Interviews.</t>
  </si>
  <si>
    <t xml:space="preserve">FV-29</t>
  </si>
  <si>
    <t xml:space="preserve">Wie lange gilt eine Absicht?</t>
  </si>
  <si>
    <t xml:space="preserve">„Heute Abend“ bis 4 Uhr früh, „Nur schreiben“ sieben Tage</t>
  </si>
  <si>
    <t xml:space="preserve">„Heute Abend“ bis 6 Uhr früh</t>
  </si>
  <si>
    <t xml:space="preserve">Die Person wählt selbst, wie lange</t>
  </si>
  <si>
    <t xml:space="preserve">Klein, aber jeden Abend spürbar. Endgültig nach den Interviews (A-19); bis dahin der sparsamste Wert.</t>
  </si>
  <si>
    <t xml:space="preserve">freie Wahl der Dauer</t>
  </si>
  <si>
    <t xml:space="preserve">Alle 95 Festlegungen</t>
  </si>
  <si>
    <t xml:space="preserve">Die zwölf aus dem ersten Blatt sind markiert und müssen hier nicht noch einmal beantwortet werden.</t>
  </si>
  <si>
    <t xml:space="preserve">Festlegung</t>
  </si>
  <si>
    <t xml:space="preserve">Wo</t>
  </si>
  <si>
    <t xml:space="preserve">Begründung</t>
  </si>
  <si>
    <t xml:space="preserve">Unter den zwölf</t>
  </si>
  <si>
    <t xml:space="preserve">Deine Rückmeldung</t>
  </si>
  <si>
    <t xml:space="preserve">Drei Standortstufen: Grob (Voreinstellung), Nah, Aus — Namen vorläufig.</t>
  </si>
  <si>
    <t xml:space="preserve">F69, F70</t>
  </si>
  <si>
    <t xml:space="preserve">Handbuch A benennt die Stufen nicht; [A-19]</t>
  </si>
  <si>
    <t xml:space="preserve">ja — siehe erstes Blatt</t>
  </si>
  <si>
    <t xml:space="preserve">FV-02</t>
  </si>
  <si>
    <t xml:space="preserve">Positionen werden sofort auf den Mittelpunkt einer Rasterzelle gerundet; nur dieser wird gespeichert, und alle Entfernungen gehen von Zellmittelpunkten aus.</t>
  </si>
  <si>
    <t xml:space="preserve">F70</t>
  </si>
  <si>
    <t xml:space="preserve">Macht „Trilateration konstruktiv ausgeschlossen“ prüfbar</t>
  </si>
  <si>
    <t xml:space="preserve">FV-03</t>
  </si>
  <si>
    <t xml:space="preserve">„Nähe“ sind die Bänder bis 10 km, „Weiter weg“ das Band über 10 km.</t>
  </si>
  <si>
    <t xml:space="preserve">F25</t>
  </si>
  <si>
    <t xml:space="preserve">Passt zu den vier Bändern und zum 10-km-Raster</t>
  </si>
  <si>
    <t xml:space="preserve">FV-04</t>
  </si>
  <si>
    <t xml:space="preserve">Bei Gleichstand: Aktivitätsband, dann täglich neu gemischte Zufallsreihenfolge — beides nachlesbar.</t>
  </si>
  <si>
    <t xml:space="preserve">F24, Q-03</t>
  </si>
  <si>
    <t xml:space="preserve">Prinzip 5; keine Rangfolge nach Metern</t>
  </si>
  <si>
    <t xml:space="preserve">FV-05</t>
  </si>
  <si>
    <t xml:space="preserve">Ein „Ort“ im Sinne von Prinzip 7 ist der eine Ablauf oder Bildschirm, an dem eine Handlung ausgeführt wird; Aufrufe aus dem Zusammenhang sind keine zweiten Orte.</t>
  </si>
  <si>
    <t xml:space="preserve">Q-05, F54, F62</t>
  </si>
  <si>
    <t xml:space="preserve">Löst Prinzip 7 gegen F54 auf, ohne eines von beiden zu ändern</t>
  </si>
  <si>
    <t xml:space="preserve">FV-06</t>
  </si>
  <si>
    <t xml:space="preserve">Der Schalter für die Antwortquote steht nur im Profil-Editor.</t>
  </si>
  <si>
    <t xml:space="preserve">Q-05, F19</t>
  </si>
  <si>
    <t xml:space="preserve">A-15 führt ihn doppelt</t>
  </si>
  <si>
    <t xml:space="preserve">FV-07</t>
  </si>
  <si>
    <t xml:space="preserve">Kennzahlen entstehen serverseitig; Messung im Client nur mit Einwilligung.</t>
  </si>
  <si>
    <t xml:space="preserve">Q-10, F71</t>
  </si>
  <si>
    <t xml:space="preserve">§ 25 TDDDG; Handbuch A, Rechtsauflagen</t>
  </si>
  <si>
    <t xml:space="preserve">FV-08</t>
  </si>
  <si>
    <t xml:space="preserve">Ein zustande gekommener Kontakt ist ein Gespräch, in dem beide Seiten geschrieben haben; eine Absage allein zählt nicht.</t>
  </si>
  <si>
    <t xml:space="preserve">Q-16</t>
  </si>
  <si>
    <t xml:space="preserve">Handbuch A definiert die Leitkennzahl nicht</t>
  </si>
  <si>
    <t xml:space="preserve">FV-09</t>
  </si>
  <si>
    <t xml:space="preserve">Monatsarchive der Kennzahlen enthalten nur Summen je Kohorte.</t>
  </si>
  <si>
    <t xml:space="preserve">Löschbarkeit (F68) und Kennzahlenhistorie zugleich</t>
  </si>
  <si>
    <t xml:space="preserve">FV-10</t>
  </si>
  <si>
    <t xml:space="preserve">Gastmodus mit Standortabfrage nach S14, sonst Stadtwahl ohne Bänder; keine Ortung über die Netzadresse.</t>
  </si>
  <si>
    <t xml:space="preserve">F01</t>
  </si>
  <si>
    <t xml:space="preserve">Handbuch A legt es nicht fest (A-15, S01)</t>
  </si>
  <si>
    <t xml:space="preserve">FV-11</t>
  </si>
  <si>
    <t xml:space="preserve">Gäste sehen nur unkenntliche Fotos, keine Namen, keine Antwortquote, kein Aktivitätsband.</t>
  </si>
  <si>
    <t xml:space="preserve">Schutz vor Abgreifen durch Personen ohne Konto</t>
  </si>
  <si>
    <t xml:space="preserve">FV-12</t>
  </si>
  <si>
    <t xml:space="preserve">Neue Gastsitzung erst nach P-GAST-PAUSE; Begrenzung je Netzadresse.</t>
  </si>
  <si>
    <t xml:space="preserve">Macht die Zeitgrenze von drei Minuten wirksam</t>
  </si>
  <si>
    <t xml:space="preserve">FV-13</t>
  </si>
  <si>
    <t xml:space="preserve">Sechsstelliger Code, begrenzte Gültigkeit und Versuche; Mindestlänge des Passworts; begrenzte Passwort-Anfragen; keine E-Mail an bestehende Adressen bei Registrierungsversuchen.</t>
  </si>
  <si>
    <t xml:space="preserve">F02</t>
  </si>
  <si>
    <t xml:space="preserve">Stand der Technik; Zusage ST-KON-30</t>
  </si>
  <si>
    <t xml:space="preserve">FV-14</t>
  </si>
  <si>
    <t xml:space="preserve">Die App fordert bei Apple keinen Namen an.</t>
  </si>
  <si>
    <t xml:space="preserve">F03</t>
  </si>
  <si>
    <t xml:space="preserve">F02: kein Klarname</t>
  </si>
  <si>
    <t xml:space="preserve">Stufe 1 bietet immer mindestens zwei Wege, einer davon ohne Biometrie; unter der Schätzschwelle folgt der Ausweisweg.</t>
  </si>
  <si>
    <t xml:space="preserve">F04</t>
  </si>
  <si>
    <t xml:space="preserve">Handbuch A: „mehrere Prüfwege anbieten“; Nr. 39</t>
  </si>
  <si>
    <t xml:space="preserve">FV-16</t>
  </si>
  <si>
    <t xml:space="preserve">Vom Ergebnis der Altersprüfung wird nur „ja oder nein“ gespeichert.</t>
  </si>
  <si>
    <t xml:space="preserve">Festgelegte Formulierung „Selfie“; Datenminimierung</t>
  </si>
  <si>
    <t xml:space="preserve">Ein eindeutiges „nicht volljährig“ sperrt das Konto sofort und löscht es ohne Karenz.</t>
  </si>
  <si>
    <t xml:space="preserve">F04, 5.0</t>
  </si>
  <si>
    <t xml:space="preserve">Handbuch A legt es nicht fest; Anwaltsfrage offen</t>
  </si>
  <si>
    <t xml:space="preserve">FV-18</t>
  </si>
  <si>
    <t xml:space="preserve">Neue Fassungen des Community-Vertrags werden vor der nächsten Erstnachricht bestätigt.</t>
  </si>
  <si>
    <t xml:space="preserve">F05</t>
  </si>
  <si>
    <t xml:space="preserve">Nachweis der Zustimmung je Textversion</t>
  </si>
  <si>
    <t xml:space="preserve">FV-19</t>
  </si>
  <si>
    <t xml:space="preserve">Den Fotoabgleich macht der Prüfpartner; das Zeichen ruht bei neuen Fotos und wirkt nicht auf Sortierungen.</t>
  </si>
  <si>
    <t xml:space="preserve">F06</t>
  </si>
  <si>
    <t xml:space="preserve">Handbuch A: „sichtbar belohnt“; Prinzip 5; Nr. 24</t>
  </si>
  <si>
    <t xml:space="preserve">FV-20</t>
  </si>
  <si>
    <t xml:space="preserve">Von einer bestätigten Telefonnummer bleibt nur ein mit geheimem Schlüssel gebildeter Prüfwert.</t>
  </si>
  <si>
    <t xml:space="preserve">F07</t>
  </si>
  <si>
    <t xml:space="preserve">Datenminimierung (Phase 2)</t>
  </si>
  <si>
    <t xml:space="preserve">FV-21</t>
  </si>
  <si>
    <t xml:space="preserve">Zurückgehaltene Erstnachrichten bleiben P-HALTEN auf dem Server und werden nach bestandener Prüfung zugestellt, sonst gelöscht.</t>
  </si>
  <si>
    <t xml:space="preserve">F08, Z-03</t>
  </si>
  <si>
    <t xml:space="preserve">A-14 und A-15 lassen die Zustellung offen</t>
  </si>
  <si>
    <t xml:space="preserve">FV-22</t>
  </si>
  <si>
    <t xml:space="preserve">Der Name ist die einzige Pflichtangabe des Profils, mit fester Höchstlänge und ohne Adressen oder Nummern.</t>
  </si>
  <si>
    <t xml:space="preserve">5.0</t>
  </si>
  <si>
    <t xml:space="preserve">Handbuch A: kein Klarname; A-15: 20 Zeichen</t>
  </si>
  <si>
    <t xml:space="preserve">Das Alter ist eine freiwillige Selbstangabe, nur im Profil sichtbar; unter 18 wird nicht gespeichert.</t>
  </si>
  <si>
    <t xml:space="preserve">5.0, F26</t>
  </si>
  <si>
    <t xml:space="preserve">F26 braucht ein Altersfeld</t>
  </si>
  <si>
    <t xml:space="preserve">FV-24</t>
  </si>
  <si>
    <t xml:space="preserve">Zulässige Bildformate und Höchstgröße; jedes Bild wird neu gerechnet.</t>
  </si>
  <si>
    <t xml:space="preserve">F10</t>
  </si>
  <si>
    <t xml:space="preserve">A-14, Sammelliste Nr. 17</t>
  </si>
  <si>
    <t xml:space="preserve">FV-25</t>
  </si>
  <si>
    <t xml:space="preserve">„Unkenntlich“ gilt je Foto; die Freischaltung gilt für alle unkenntlichen Fotos.</t>
  </si>
  <si>
    <t xml:space="preserve">F11, F12</t>
  </si>
  <si>
    <t xml:space="preserve">A-15, S22</t>
  </si>
  <si>
    <t xml:space="preserve">FV-26</t>
  </si>
  <si>
    <t xml:space="preserve">Das Original eines unkenntlichen Fotos unterliegt vollständig Zone 1.</t>
  </si>
  <si>
    <t xml:space="preserve">F11, M-01</t>
  </si>
  <si>
    <t xml:space="preserve">Die Freischaltung zeigt es mit einem Tipp</t>
  </si>
  <si>
    <t xml:space="preserve">FV-27</t>
  </si>
  <si>
    <t xml:space="preserve">Die freigeschaltete Person sieht die freien Fassungen im Gespräch und im Profil; unsichtbares Wasserzeichen; kurze Gültigkeit der Bildadressen; auch vor der ersten Antwort möglich.</t>
  </si>
  <si>
    <t xml:space="preserve">F12</t>
  </si>
  <si>
    <t xml:space="preserve">Handbuch A: „mit Wasserzeichen“, „Rücknahme wirkt nur vorwärts“</t>
  </si>
  <si>
    <t xml:space="preserve">FV-28</t>
  </si>
  <si>
    <t xml:space="preserve">Farbwahl für die Initiale aus kontraststarken Farben.</t>
  </si>
  <si>
    <t xml:space="preserve">F13</t>
  </si>
  <si>
    <t xml:space="preserve">WCAG AA</t>
  </si>
  <si>
    <t xml:space="preserve">Vorläufige Zeitfenster: „Heute Abend“ bis zum nächsten Morgen um 4 Uhr, „Nur schreiben“ sieben Tage.</t>
  </si>
  <si>
    <t xml:space="preserve">F14</t>
  </si>
  <si>
    <t xml:space="preserve">Handbuch A nennt keine Fenster; [A-19]</t>
  </si>
  <si>
    <t xml:space="preserve">FV-30</t>
  </si>
  <si>
    <t xml:space="preserve">Zwischen 4 und 10 Uhr erscheint die Erneuerungsleiste nicht.</t>
  </si>
  <si>
    <t xml:space="preserve">Auslegung von „Nachtruhe 4–10 Uhr“</t>
  </si>
  <si>
    <t xml:space="preserve">FV-31</t>
  </si>
  <si>
    <t xml:space="preserve">Merkmale sind Einträge eines festen Katalogs, höchstens P-MERKMALE-MAX je Profil.</t>
  </si>
  <si>
    <t xml:space="preserve">F15</t>
  </si>
  <si>
    <t xml:space="preserve">Grundlage der Eisbrecher; Katalog folgt</t>
  </si>
  <si>
    <t xml:space="preserve">FV-32</t>
  </si>
  <si>
    <t xml:space="preserve">Eine nicht sichtbare Geschlechtsidentität wirkt nirgends, auch nicht auf „Wen ich sehen möchte“.</t>
  </si>
  <si>
    <t xml:space="preserve">F16, F17</t>
  </si>
  <si>
    <t xml:space="preserve">Handbuch A: „sichtbar nur auf Wunsch“</t>
  </si>
  <si>
    <t xml:space="preserve">FV-33</t>
  </si>
  <si>
    <t xml:space="preserve">Die Freitextprüfung gibt einen Hinweis und sperrt nicht.</t>
  </si>
  <si>
    <t xml:space="preserve">F18</t>
  </si>
  <si>
    <t xml:space="preserve">Handbuch A (KI-Einsatz): „als Vorschlag“; Entwicklungsauftrag S5</t>
  </si>
  <si>
    <t xml:space="preserve">Rechenregel der Antwortquote: Kalenderwoche, Ausschlüsse, Betrachtungszeitraum, Mindestzahl, vorläufige Grenzen.</t>
  </si>
  <si>
    <t xml:space="preserve">F19</t>
  </si>
  <si>
    <t xml:space="preserve">Handbuch A legt nur die Grundregeln fest</t>
  </si>
  <si>
    <t xml:space="preserve">FV-35</t>
  </si>
  <si>
    <t xml:space="preserve">Definition von „aktiv“ und der fünf Bänder.</t>
  </si>
  <si>
    <t xml:space="preserve">F20</t>
  </si>
  <si>
    <t xml:space="preserve">Handbuch A nennt nur die Bezeichnungen</t>
  </si>
  <si>
    <t xml:space="preserve">FV-36</t>
  </si>
  <si>
    <t xml:space="preserve">Die Merkliste liegt als eigene Zeile im Reiter „Ich“.</t>
  </si>
  <si>
    <t xml:space="preserve">F21</t>
  </si>
  <si>
    <t xml:space="preserve">A-15 nennt keinen Ort</t>
  </si>
  <si>
    <t xml:space="preserve">FV-37</t>
  </si>
  <si>
    <t xml:space="preserve">Gesundheitsangaben mit eigener Einwilligung und nur auf Wunsch sichtbar.</t>
  </si>
  <si>
    <t xml:space="preserve">F22</t>
  </si>
  <si>
    <t xml:space="preserve">Art. 9 DSGVO (Phase 2)</t>
  </si>
  <si>
    <t xml:space="preserve">FV-38</t>
  </si>
  <si>
    <t xml:space="preserve">Die Kachel zeigt zusätzlich nur das Prüfzeichen.</t>
  </si>
  <si>
    <t xml:space="preserve">F23</t>
  </si>
  <si>
    <t xml:space="preserve">F06: „sichtbar belohnt“</t>
  </si>
  <si>
    <t xml:space="preserve">FV-39</t>
  </si>
  <si>
    <t xml:space="preserve">Ohne Standort: Stadtwahl ohne Bänder; die Person selbst ist unsichtbar.</t>
  </si>
  <si>
    <t xml:space="preserve">F23, F69</t>
  </si>
  <si>
    <t xml:space="preserve">Handbuch A legt es nicht fest</t>
  </si>
  <si>
    <t xml:space="preserve">FV-40</t>
  </si>
  <si>
    <t xml:space="preserve">Regeln der vier Sortierungen; „Nähe“ nie nach Metern.</t>
  </si>
  <si>
    <t xml:space="preserve">F24</t>
  </si>
  <si>
    <t xml:space="preserve">Prinzip 5; F70</t>
  </si>
  <si>
    <t xml:space="preserve">FV-41</t>
  </si>
  <si>
    <t xml:space="preserve">Radius in 10-km-Schritten bis zum Ziel oder zur Obergrenze; „Mehr laden“ bei vielen Profilen.</t>
  </si>
  <si>
    <t xml:space="preserve">Handbuch A: Zielgröße, Obergrenze, Rundung</t>
  </si>
  <si>
    <t xml:space="preserve">FV-42</t>
  </si>
  <si>
    <t xml:space="preserve">Der Trefferzähler zählt genau die Profile, die das Raster zeigen würde.</t>
  </si>
  <si>
    <t xml:space="preserve">F26</t>
  </si>
  <si>
    <t xml:space="preserve">Kein Mehrwissen über das Raster hinaus</t>
  </si>
  <si>
    <t xml:space="preserve">FV-43</t>
  </si>
  <si>
    <t xml:space="preserve">„Wochenaktiv“ heißt Aktivitätsband „heute“ oder „diese Woche“; Liste mit Aktivitätsband.</t>
  </si>
  <si>
    <t xml:space="preserve">F27</t>
  </si>
  <si>
    <t xml:space="preserve">Handbuch A: „Asynchrone Liste“</t>
  </si>
  <si>
    <t xml:space="preserve">FV-44</t>
  </si>
  <si>
    <t xml:space="preserve">Reisende erscheinen in der Zielstadt getrennt und ohne Entfernung.</t>
  </si>
  <si>
    <t xml:space="preserve">F28</t>
  </si>
  <si>
    <t xml:space="preserve">Phase 2</t>
  </si>
  <si>
    <t xml:space="preserve">FV-45</t>
  </si>
  <si>
    <t xml:space="preserve">Ersatzinhalte in der Reihenfolge weiter weg, Wochenaktive, „Heute“.</t>
  </si>
  <si>
    <t xml:space="preserve">F29</t>
  </si>
  <si>
    <t xml:space="preserve">Vorschlag aus A-14</t>
  </si>
  <si>
    <t xml:space="preserve">Personengruppen erst ab P-CLUSTER-MIN, Größe in Stufen, seltene Neuberechnung, ohne Personen in Zonen oder mit Stufe „Aus“.</t>
  </si>
  <si>
    <t xml:space="preserve">F30</t>
  </si>
  <si>
    <t xml:space="preserve">Code-Planer: Mindestgröße als Test</t>
  </si>
  <si>
    <t xml:space="preserve">FV-47</t>
  </si>
  <si>
    <t xml:space="preserve">Beanspruchen über eine Weboberfläche mit Prüfung über das Impressum und menschlicher Freigabe; Kennzeichen „vom Ort bestätigt“.</t>
  </si>
  <si>
    <t xml:space="preserve">F31</t>
  </si>
  <si>
    <t xml:space="preserve">Handbuch A, Abschnitt 3</t>
  </si>
  <si>
    <t xml:space="preserve">FV-48</t>
  </si>
  <si>
    <t xml:space="preserve">Vorangelegte Orte werden auf Wunsch des Betreibers entfernt.</t>
  </si>
  <si>
    <t xml:space="preserve">Orte, die nicht gelistet sein wollen</t>
  </si>
  <si>
    <t xml:space="preserve">FV-49</t>
  </si>
  <si>
    <t xml:space="preserve">Ereignisse entstehen im MVP nur redaktionell und mit menschlicher Freigabe.</t>
  </si>
  <si>
    <t xml:space="preserve">F32</t>
  </si>
  <si>
    <t xml:space="preserve">Bauplan 1c: „Ereignisse redaktionell“</t>
  </si>
  <si>
    <t xml:space="preserve">FV-50</t>
  </si>
  <si>
    <t xml:space="preserve">Auch die Zahl der Zusagen sehen nur Zusagende; Erinnerung zur Öffnung der Gruppe.</t>
  </si>
  <si>
    <t xml:space="preserve">A-15, S41</t>
  </si>
  <si>
    <t xml:space="preserve">FV-51</t>
  </si>
  <si>
    <t xml:space="preserve">Ereignisgruppen sind reine Textgruppen.</t>
  </si>
  <si>
    <t xml:space="preserve">F33</t>
  </si>
  <si>
    <t xml:space="preserve">Moderation ohne Bildprüfung in Gruppen</t>
  </si>
  <si>
    <t xml:space="preserve">FV-52</t>
  </si>
  <si>
    <t xml:space="preserve">Der Terminparser schlägt vor, ein Mensch gibt frei; keine Bilder aus E-Mails; E-Mails werden gelöscht.</t>
  </si>
  <si>
    <t xml:space="preserve">F34</t>
  </si>
  <si>
    <t xml:space="preserve">Q-12; Datenminimierung</t>
  </si>
  <si>
    <t xml:space="preserve">FV-53</t>
  </si>
  <si>
    <t xml:space="preserve">Termine aus dem Kalender eines beanspruchten Ortes erscheinen ohne Einzelfreigabe.</t>
  </si>
  <si>
    <t xml:space="preserve">F37</t>
  </si>
  <si>
    <t xml:space="preserve">FV-54</t>
  </si>
  <si>
    <t xml:space="preserve">Höchstlänge einer Nachricht; nur „gesendet“ oder „nicht gesendet“, keine Zustellbestätigung.</t>
  </si>
  <si>
    <t xml:space="preserve">F41</t>
  </si>
  <si>
    <t xml:space="preserve">Streichliste: Lesebestätigung verrät Anwesenheit</t>
  </si>
  <si>
    <t xml:space="preserve">FV-55</t>
  </si>
  <si>
    <t xml:space="preserve">Bilder im Gespräch gehören zu Zone 2 und folgen F43 und Z-03.</t>
  </si>
  <si>
    <t xml:space="preserve">F43 setzt sie voraus</t>
  </si>
  <si>
    <t xml:space="preserve">FV-56</t>
  </si>
  <si>
    <t xml:space="preserve">Regeln für den Wechsel zwischen „Anfragen“ und dem zweiten Postfach.</t>
  </si>
  <si>
    <t xml:space="preserve">F42</t>
  </si>
  <si>
    <t xml:space="preserve">Handbuch A nennt nur „Anfragen“</t>
  </si>
  <si>
    <t xml:space="preserve">Medien erst, wenn beide Seiten Text geschrieben haben; die Freischaltung des Gesichts ist ausgenommen.</t>
  </si>
  <si>
    <t xml:space="preserve">F43</t>
  </si>
  <si>
    <t xml:space="preserve">Auslegung von „bis zur ersten Antwort“</t>
  </si>
  <si>
    <t xml:space="preserve">FV-58</t>
  </si>
  <si>
    <t xml:space="preserve">Im MVP gibt es keine Videonachrichten.</t>
  </si>
  <si>
    <t xml:space="preserve">Kein Katalogeintrag</t>
  </si>
  <si>
    <t xml:space="preserve">FV-59</t>
  </si>
  <si>
    <t xml:space="preserve">Feste Auswahlreihenfolge der Eisbrecher.</t>
  </si>
  <si>
    <t xml:space="preserve">F44</t>
  </si>
  <si>
    <t xml:space="preserve">Einzelheiten in A-40</t>
  </si>
  <si>
    <t xml:space="preserve">FV-60</t>
  </si>
  <si>
    <t xml:space="preserve">Ausstieg für beide Seiten; fünf Sekunden Rücknahme; Wiedereröffnung nur durch die aussteigende Person.</t>
  </si>
  <si>
    <t xml:space="preserve">F45, F46</t>
  </si>
  <si>
    <t xml:space="preserve">Schützt den Ausstieg vor der Gegenseite</t>
  </si>
  <si>
    <t xml:space="preserve">FV-61</t>
  </si>
  <si>
    <t xml:space="preserve">Ins Archiv kommen nur Gespräche nach einem Ausstieg; nach 24 Stunden gelöscht, außer gesicherten Fallinhalten.</t>
  </si>
  <si>
    <t xml:space="preserve">F46</t>
  </si>
  <si>
    <t xml:space="preserve">FV-62</t>
  </si>
  <si>
    <t xml:space="preserve">Einschalten kann jede Seite, ausschalten nur, wer eingeschaltet hat; gilt ab dem Einschalten.</t>
  </si>
  <si>
    <t xml:space="preserve">F47</t>
  </si>
  <si>
    <t xml:space="preserve">FV-63</t>
  </si>
  <si>
    <t xml:space="preserve">Ein privates Album je Konto mit Höchstzahl an Bildern; beidseitige Freigabe durch Angebot und Annahme.</t>
  </si>
  <si>
    <t xml:space="preserve">F48</t>
  </si>
  <si>
    <t xml:space="preserve">Handbuch A: „Beidseitige Freigabe“</t>
  </si>
  <si>
    <t xml:space="preserve">FV-64</t>
  </si>
  <si>
    <t xml:space="preserve">Die Ortsfreigabe ist ein Nachrichteninhalt auf eigenem Weg, nie Teil der Standortberechnung.</t>
  </si>
  <si>
    <t xml:space="preserve">F50</t>
  </si>
  <si>
    <t xml:space="preserve">Überbrückt F50 gegen F70 (Phase 2)</t>
  </si>
  <si>
    <t xml:space="preserve">FV-65</t>
  </si>
  <si>
    <t xml:space="preserve">Gebaut wird Fassung 1 (nur Nachfrage). Ersetzt am 21.09.2026 durch Nr. 66. Es bleibt nur die Löschfrist P-CHECKIN-LOESCHUNG.</t>
  </si>
  <si>
    <t xml:space="preserve">F55</t>
  </si>
  <si>
    <t xml:space="preserve">durch Beschluss erledigt</t>
  </si>
  <si>
    <t xml:space="preserve">FV-66</t>
  </si>
  <si>
    <t xml:space="preserve">Treffpunkte aus gerundeten Positionen, ohne Entfernung zur Gegenseite.</t>
  </si>
  <si>
    <t xml:space="preserve">F56</t>
  </si>
  <si>
    <t xml:space="preserve">FV-67</t>
  </si>
  <si>
    <t xml:space="preserve">Gleitendes 24-Stunden-Fenster; gilt für jedes ungeprüfte Konto.</t>
  </si>
  <si>
    <t xml:space="preserve">F57</t>
  </si>
  <si>
    <t xml:space="preserve">Auslegung von „neue unverifizierte Konten“</t>
  </si>
  <si>
    <t xml:space="preserve">FV-68</t>
  </si>
  <si>
    <t xml:space="preserve">Harmlose Ansicht ohne Bezug zur App; PIN nur auf dem Gerät; Abmeldung nach Fehlversuchen.</t>
  </si>
  <si>
    <t xml:space="preserve">F58</t>
  </si>
  <si>
    <t xml:space="preserve">A-14, Sammelliste Nr. 17; Nr. 47</t>
  </si>
  <si>
    <t xml:space="preserve">FV-69</t>
  </si>
  <si>
    <t xml:space="preserve">In der Web-App wird das Symbol vor dem Hinzufügen gewählt.</t>
  </si>
  <si>
    <t xml:space="preserve">F59, Z-04</t>
  </si>
  <si>
    <t xml:space="preserve">Nr. 47</t>
  </si>
  <si>
    <t xml:space="preserve">FV-70</t>
  </si>
  <si>
    <t xml:space="preserve">Zahl kostenloser Zonen als Parameter, Berechtigung austauschbar; Prototyp zeigt Wirkung U. Ersetzt am 21.09.2026 durch Nr. 48 und Nr. 77: Ersatzpunkt kostenlos, Unsichtbarkeit im Abo, P-ZONEN-MAX für alle. Es bleibt der Zonenradius P-ZONE-RADIUS.</t>
  </si>
  <si>
    <t xml:space="preserve">F60</t>
  </si>
  <si>
    <t xml:space="preserve">24 Stunden rücknehmbar, dann endgültig; beidseitige Wirkung; Gespräch bei Endgültigkeit gelöscht.</t>
  </si>
  <si>
    <t xml:space="preserve">F61</t>
  </si>
  <si>
    <t xml:space="preserve">Auslegung von „24 Std. rücknehmbar, zweite Sperre endgültig“</t>
  </si>
  <si>
    <t xml:space="preserve">FV-72</t>
  </si>
  <si>
    <t xml:space="preserve">Webformular für Meldungen ohne Konto mit den Angaben nach Art. 16 Abs. 2 DSA.</t>
  </si>
  <si>
    <t xml:space="preserve">F62</t>
  </si>
  <si>
    <t xml:space="preserve">Art. 16 Abs. 1 DSA: „any individual or entity“</t>
  </si>
  <si>
    <t xml:space="preserve">FV-73</t>
  </si>
  <si>
    <t xml:space="preserve">Zusätzlicher Meldegrund für intime Bilder ohne Einwilligung, auch künstlich erzeugte.</t>
  </si>
  <si>
    <t xml:space="preserve">R-01</t>
  </si>
  <si>
    <t xml:space="preserve">FV-74</t>
  </si>
  <si>
    <t xml:space="preserve">„Warnung“ ist ein Hinweis vor dem Ansehen; eine Benachrichtigung der Gegenseite folgt frühestens in Phase 2.</t>
  </si>
  <si>
    <t xml:space="preserve">F63</t>
  </si>
  <si>
    <t xml:space="preserve">FV-75</t>
  </si>
  <si>
    <t xml:space="preserve">Land aus der gerundeten Position, nicht gespeichert; Länderliste mit Quelle.</t>
  </si>
  <si>
    <t xml:space="preserve">F64</t>
  </si>
  <si>
    <t xml:space="preserve">FV-76</t>
  </si>
  <si>
    <t xml:space="preserve">Verschlüsselter Export mit selbst gewähltem Passwort, befristet bereit, nur nach erneuter Anmeldung.</t>
  </si>
  <si>
    <t xml:space="preserve">F68</t>
  </si>
  <si>
    <t xml:space="preserve">In der Karenz ist das Profil unsichtbar; danach wird alles gelöscht, auch gemeinsame Gespräche, außer Fallinhalten und Pflichtnachweisen.</t>
  </si>
  <si>
    <t xml:space="preserve">FV-78</t>
  </si>
  <si>
    <t xml:space="preserve">Fallinhalte werden P-FALL-AUFBEWAHRUNG nach der letzten Entscheidung gelöscht.</t>
  </si>
  <si>
    <t xml:space="preserve">M-03</t>
  </si>
  <si>
    <t xml:space="preserve">Handbuch A und A-37 legen keine Frist fest</t>
  </si>
  <si>
    <t xml:space="preserve">FV-79</t>
  </si>
  <si>
    <t xml:space="preserve">Ein Mensch prüft einen Hash-Treffer innerhalb derselben Frist wie eine Meldung.</t>
  </si>
  <si>
    <t xml:space="preserve">M-04</t>
  </si>
  <si>
    <t xml:space="preserve">Bis A-36</t>
  </si>
  <si>
    <t xml:space="preserve">FV-80</t>
  </si>
  <si>
    <t xml:space="preserve">„Tagsüber“ heißt P-TAGSUEBER.</t>
  </si>
  <si>
    <t xml:space="preserve">M-05</t>
  </si>
  <si>
    <t xml:space="preserve">A-37 nennt keine Uhrzeiten</t>
  </si>
  <si>
    <t xml:space="preserve">FV-81</t>
  </si>
  <si>
    <t xml:space="preserve">Zwei Vorgänge, zwei Fristen: Einspruch gegen eine Bildablehnung 48 Stunden, jeder andere Widerspruch 72 Stunden.</t>
  </si>
  <si>
    <t xml:space="preserve">M-07</t>
  </si>
  <si>
    <t xml:space="preserve">Löst A-14, Sammelliste Nr. 16</t>
  </si>
  <si>
    <t xml:space="preserve">FV-82</t>
  </si>
  <si>
    <t xml:space="preserve">Tägliche Obergrenze je Person; gemeldete Bilder zunächst unscharf.</t>
  </si>
  <si>
    <t xml:space="preserve">M-10</t>
  </si>
  <si>
    <t xml:space="preserve">A-37, offener Punkt 8</t>
  </si>
  <si>
    <t xml:space="preserve">FV-83</t>
  </si>
  <si>
    <t xml:space="preserve">Mitteilungen bleiben bis zur Kontolöschung; wer die App nicht öffnet, erreicht nur die öffentliche Bekanntmachung.</t>
  </si>
  <si>
    <t xml:space="preserve">Z-01</t>
  </si>
  <si>
    <t xml:space="preserve">Nr. 46; A-18</t>
  </si>
  <si>
    <t xml:space="preserve">FV-84</t>
  </si>
  <si>
    <t xml:space="preserve">Schlichte Statusseite ab Phase 1d, getrennt betrieben.</t>
  </si>
  <si>
    <t xml:space="preserve">Z-02</t>
  </si>
  <si>
    <t xml:space="preserve">A-18 braucht sie vor dem Start</t>
  </si>
  <si>
    <t xml:space="preserve">FV-85</t>
  </si>
  <si>
    <t xml:space="preserve">Stufe 2 gilt für jedes Bild in Zone 2 — Alben und Gespräch, beide Richtungen.</t>
  </si>
  <si>
    <t xml:space="preserve">Z-03</t>
  </si>
  <si>
    <t xml:space="preserve">Sonst ließe sich die Schranke umgehen</t>
  </si>
  <si>
    <t xml:space="preserve">Im Zustand „nur Stufe 1“ erscheinen empfangene Bilder als geschlossene Kacheln; der Absender erfährt nichts.</t>
  </si>
  <si>
    <t xml:space="preserve">Nr. 40: Zustand „nur Stufe 1“</t>
  </si>
  <si>
    <t xml:space="preserve">Authentifizierung per Geräteschlüssel oder Gerätesperre je Sitzung und nach Pause.</t>
  </si>
  <si>
    <t xml:space="preserve">AVS-Raster; Prüfung durch den Anwalt</t>
  </si>
  <si>
    <t xml:space="preserve">FV-88</t>
  </si>
  <si>
    <t xml:space="preserve">Laufzeiten mit Laufzeit, Gesamtpreis und Monatswert, gleich deutlich; keine Vorauswahl vor Nr. 50.</t>
  </si>
  <si>
    <t xml:space="preserve">Z-05</t>
  </si>
  <si>
    <t xml:space="preserve">Prinzip 1; Nr. 50</t>
  </si>
  <si>
    <t xml:space="preserve">FV-89</t>
  </si>
  <si>
    <t xml:space="preserve">Rückmeldungen ohne Konto-Kennung, außer eine Antwort ist erwünscht.</t>
  </si>
  <si>
    <t xml:space="preserve">Z-07</t>
  </si>
  <si>
    <t xml:space="preserve">Datenminimierung</t>
  </si>
  <si>
    <t xml:space="preserve">FV-90</t>
  </si>
  <si>
    <t xml:space="preserve">Technische Grenzwerte ohne Grundlage in den Handbüchern sind Vorschläge für den Bau.</t>
  </si>
  <si>
    <t xml:space="preserve">Abschnitt 15</t>
  </si>
  <si>
    <t xml:space="preserve">Überprüfung in der Beta</t>
  </si>
  <si>
    <t xml:space="preserve">FV-91</t>
  </si>
  <si>
    <t xml:space="preserve">Die Fallnummer des Kontaktservice hat das Format H-JJJJ-NNNNNN und enthält kein genaues Datum, keine Kontokennung und keine Kategorie.</t>
  </si>
  <si>
    <t xml:space="preserve">F75</t>
  </si>
  <si>
    <t xml:space="preserve">Sie soll nachschlagbar sein und nichts verraten, wenn ein Dritter sie sieht</t>
  </si>
  <si>
    <t xml:space="preserve">FV-92</t>
  </si>
  <si>
    <t xml:space="preserve">Für Angemeldete ist „Antwort nur in der App“ voreingestellt; geht eine Mail hinaus, nennt der Betreff nur die Fallnummer.</t>
  </si>
  <si>
    <t xml:space="preserve">Dieselbe Outing-Falle wie bei Nr. 46</t>
  </si>
  <si>
    <t xml:space="preserve">FV-93</t>
  </si>
  <si>
    <t xml:space="preserve">Ein Code kann ohne Altersprüfung zugeordnet werden, wirksam wird er erst nach bestandener Prüfung.</t>
  </si>
  <si>
    <t xml:space="preserve">Z-06</t>
  </si>
  <si>
    <t xml:space="preserve">Keine Hürde am Flyer, keine Berechtigung für Konten, die die Prüfung nicht bestehen (Regel 4 aus A-21)</t>
  </si>
  <si>
    <t xml:space="preserve">FV-94</t>
  </si>
  <si>
    <t xml:space="preserve">Jede Wiederherstellung und jedes neue Passwort beenden alle anderen Sitzungen.</t>
  </si>
  <si>
    <t xml:space="preserve">Z-09</t>
  </si>
  <si>
    <t xml:space="preserve">Löst AB-10-A4; wer sein Telefon verloren hat, will nicht, dass es angemeldet bleibt</t>
  </si>
  <si>
    <t xml:space="preserve">FV-95</t>
  </si>
  <si>
    <t xml:space="preserve">SMS mit neutralem Absender, ohne Produktnamen und ohne Anlass.</t>
  </si>
  <si>
    <t xml:space="preserve">Z-10</t>
  </si>
  <si>
    <t xml:space="preserve">Dieselbe Outing-Überlegung wie bei Nr. 46</t>
  </si>
  <si>
    <t xml:space="preserve">Auswertung — rechnet sich von selbst</t>
  </si>
  <si>
    <t xml:space="preserve">Kennzahl</t>
  </si>
  <si>
    <t xml:space="preserve">Wert</t>
  </si>
  <si>
    <t xml:space="preserve">Die zwölf: beantwortet</t>
  </si>
  <si>
    <t xml:space="preserve">Die zwölf: davon A (Stand bleibt)</t>
  </si>
  <si>
    <t xml:space="preserve">Die zwölf: davon B</t>
  </si>
  <si>
    <t xml:space="preserve">Die zwölf: davon C</t>
  </si>
  <si>
    <t xml:space="preserve">Die zwölf: davon eigene</t>
  </si>
  <si>
    <t xml:space="preserve">Die zwölf: noch offen</t>
  </si>
  <si>
    <t xml:space="preserve">Übrige 83: passt</t>
  </si>
  <si>
    <t xml:space="preserve">Übrige 83: ändern</t>
  </si>
  <si>
    <t xml:space="preserve">Übrige 83: unklar</t>
  </si>
  <si>
    <t xml:space="preserve">Übrige 83: noch offen</t>
  </si>
  <si>
    <t xml:space="preserve">Festlegungen insgesamt</t>
  </si>
  <si>
    <t xml:space="preserve">Hinweis: Die zwölf aus dem ersten Blatt zählen hier nicht noch einmal mit — deshalb „übrige 83“.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</si>
</sst>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F3E7"/>
        <bgColor rgb="FFFFFFFF"/>
      </patternFill>
    </fill>
    <fill>
      <patternFill patternType="solid">
        <fgColor rgb="FFDCE6F1"/>
        <bgColor rgb="FFE6F4EA"/>
      </patternFill>
    </fill>
    <fill>
      <patternFill patternType="solid">
        <fgColor rgb="FFE6F4EA"/>
        <bgColor rgb="FFDCE6F1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3E7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23.2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23.2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</row>
    <row r="12" customFormat="false" ht="15" hidden="false" customHeight="true" outlineLevel="0" collapsed="false">
      <c r="A12" s="4" t="s">
        <v>16</v>
      </c>
    </row>
    <row r="13" customFormat="false" ht="15" hidden="false" customHeight="true" outlineLevel="0" collapsed="false">
      <c r="A13" s="6"/>
      <c r="B13" s="7" t="s">
        <v>17</v>
      </c>
    </row>
    <row r="14" customFormat="false" ht="15" hidden="false" customHeight="true" outlineLevel="0" collapsed="false">
      <c r="A14" s="8"/>
      <c r="B14" s="7" t="s">
        <v>18</v>
      </c>
    </row>
    <row r="15" customFormat="false" ht="15" hidden="false" customHeight="true" outlineLevel="0" collapsed="false">
      <c r="A15" s="9"/>
      <c r="B15" s="7" t="s">
        <v>19</v>
      </c>
    </row>
    <row r="17" customFormat="false" ht="60" hidden="false" customHeight="true" outlineLevel="0" collapsed="false">
      <c r="A17" s="10" t="s">
        <v>20</v>
      </c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45.75" hidden="false" customHeight="true" outlineLevel="0" collapsed="false">
      <c r="A18" s="10" t="s">
        <v>21</v>
      </c>
      <c r="B18" s="10"/>
      <c r="C18" s="10"/>
      <c r="D18" s="10"/>
      <c r="E18" s="10"/>
      <c r="F18" s="10"/>
      <c r="G18" s="10"/>
      <c r="H18" s="10"/>
      <c r="I18" s="10"/>
      <c r="J18" s="10"/>
    </row>
    <row r="20" customFormat="false" ht="57.75" hidden="false" customHeight="true" outlineLevel="0" collapsed="false">
      <c r="A20" s="11" t="s">
        <v>22</v>
      </c>
      <c r="B20" s="11"/>
      <c r="C20" s="11"/>
      <c r="D20" s="11"/>
      <c r="E20" s="11"/>
      <c r="F20" s="11"/>
      <c r="G20" s="11"/>
      <c r="H20" s="11"/>
      <c r="I20" s="11"/>
      <c r="J20" s="11"/>
    </row>
  </sheetData>
  <mergeCells count="3">
    <mergeCell ref="A17:J17"/>
    <mergeCell ref="A18:J18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6" min="4" style="1" width="34"/>
    <col collapsed="false" customWidth="true" hidden="false" outlineLevel="0" max="7" min="7" style="1" width="11"/>
    <col collapsed="false" customWidth="true" hidden="false" outlineLevel="0" max="8" min="8" style="1" width="52"/>
    <col collapsed="false" customWidth="true" hidden="false" outlineLevel="0" max="9" min="9" style="1" width="11"/>
    <col collapsed="false" customWidth="true" hidden="false" outlineLevel="0" max="10" min="10" style="1" width="36"/>
  </cols>
  <sheetData>
    <row r="1" customFormat="false" ht="19.5" hidden="false" customHeight="true" outlineLevel="0" collapsed="false">
      <c r="A1" s="2" t="s">
        <v>23</v>
      </c>
    </row>
    <row r="2" customFormat="false" ht="15" hidden="false" customHeight="true" outlineLevel="0" collapsed="false">
      <c r="A2" s="3" t="s">
        <v>24</v>
      </c>
    </row>
    <row r="4" customFormat="false" ht="15" hidden="false" customHeight="true" outlineLevel="0" collapsed="false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</row>
    <row r="5" customFormat="false" ht="45.75" hidden="false" customHeight="true" outlineLevel="0" collapsed="false">
      <c r="A5" s="13" t="n">
        <v>1</v>
      </c>
      <c r="B5" s="13" t="s">
        <v>35</v>
      </c>
      <c r="C5" s="13" t="s">
        <v>36</v>
      </c>
      <c r="D5" s="13" t="s">
        <v>37</v>
      </c>
      <c r="E5" s="13" t="s">
        <v>38</v>
      </c>
      <c r="F5" s="13" t="s">
        <v>39</v>
      </c>
      <c r="G5" s="14" t="s">
        <v>29</v>
      </c>
      <c r="H5" s="13" t="s">
        <v>40</v>
      </c>
      <c r="I5" s="15" t="s">
        <v>29</v>
      </c>
      <c r="J5" s="15"/>
    </row>
    <row r="6" customFormat="false" ht="34.5" hidden="false" customHeight="true" outlineLevel="0" collapsed="false">
      <c r="A6" s="13" t="n">
        <v>2</v>
      </c>
      <c r="B6" s="13" t="s">
        <v>41</v>
      </c>
      <c r="C6" s="13" t="s">
        <v>42</v>
      </c>
      <c r="D6" s="13" t="s">
        <v>43</v>
      </c>
      <c r="E6" s="13" t="s">
        <v>44</v>
      </c>
      <c r="F6" s="13" t="s">
        <v>45</v>
      </c>
      <c r="G6" s="14" t="s">
        <v>29</v>
      </c>
      <c r="H6" s="13" t="s">
        <v>46</v>
      </c>
      <c r="I6" s="15" t="s">
        <v>29</v>
      </c>
      <c r="J6" s="15"/>
    </row>
    <row r="7" customFormat="false" ht="45.75" hidden="false" customHeight="true" outlineLevel="0" collapsed="false">
      <c r="A7" s="13" t="n">
        <v>3</v>
      </c>
      <c r="B7" s="13" t="s">
        <v>47</v>
      </c>
      <c r="C7" s="13" t="s">
        <v>48</v>
      </c>
      <c r="D7" s="13" t="s">
        <v>49</v>
      </c>
      <c r="E7" s="13" t="s">
        <v>50</v>
      </c>
      <c r="F7" s="13" t="s">
        <v>51</v>
      </c>
      <c r="G7" s="14" t="s">
        <v>52</v>
      </c>
      <c r="H7" s="13" t="s">
        <v>53</v>
      </c>
      <c r="I7" s="15" t="s">
        <v>54</v>
      </c>
      <c r="J7" s="15"/>
    </row>
    <row r="8" customFormat="false" ht="34.5" hidden="false" customHeight="true" outlineLevel="0" collapsed="false">
      <c r="A8" s="13" t="n">
        <v>4</v>
      </c>
      <c r="B8" s="13" t="s">
        <v>55</v>
      </c>
      <c r="C8" s="13" t="s">
        <v>56</v>
      </c>
      <c r="D8" s="13" t="s">
        <v>57</v>
      </c>
      <c r="E8" s="13" t="s">
        <v>58</v>
      </c>
      <c r="F8" s="13" t="s">
        <v>59</v>
      </c>
      <c r="G8" s="14" t="s">
        <v>29</v>
      </c>
      <c r="H8" s="13" t="s">
        <v>60</v>
      </c>
      <c r="I8" s="15" t="s">
        <v>29</v>
      </c>
      <c r="J8" s="15"/>
    </row>
    <row r="9" customFormat="false" ht="45.75" hidden="false" customHeight="true" outlineLevel="0" collapsed="false">
      <c r="A9" s="13" t="n">
        <v>5</v>
      </c>
      <c r="B9" s="13" t="s">
        <v>61</v>
      </c>
      <c r="C9" s="13" t="s">
        <v>62</v>
      </c>
      <c r="D9" s="13" t="s">
        <v>63</v>
      </c>
      <c r="E9" s="13" t="s">
        <v>64</v>
      </c>
      <c r="F9" s="13" t="s">
        <v>65</v>
      </c>
      <c r="G9" s="14" t="s">
        <v>52</v>
      </c>
      <c r="H9" s="13" t="s">
        <v>66</v>
      </c>
      <c r="I9" s="15" t="s">
        <v>52</v>
      </c>
      <c r="J9" s="15"/>
    </row>
    <row r="10" customFormat="false" ht="34.5" hidden="false" customHeight="true" outlineLevel="0" collapsed="false">
      <c r="A10" s="13" t="n">
        <v>6</v>
      </c>
      <c r="B10" s="13" t="s">
        <v>67</v>
      </c>
      <c r="C10" s="13" t="s">
        <v>68</v>
      </c>
      <c r="D10" s="13" t="s">
        <v>69</v>
      </c>
      <c r="E10" s="13" t="s">
        <v>70</v>
      </c>
      <c r="F10" s="13" t="s">
        <v>71</v>
      </c>
      <c r="G10" s="14" t="s">
        <v>52</v>
      </c>
      <c r="H10" s="13" t="s">
        <v>72</v>
      </c>
      <c r="I10" s="15" t="s">
        <v>73</v>
      </c>
      <c r="J10" s="15"/>
    </row>
    <row r="11" customFormat="false" ht="45.75" hidden="false" customHeight="true" outlineLevel="0" collapsed="false">
      <c r="A11" s="13" t="n">
        <v>7</v>
      </c>
      <c r="B11" s="13" t="s">
        <v>74</v>
      </c>
      <c r="C11" s="13" t="s">
        <v>75</v>
      </c>
      <c r="D11" s="13" t="s">
        <v>76</v>
      </c>
      <c r="E11" s="13" t="s">
        <v>77</v>
      </c>
      <c r="F11" s="13" t="s">
        <v>78</v>
      </c>
      <c r="G11" s="14" t="s">
        <v>52</v>
      </c>
      <c r="H11" s="13" t="s">
        <v>79</v>
      </c>
      <c r="I11" s="15" t="s">
        <v>80</v>
      </c>
      <c r="J11" s="15"/>
    </row>
    <row r="12" customFormat="false" ht="34.5" hidden="false" customHeight="true" outlineLevel="0" collapsed="false">
      <c r="A12" s="13" t="n">
        <v>8</v>
      </c>
      <c r="B12" s="13" t="s">
        <v>81</v>
      </c>
      <c r="C12" s="13" t="s">
        <v>82</v>
      </c>
      <c r="D12" s="13" t="s">
        <v>83</v>
      </c>
      <c r="E12" s="13" t="s">
        <v>84</v>
      </c>
      <c r="F12" s="13" t="s">
        <v>85</v>
      </c>
      <c r="G12" s="14" t="s">
        <v>52</v>
      </c>
      <c r="H12" s="13" t="s">
        <v>86</v>
      </c>
      <c r="I12" s="15" t="s">
        <v>87</v>
      </c>
      <c r="J12" s="15"/>
    </row>
    <row r="13" customFormat="false" ht="45.75" hidden="false" customHeight="true" outlineLevel="0" collapsed="false">
      <c r="A13" s="13" t="n">
        <v>9</v>
      </c>
      <c r="B13" s="13" t="s">
        <v>88</v>
      </c>
      <c r="C13" s="13" t="s">
        <v>89</v>
      </c>
      <c r="D13" s="13" t="s">
        <v>90</v>
      </c>
      <c r="E13" s="13" t="s">
        <v>91</v>
      </c>
      <c r="F13" s="13" t="s">
        <v>92</v>
      </c>
      <c r="G13" s="14" t="s">
        <v>29</v>
      </c>
      <c r="H13" s="13" t="s">
        <v>93</v>
      </c>
      <c r="I13" s="15" t="s">
        <v>94</v>
      </c>
      <c r="J13" s="15"/>
    </row>
    <row r="14" customFormat="false" ht="34.5" hidden="false" customHeight="true" outlineLevel="0" collapsed="false">
      <c r="A14" s="13" t="n">
        <v>10</v>
      </c>
      <c r="B14" s="13" t="s">
        <v>95</v>
      </c>
      <c r="C14" s="13" t="s">
        <v>96</v>
      </c>
      <c r="D14" s="13" t="s">
        <v>97</v>
      </c>
      <c r="E14" s="13" t="s">
        <v>98</v>
      </c>
      <c r="F14" s="13" t="s">
        <v>99</v>
      </c>
      <c r="G14" s="14" t="s">
        <v>30</v>
      </c>
      <c r="H14" s="13" t="s">
        <v>100</v>
      </c>
      <c r="I14" s="15" t="s">
        <v>30</v>
      </c>
      <c r="J14" s="15"/>
    </row>
    <row r="15" customFormat="false" ht="34.5" hidden="false" customHeight="true" outlineLevel="0" collapsed="false">
      <c r="A15" s="13" t="n">
        <v>11</v>
      </c>
      <c r="B15" s="13" t="s">
        <v>101</v>
      </c>
      <c r="C15" s="13" t="s">
        <v>102</v>
      </c>
      <c r="D15" s="13" t="s">
        <v>103</v>
      </c>
      <c r="E15" s="13" t="s">
        <v>104</v>
      </c>
      <c r="F15" s="13" t="s">
        <v>105</v>
      </c>
      <c r="G15" s="14" t="s">
        <v>29</v>
      </c>
      <c r="H15" s="13" t="s">
        <v>106</v>
      </c>
      <c r="I15" s="15" t="s">
        <v>29</v>
      </c>
      <c r="J15" s="15"/>
    </row>
    <row r="16" customFormat="false" ht="23.25" hidden="false" customHeight="true" outlineLevel="0" collapsed="false">
      <c r="A16" s="13" t="n">
        <v>12</v>
      </c>
      <c r="B16" s="13" t="s">
        <v>107</v>
      </c>
      <c r="C16" s="13" t="s">
        <v>108</v>
      </c>
      <c r="D16" s="13" t="s">
        <v>109</v>
      </c>
      <c r="E16" s="13" t="s">
        <v>110</v>
      </c>
      <c r="F16" s="13" t="s">
        <v>111</v>
      </c>
      <c r="G16" s="14" t="s">
        <v>52</v>
      </c>
      <c r="H16" s="13" t="s">
        <v>112</v>
      </c>
      <c r="I16" s="15" t="s">
        <v>113</v>
      </c>
      <c r="J16" s="15"/>
    </row>
  </sheetData>
  <dataValidations count="1">
    <dataValidation allowBlank="true" errorStyle="stop" operator="between" showDropDown="false" showErrorMessage="false" showInputMessage="false" sqref="I5:I16" type="list">
      <formula1>"A,B,C,eigene"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0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40"/>
  </cols>
  <sheetData>
    <row r="1" customFormat="false" ht="19.5" hidden="false" customHeight="true" outlineLevel="0" collapsed="false">
      <c r="A1" s="2" t="s">
        <v>114</v>
      </c>
    </row>
    <row r="2" customFormat="false" ht="15" hidden="false" customHeight="true" outlineLevel="0" collapsed="false">
      <c r="A2" s="3" t="s">
        <v>115</v>
      </c>
    </row>
    <row r="4" customFormat="false" ht="23.25" hidden="false" customHeight="true" outlineLevel="0" collapsed="false">
      <c r="A4" s="12" t="s">
        <v>26</v>
      </c>
      <c r="B4" s="12" t="s">
        <v>116</v>
      </c>
      <c r="C4" s="12" t="s">
        <v>117</v>
      </c>
      <c r="D4" s="12" t="s">
        <v>118</v>
      </c>
      <c r="E4" s="12" t="s">
        <v>119</v>
      </c>
      <c r="F4" s="12" t="s">
        <v>120</v>
      </c>
      <c r="G4" s="12" t="s">
        <v>34</v>
      </c>
    </row>
    <row r="5" customFormat="false" ht="23.25" hidden="false" customHeight="true" outlineLevel="0" collapsed="false">
      <c r="A5" s="16" t="s">
        <v>61</v>
      </c>
      <c r="B5" s="16" t="s">
        <v>121</v>
      </c>
      <c r="C5" s="16" t="s">
        <v>122</v>
      </c>
      <c r="D5" s="16" t="s">
        <v>123</v>
      </c>
      <c r="E5" s="16" t="s">
        <v>124</v>
      </c>
      <c r="F5" s="16"/>
      <c r="G5" s="16"/>
    </row>
    <row r="6" customFormat="false" ht="23.25" hidden="false" customHeight="true" outlineLevel="0" collapsed="false">
      <c r="A6" s="13" t="s">
        <v>125</v>
      </c>
      <c r="B6" s="13" t="s">
        <v>126</v>
      </c>
      <c r="C6" s="13" t="s">
        <v>127</v>
      </c>
      <c r="D6" s="13" t="s">
        <v>128</v>
      </c>
      <c r="E6" s="13"/>
      <c r="F6" s="15"/>
      <c r="G6" s="15"/>
    </row>
    <row r="7" customFormat="false" ht="23.25" hidden="false" customHeight="true" outlineLevel="0" collapsed="false">
      <c r="A7" s="13" t="s">
        <v>129</v>
      </c>
      <c r="B7" s="13" t="s">
        <v>130</v>
      </c>
      <c r="C7" s="13" t="s">
        <v>131</v>
      </c>
      <c r="D7" s="13" t="s">
        <v>132</v>
      </c>
      <c r="E7" s="13"/>
      <c r="F7" s="15"/>
      <c r="G7" s="15"/>
    </row>
    <row r="8" customFormat="false" ht="23.25" hidden="false" customHeight="true" outlineLevel="0" collapsed="false">
      <c r="A8" s="13" t="s">
        <v>133</v>
      </c>
      <c r="B8" s="13" t="s">
        <v>134</v>
      </c>
      <c r="C8" s="13" t="s">
        <v>135</v>
      </c>
      <c r="D8" s="13" t="s">
        <v>136</v>
      </c>
      <c r="E8" s="13"/>
      <c r="F8" s="15"/>
      <c r="G8" s="15"/>
    </row>
    <row r="9" customFormat="false" ht="23.25" hidden="false" customHeight="true" outlineLevel="0" collapsed="false">
      <c r="A9" s="13" t="s">
        <v>137</v>
      </c>
      <c r="B9" s="13" t="s">
        <v>138</v>
      </c>
      <c r="C9" s="13" t="s">
        <v>139</v>
      </c>
      <c r="D9" s="13" t="s">
        <v>140</v>
      </c>
      <c r="E9" s="13"/>
      <c r="F9" s="15"/>
      <c r="G9" s="15"/>
    </row>
    <row r="10" customFormat="false" ht="15" hidden="false" customHeight="true" outlineLevel="0" collapsed="false">
      <c r="A10" s="13" t="s">
        <v>141</v>
      </c>
      <c r="B10" s="13" t="s">
        <v>142</v>
      </c>
      <c r="C10" s="13" t="s">
        <v>143</v>
      </c>
      <c r="D10" s="13" t="s">
        <v>144</v>
      </c>
      <c r="E10" s="13"/>
      <c r="F10" s="15"/>
      <c r="G10" s="15"/>
    </row>
    <row r="11" customFormat="false" ht="15" hidden="false" customHeight="true" outlineLevel="0" collapsed="false">
      <c r="A11" s="13" t="s">
        <v>145</v>
      </c>
      <c r="B11" s="13" t="s">
        <v>146</v>
      </c>
      <c r="C11" s="13" t="s">
        <v>147</v>
      </c>
      <c r="D11" s="13" t="s">
        <v>148</v>
      </c>
      <c r="E11" s="13"/>
      <c r="F11" s="15"/>
      <c r="G11" s="15"/>
    </row>
    <row r="12" customFormat="false" ht="23.25" hidden="false" customHeight="true" outlineLevel="0" collapsed="false">
      <c r="A12" s="13" t="s">
        <v>149</v>
      </c>
      <c r="B12" s="13" t="s">
        <v>150</v>
      </c>
      <c r="C12" s="13" t="s">
        <v>151</v>
      </c>
      <c r="D12" s="13" t="s">
        <v>152</v>
      </c>
      <c r="E12" s="13"/>
      <c r="F12" s="15"/>
      <c r="G12" s="15"/>
    </row>
    <row r="13" customFormat="false" ht="23.25" hidden="false" customHeight="true" outlineLevel="0" collapsed="false">
      <c r="A13" s="13" t="s">
        <v>153</v>
      </c>
      <c r="B13" s="13" t="s">
        <v>154</v>
      </c>
      <c r="C13" s="13" t="s">
        <v>151</v>
      </c>
      <c r="D13" s="13" t="s">
        <v>155</v>
      </c>
      <c r="E13" s="13"/>
      <c r="F13" s="15"/>
      <c r="G13" s="15"/>
    </row>
    <row r="14" customFormat="false" ht="23.25" hidden="false" customHeight="true" outlineLevel="0" collapsed="false">
      <c r="A14" s="13" t="s">
        <v>156</v>
      </c>
      <c r="B14" s="13" t="s">
        <v>157</v>
      </c>
      <c r="C14" s="13" t="s">
        <v>158</v>
      </c>
      <c r="D14" s="13" t="s">
        <v>159</v>
      </c>
      <c r="E14" s="13"/>
      <c r="F14" s="15"/>
      <c r="G14" s="15"/>
    </row>
    <row r="15" customFormat="false" ht="23.25" hidden="false" customHeight="true" outlineLevel="0" collapsed="false">
      <c r="A15" s="13" t="s">
        <v>160</v>
      </c>
      <c r="B15" s="13" t="s">
        <v>161</v>
      </c>
      <c r="C15" s="13" t="s">
        <v>158</v>
      </c>
      <c r="D15" s="13" t="s">
        <v>162</v>
      </c>
      <c r="E15" s="13"/>
      <c r="F15" s="15"/>
      <c r="G15" s="15"/>
    </row>
    <row r="16" customFormat="false" ht="15" hidden="false" customHeight="true" outlineLevel="0" collapsed="false">
      <c r="A16" s="13" t="s">
        <v>163</v>
      </c>
      <c r="B16" s="13" t="s">
        <v>164</v>
      </c>
      <c r="C16" s="13" t="s">
        <v>158</v>
      </c>
      <c r="D16" s="13" t="s">
        <v>165</v>
      </c>
      <c r="E16" s="13"/>
      <c r="F16" s="15"/>
      <c r="G16" s="15"/>
    </row>
    <row r="17" customFormat="false" ht="34.5" hidden="false" customHeight="true" outlineLevel="0" collapsed="false">
      <c r="A17" s="13" t="s">
        <v>166</v>
      </c>
      <c r="B17" s="13" t="s">
        <v>167</v>
      </c>
      <c r="C17" s="13" t="s">
        <v>168</v>
      </c>
      <c r="D17" s="13" t="s">
        <v>169</v>
      </c>
      <c r="E17" s="13"/>
      <c r="F17" s="15"/>
      <c r="G17" s="15"/>
    </row>
    <row r="18" customFormat="false" ht="15" hidden="false" customHeight="true" outlineLevel="0" collapsed="false">
      <c r="A18" s="13" t="s">
        <v>170</v>
      </c>
      <c r="B18" s="13" t="s">
        <v>171</v>
      </c>
      <c r="C18" s="13" t="s">
        <v>172</v>
      </c>
      <c r="D18" s="13" t="s">
        <v>173</v>
      </c>
      <c r="E18" s="13"/>
      <c r="F18" s="15"/>
      <c r="G18" s="15"/>
    </row>
    <row r="19" customFormat="false" ht="23.25" hidden="false" customHeight="true" outlineLevel="0" collapsed="false">
      <c r="A19" s="16" t="s">
        <v>55</v>
      </c>
      <c r="B19" s="16" t="s">
        <v>174</v>
      </c>
      <c r="C19" s="16" t="s">
        <v>175</v>
      </c>
      <c r="D19" s="16" t="s">
        <v>176</v>
      </c>
      <c r="E19" s="16" t="s">
        <v>124</v>
      </c>
      <c r="F19" s="16"/>
      <c r="G19" s="16"/>
    </row>
    <row r="20" customFormat="false" ht="23.25" hidden="false" customHeight="true" outlineLevel="0" collapsed="false">
      <c r="A20" s="13" t="s">
        <v>177</v>
      </c>
      <c r="B20" s="13" t="s">
        <v>178</v>
      </c>
      <c r="C20" s="13" t="s">
        <v>175</v>
      </c>
      <c r="D20" s="13" t="s">
        <v>179</v>
      </c>
      <c r="E20" s="13"/>
      <c r="F20" s="15"/>
      <c r="G20" s="15"/>
    </row>
    <row r="21" customFormat="false" ht="23.25" hidden="false" customHeight="true" outlineLevel="0" collapsed="false">
      <c r="A21" s="16" t="s">
        <v>47</v>
      </c>
      <c r="B21" s="16" t="s">
        <v>180</v>
      </c>
      <c r="C21" s="16" t="s">
        <v>181</v>
      </c>
      <c r="D21" s="16" t="s">
        <v>182</v>
      </c>
      <c r="E21" s="16" t="s">
        <v>124</v>
      </c>
      <c r="F21" s="16"/>
      <c r="G21" s="16"/>
    </row>
    <row r="22" customFormat="false" ht="23.25" hidden="false" customHeight="true" outlineLevel="0" collapsed="false">
      <c r="A22" s="13" t="s">
        <v>183</v>
      </c>
      <c r="B22" s="13" t="s">
        <v>184</v>
      </c>
      <c r="C22" s="13" t="s">
        <v>185</v>
      </c>
      <c r="D22" s="13" t="s">
        <v>186</v>
      </c>
      <c r="E22" s="13"/>
      <c r="F22" s="15"/>
      <c r="G22" s="15"/>
    </row>
    <row r="23" customFormat="false" ht="23.25" hidden="false" customHeight="true" outlineLevel="0" collapsed="false">
      <c r="A23" s="13" t="s">
        <v>187</v>
      </c>
      <c r="B23" s="13" t="s">
        <v>188</v>
      </c>
      <c r="C23" s="13" t="s">
        <v>189</v>
      </c>
      <c r="D23" s="13" t="s">
        <v>190</v>
      </c>
      <c r="E23" s="13"/>
      <c r="F23" s="15"/>
      <c r="G23" s="15"/>
    </row>
    <row r="24" customFormat="false" ht="23.25" hidden="false" customHeight="true" outlineLevel="0" collapsed="false">
      <c r="A24" s="13" t="s">
        <v>191</v>
      </c>
      <c r="B24" s="13" t="s">
        <v>192</v>
      </c>
      <c r="C24" s="13" t="s">
        <v>193</v>
      </c>
      <c r="D24" s="13" t="s">
        <v>194</v>
      </c>
      <c r="E24" s="13"/>
      <c r="F24" s="15"/>
      <c r="G24" s="15"/>
    </row>
    <row r="25" customFormat="false" ht="23.25" hidden="false" customHeight="true" outlineLevel="0" collapsed="false">
      <c r="A25" s="13" t="s">
        <v>195</v>
      </c>
      <c r="B25" s="13" t="s">
        <v>196</v>
      </c>
      <c r="C25" s="13" t="s">
        <v>197</v>
      </c>
      <c r="D25" s="13" t="s">
        <v>198</v>
      </c>
      <c r="E25" s="13"/>
      <c r="F25" s="15"/>
      <c r="G25" s="15"/>
    </row>
    <row r="26" customFormat="false" ht="23.25" hidden="false" customHeight="true" outlineLevel="0" collapsed="false">
      <c r="A26" s="13" t="s">
        <v>199</v>
      </c>
      <c r="B26" s="13" t="s">
        <v>200</v>
      </c>
      <c r="C26" s="13" t="s">
        <v>201</v>
      </c>
      <c r="D26" s="13" t="s">
        <v>202</v>
      </c>
      <c r="E26" s="13"/>
      <c r="F26" s="15"/>
      <c r="G26" s="15"/>
    </row>
    <row r="27" customFormat="false" ht="23.25" hidden="false" customHeight="true" outlineLevel="0" collapsed="false">
      <c r="A27" s="16" t="s">
        <v>41</v>
      </c>
      <c r="B27" s="16" t="s">
        <v>203</v>
      </c>
      <c r="C27" s="16" t="s">
        <v>204</v>
      </c>
      <c r="D27" s="16" t="s">
        <v>205</v>
      </c>
      <c r="E27" s="16" t="s">
        <v>124</v>
      </c>
      <c r="F27" s="16"/>
      <c r="G27" s="16"/>
    </row>
    <row r="28" customFormat="false" ht="15" hidden="false" customHeight="true" outlineLevel="0" collapsed="false">
      <c r="A28" s="13" t="s">
        <v>206</v>
      </c>
      <c r="B28" s="13" t="s">
        <v>207</v>
      </c>
      <c r="C28" s="13" t="s">
        <v>208</v>
      </c>
      <c r="D28" s="13" t="s">
        <v>209</v>
      </c>
      <c r="E28" s="13"/>
      <c r="F28" s="15"/>
      <c r="G28" s="15"/>
    </row>
    <row r="29" customFormat="false" ht="15" hidden="false" customHeight="true" outlineLevel="0" collapsed="false">
      <c r="A29" s="13" t="s">
        <v>210</v>
      </c>
      <c r="B29" s="13" t="s">
        <v>211</v>
      </c>
      <c r="C29" s="13" t="s">
        <v>212</v>
      </c>
      <c r="D29" s="13" t="s">
        <v>213</v>
      </c>
      <c r="E29" s="13"/>
      <c r="F29" s="15"/>
      <c r="G29" s="15"/>
    </row>
    <row r="30" customFormat="false" ht="15" hidden="false" customHeight="true" outlineLevel="0" collapsed="false">
      <c r="A30" s="13" t="s">
        <v>214</v>
      </c>
      <c r="B30" s="13" t="s">
        <v>215</v>
      </c>
      <c r="C30" s="13" t="s">
        <v>216</v>
      </c>
      <c r="D30" s="13" t="s">
        <v>217</v>
      </c>
      <c r="E30" s="13"/>
      <c r="F30" s="15"/>
      <c r="G30" s="15"/>
    </row>
    <row r="31" customFormat="false" ht="34.5" hidden="false" customHeight="true" outlineLevel="0" collapsed="false">
      <c r="A31" s="13" t="s">
        <v>218</v>
      </c>
      <c r="B31" s="13" t="s">
        <v>219</v>
      </c>
      <c r="C31" s="13" t="s">
        <v>220</v>
      </c>
      <c r="D31" s="13" t="s">
        <v>221</v>
      </c>
      <c r="E31" s="13"/>
      <c r="F31" s="15"/>
      <c r="G31" s="15"/>
    </row>
    <row r="32" customFormat="false" ht="15" hidden="false" customHeight="true" outlineLevel="0" collapsed="false">
      <c r="A32" s="13" t="s">
        <v>222</v>
      </c>
      <c r="B32" s="13" t="s">
        <v>223</v>
      </c>
      <c r="C32" s="13" t="s">
        <v>224</v>
      </c>
      <c r="D32" s="13" t="s">
        <v>225</v>
      </c>
      <c r="E32" s="13"/>
      <c r="F32" s="15"/>
      <c r="G32" s="15"/>
    </row>
    <row r="33" customFormat="false" ht="23.25" hidden="false" customHeight="true" outlineLevel="0" collapsed="false">
      <c r="A33" s="16" t="s">
        <v>107</v>
      </c>
      <c r="B33" s="16" t="s">
        <v>226</v>
      </c>
      <c r="C33" s="16" t="s">
        <v>227</v>
      </c>
      <c r="D33" s="16" t="s">
        <v>228</v>
      </c>
      <c r="E33" s="16" t="s">
        <v>124</v>
      </c>
      <c r="F33" s="16"/>
      <c r="G33" s="16"/>
    </row>
    <row r="34" customFormat="false" ht="15" hidden="false" customHeight="true" outlineLevel="0" collapsed="false">
      <c r="A34" s="13" t="s">
        <v>229</v>
      </c>
      <c r="B34" s="13" t="s">
        <v>230</v>
      </c>
      <c r="C34" s="13" t="s">
        <v>227</v>
      </c>
      <c r="D34" s="13" t="s">
        <v>231</v>
      </c>
      <c r="E34" s="13"/>
      <c r="F34" s="15"/>
      <c r="G34" s="15"/>
    </row>
    <row r="35" customFormat="false" ht="23.25" hidden="false" customHeight="true" outlineLevel="0" collapsed="false">
      <c r="A35" s="13" t="s">
        <v>232</v>
      </c>
      <c r="B35" s="13" t="s">
        <v>233</v>
      </c>
      <c r="C35" s="13" t="s">
        <v>234</v>
      </c>
      <c r="D35" s="13" t="s">
        <v>235</v>
      </c>
      <c r="E35" s="13"/>
      <c r="F35" s="15"/>
      <c r="G35" s="15"/>
    </row>
    <row r="36" customFormat="false" ht="23.25" hidden="false" customHeight="true" outlineLevel="0" collapsed="false">
      <c r="A36" s="13" t="s">
        <v>236</v>
      </c>
      <c r="B36" s="13" t="s">
        <v>237</v>
      </c>
      <c r="C36" s="13" t="s">
        <v>238</v>
      </c>
      <c r="D36" s="13" t="s">
        <v>239</v>
      </c>
      <c r="E36" s="13"/>
      <c r="F36" s="15"/>
      <c r="G36" s="15"/>
    </row>
    <row r="37" customFormat="false" ht="23.25" hidden="false" customHeight="true" outlineLevel="0" collapsed="false">
      <c r="A37" s="13" t="s">
        <v>240</v>
      </c>
      <c r="B37" s="13" t="s">
        <v>241</v>
      </c>
      <c r="C37" s="13" t="s">
        <v>242</v>
      </c>
      <c r="D37" s="13" t="s">
        <v>243</v>
      </c>
      <c r="E37" s="13"/>
      <c r="F37" s="15"/>
      <c r="G37" s="15"/>
    </row>
    <row r="38" customFormat="false" ht="23.25" hidden="false" customHeight="true" outlineLevel="0" collapsed="false">
      <c r="A38" s="16" t="s">
        <v>101</v>
      </c>
      <c r="B38" s="16" t="s">
        <v>244</v>
      </c>
      <c r="C38" s="16" t="s">
        <v>245</v>
      </c>
      <c r="D38" s="16" t="s">
        <v>246</v>
      </c>
      <c r="E38" s="16" t="s">
        <v>124</v>
      </c>
      <c r="F38" s="16"/>
      <c r="G38" s="16"/>
    </row>
    <row r="39" customFormat="false" ht="15" hidden="false" customHeight="true" outlineLevel="0" collapsed="false">
      <c r="A39" s="13" t="s">
        <v>247</v>
      </c>
      <c r="B39" s="13" t="s">
        <v>248</v>
      </c>
      <c r="C39" s="13" t="s">
        <v>249</v>
      </c>
      <c r="D39" s="13" t="s">
        <v>250</v>
      </c>
      <c r="E39" s="13"/>
      <c r="F39" s="15"/>
      <c r="G39" s="15"/>
    </row>
    <row r="40" customFormat="false" ht="15" hidden="false" customHeight="true" outlineLevel="0" collapsed="false">
      <c r="A40" s="13" t="s">
        <v>251</v>
      </c>
      <c r="B40" s="13" t="s">
        <v>252</v>
      </c>
      <c r="C40" s="13" t="s">
        <v>253</v>
      </c>
      <c r="D40" s="13" t="s">
        <v>254</v>
      </c>
      <c r="E40" s="13"/>
      <c r="F40" s="15"/>
      <c r="G40" s="15"/>
    </row>
    <row r="41" customFormat="false" ht="15" hidden="false" customHeight="true" outlineLevel="0" collapsed="false">
      <c r="A41" s="13" t="s">
        <v>255</v>
      </c>
      <c r="B41" s="13" t="s">
        <v>256</v>
      </c>
      <c r="C41" s="13" t="s">
        <v>257</v>
      </c>
      <c r="D41" s="13" t="s">
        <v>258</v>
      </c>
      <c r="E41" s="13"/>
      <c r="F41" s="15"/>
      <c r="G41" s="15"/>
    </row>
    <row r="42" customFormat="false" ht="15" hidden="false" customHeight="true" outlineLevel="0" collapsed="false">
      <c r="A42" s="13" t="s">
        <v>259</v>
      </c>
      <c r="B42" s="13" t="s">
        <v>260</v>
      </c>
      <c r="C42" s="13" t="s">
        <v>261</v>
      </c>
      <c r="D42" s="13" t="s">
        <v>262</v>
      </c>
      <c r="E42" s="13"/>
      <c r="F42" s="15"/>
      <c r="G42" s="15"/>
    </row>
    <row r="43" customFormat="false" ht="15" hidden="false" customHeight="true" outlineLevel="0" collapsed="false">
      <c r="A43" s="13" t="s">
        <v>263</v>
      </c>
      <c r="B43" s="13" t="s">
        <v>264</v>
      </c>
      <c r="C43" s="13" t="s">
        <v>265</v>
      </c>
      <c r="D43" s="13" t="s">
        <v>266</v>
      </c>
      <c r="E43" s="13"/>
      <c r="F43" s="15"/>
      <c r="G43" s="15"/>
    </row>
    <row r="44" customFormat="false" ht="15" hidden="false" customHeight="true" outlineLevel="0" collapsed="false">
      <c r="A44" s="13" t="s">
        <v>267</v>
      </c>
      <c r="B44" s="13" t="s">
        <v>268</v>
      </c>
      <c r="C44" s="13" t="s">
        <v>269</v>
      </c>
      <c r="D44" s="13" t="s">
        <v>270</v>
      </c>
      <c r="E44" s="13"/>
      <c r="F44" s="15"/>
      <c r="G44" s="15"/>
    </row>
    <row r="45" customFormat="false" ht="23.25" hidden="false" customHeight="true" outlineLevel="0" collapsed="false">
      <c r="A45" s="13" t="s">
        <v>271</v>
      </c>
      <c r="B45" s="13" t="s">
        <v>272</v>
      </c>
      <c r="C45" s="13" t="s">
        <v>131</v>
      </c>
      <c r="D45" s="13" t="s">
        <v>273</v>
      </c>
      <c r="E45" s="13"/>
      <c r="F45" s="15"/>
      <c r="G45" s="15"/>
    </row>
    <row r="46" customFormat="false" ht="15" hidden="false" customHeight="true" outlineLevel="0" collapsed="false">
      <c r="A46" s="13" t="s">
        <v>274</v>
      </c>
      <c r="B46" s="13" t="s">
        <v>275</v>
      </c>
      <c r="C46" s="13" t="s">
        <v>276</v>
      </c>
      <c r="D46" s="13" t="s">
        <v>277</v>
      </c>
      <c r="E46" s="13"/>
      <c r="F46" s="15"/>
      <c r="G46" s="15"/>
    </row>
    <row r="47" customFormat="false" ht="23.25" hidden="false" customHeight="true" outlineLevel="0" collapsed="false">
      <c r="A47" s="13" t="s">
        <v>278</v>
      </c>
      <c r="B47" s="13" t="s">
        <v>279</v>
      </c>
      <c r="C47" s="13" t="s">
        <v>280</v>
      </c>
      <c r="D47" s="13" t="s">
        <v>281</v>
      </c>
      <c r="E47" s="13"/>
      <c r="F47" s="15"/>
      <c r="G47" s="15"/>
    </row>
    <row r="48" customFormat="false" ht="15" hidden="false" customHeight="true" outlineLevel="0" collapsed="false">
      <c r="A48" s="13" t="s">
        <v>282</v>
      </c>
      <c r="B48" s="13" t="s">
        <v>283</v>
      </c>
      <c r="C48" s="13" t="s">
        <v>284</v>
      </c>
      <c r="D48" s="13" t="s">
        <v>285</v>
      </c>
      <c r="E48" s="13"/>
      <c r="F48" s="15"/>
      <c r="G48" s="15"/>
    </row>
    <row r="49" customFormat="false" ht="15" hidden="false" customHeight="true" outlineLevel="0" collapsed="false">
      <c r="A49" s="13" t="s">
        <v>286</v>
      </c>
      <c r="B49" s="13" t="s">
        <v>287</v>
      </c>
      <c r="C49" s="13" t="s">
        <v>288</v>
      </c>
      <c r="D49" s="13" t="s">
        <v>289</v>
      </c>
      <c r="E49" s="13"/>
      <c r="F49" s="15"/>
      <c r="G49" s="15"/>
    </row>
    <row r="50" customFormat="false" ht="23.25" hidden="false" customHeight="true" outlineLevel="0" collapsed="false">
      <c r="A50" s="16" t="s">
        <v>67</v>
      </c>
      <c r="B50" s="16" t="s">
        <v>290</v>
      </c>
      <c r="C50" s="16" t="s">
        <v>291</v>
      </c>
      <c r="D50" s="16" t="s">
        <v>292</v>
      </c>
      <c r="E50" s="16" t="s">
        <v>124</v>
      </c>
      <c r="F50" s="16"/>
      <c r="G50" s="16"/>
    </row>
    <row r="51" customFormat="false" ht="23.25" hidden="false" customHeight="true" outlineLevel="0" collapsed="false">
      <c r="A51" s="13" t="s">
        <v>293</v>
      </c>
      <c r="B51" s="13" t="s">
        <v>294</v>
      </c>
      <c r="C51" s="13" t="s">
        <v>295</v>
      </c>
      <c r="D51" s="13" t="s">
        <v>296</v>
      </c>
      <c r="E51" s="13"/>
      <c r="F51" s="15"/>
      <c r="G51" s="15"/>
    </row>
    <row r="52" customFormat="false" ht="15" hidden="false" customHeight="true" outlineLevel="0" collapsed="false">
      <c r="A52" s="13" t="s">
        <v>297</v>
      </c>
      <c r="B52" s="13" t="s">
        <v>298</v>
      </c>
      <c r="C52" s="13" t="s">
        <v>295</v>
      </c>
      <c r="D52" s="13" t="s">
        <v>299</v>
      </c>
      <c r="E52" s="13"/>
      <c r="F52" s="15"/>
      <c r="G52" s="15"/>
    </row>
    <row r="53" customFormat="false" ht="15" hidden="false" customHeight="true" outlineLevel="0" collapsed="false">
      <c r="A53" s="13" t="s">
        <v>300</v>
      </c>
      <c r="B53" s="13" t="s">
        <v>301</v>
      </c>
      <c r="C53" s="13" t="s">
        <v>302</v>
      </c>
      <c r="D53" s="13" t="s">
        <v>303</v>
      </c>
      <c r="E53" s="13"/>
      <c r="F53" s="15"/>
      <c r="G53" s="15"/>
    </row>
    <row r="54" customFormat="false" ht="23.25" hidden="false" customHeight="true" outlineLevel="0" collapsed="false">
      <c r="A54" s="13" t="s">
        <v>304</v>
      </c>
      <c r="B54" s="13" t="s">
        <v>305</v>
      </c>
      <c r="C54" s="13" t="s">
        <v>302</v>
      </c>
      <c r="D54" s="13" t="s">
        <v>306</v>
      </c>
      <c r="E54" s="13"/>
      <c r="F54" s="15"/>
      <c r="G54" s="15"/>
    </row>
    <row r="55" customFormat="false" ht="15" hidden="false" customHeight="true" outlineLevel="0" collapsed="false">
      <c r="A55" s="13" t="s">
        <v>307</v>
      </c>
      <c r="B55" s="13" t="s">
        <v>308</v>
      </c>
      <c r="C55" s="13" t="s">
        <v>309</v>
      </c>
      <c r="D55" s="13" t="s">
        <v>310</v>
      </c>
      <c r="E55" s="13"/>
      <c r="F55" s="15"/>
      <c r="G55" s="15"/>
    </row>
    <row r="56" customFormat="false" ht="23.25" hidden="false" customHeight="true" outlineLevel="0" collapsed="false">
      <c r="A56" s="13" t="s">
        <v>311</v>
      </c>
      <c r="B56" s="13" t="s">
        <v>312</v>
      </c>
      <c r="C56" s="13" t="s">
        <v>313</v>
      </c>
      <c r="D56" s="13" t="s">
        <v>314</v>
      </c>
      <c r="E56" s="13"/>
      <c r="F56" s="15"/>
      <c r="G56" s="15"/>
    </row>
    <row r="57" customFormat="false" ht="23.25" hidden="false" customHeight="true" outlineLevel="0" collapsed="false">
      <c r="A57" s="13" t="s">
        <v>315</v>
      </c>
      <c r="B57" s="13" t="s">
        <v>316</v>
      </c>
      <c r="C57" s="13" t="s">
        <v>317</v>
      </c>
      <c r="D57" s="13" t="s">
        <v>285</v>
      </c>
      <c r="E57" s="13"/>
      <c r="F57" s="15"/>
      <c r="G57" s="15"/>
    </row>
    <row r="58" customFormat="false" ht="23.25" hidden="false" customHeight="true" outlineLevel="0" collapsed="false">
      <c r="A58" s="13" t="s">
        <v>318</v>
      </c>
      <c r="B58" s="13" t="s">
        <v>319</v>
      </c>
      <c r="C58" s="13" t="s">
        <v>320</v>
      </c>
      <c r="D58" s="13" t="s">
        <v>321</v>
      </c>
      <c r="E58" s="13"/>
      <c r="F58" s="15"/>
      <c r="G58" s="15"/>
    </row>
    <row r="59" customFormat="false" ht="15" hidden="false" customHeight="true" outlineLevel="0" collapsed="false">
      <c r="A59" s="13" t="s">
        <v>322</v>
      </c>
      <c r="B59" s="13" t="s">
        <v>323</v>
      </c>
      <c r="C59" s="13" t="s">
        <v>320</v>
      </c>
      <c r="D59" s="13" t="s">
        <v>324</v>
      </c>
      <c r="E59" s="13"/>
      <c r="F59" s="15"/>
      <c r="G59" s="15"/>
    </row>
    <row r="60" customFormat="false" ht="15" hidden="false" customHeight="true" outlineLevel="0" collapsed="false">
      <c r="A60" s="13" t="s">
        <v>325</v>
      </c>
      <c r="B60" s="13" t="s">
        <v>326</v>
      </c>
      <c r="C60" s="13" t="s">
        <v>327</v>
      </c>
      <c r="D60" s="13" t="s">
        <v>328</v>
      </c>
      <c r="E60" s="13"/>
      <c r="F60" s="15"/>
      <c r="G60" s="15"/>
    </row>
    <row r="61" customFormat="false" ht="23.25" hidden="false" customHeight="true" outlineLevel="0" collapsed="false">
      <c r="A61" s="16" t="s">
        <v>74</v>
      </c>
      <c r="B61" s="16" t="s">
        <v>329</v>
      </c>
      <c r="C61" s="16" t="s">
        <v>330</v>
      </c>
      <c r="D61" s="16" t="s">
        <v>331</v>
      </c>
      <c r="E61" s="16" t="s">
        <v>124</v>
      </c>
      <c r="F61" s="16"/>
      <c r="G61" s="16"/>
    </row>
    <row r="62" customFormat="false" ht="15" hidden="false" customHeight="true" outlineLevel="0" collapsed="false">
      <c r="A62" s="13" t="s">
        <v>332</v>
      </c>
      <c r="B62" s="13" t="s">
        <v>333</v>
      </c>
      <c r="C62" s="13" t="s">
        <v>330</v>
      </c>
      <c r="D62" s="13" t="s">
        <v>334</v>
      </c>
      <c r="E62" s="13"/>
      <c r="F62" s="15"/>
      <c r="G62" s="15"/>
    </row>
    <row r="63" customFormat="false" ht="15" hidden="false" customHeight="true" outlineLevel="0" collapsed="false">
      <c r="A63" s="13" t="s">
        <v>335</v>
      </c>
      <c r="B63" s="13" t="s">
        <v>336</v>
      </c>
      <c r="C63" s="13" t="s">
        <v>337</v>
      </c>
      <c r="D63" s="13" t="s">
        <v>338</v>
      </c>
      <c r="E63" s="13"/>
      <c r="F63" s="15"/>
      <c r="G63" s="15"/>
    </row>
    <row r="64" customFormat="false" ht="23.25" hidden="false" customHeight="true" outlineLevel="0" collapsed="false">
      <c r="A64" s="13" t="s">
        <v>339</v>
      </c>
      <c r="B64" s="13" t="s">
        <v>340</v>
      </c>
      <c r="C64" s="13" t="s">
        <v>341</v>
      </c>
      <c r="D64" s="13" t="s">
        <v>342</v>
      </c>
      <c r="E64" s="13"/>
      <c r="F64" s="15"/>
      <c r="G64" s="15"/>
    </row>
    <row r="65" customFormat="false" ht="23.25" hidden="false" customHeight="true" outlineLevel="0" collapsed="false">
      <c r="A65" s="13" t="s">
        <v>343</v>
      </c>
      <c r="B65" s="13" t="s">
        <v>344</v>
      </c>
      <c r="C65" s="13" t="s">
        <v>345</v>
      </c>
      <c r="D65" s="13" t="s">
        <v>209</v>
      </c>
      <c r="E65" s="13"/>
      <c r="F65" s="15"/>
      <c r="G65" s="15"/>
    </row>
    <row r="66" customFormat="false" ht="23.25" hidden="false" customHeight="true" outlineLevel="0" collapsed="false">
      <c r="A66" s="13" t="s">
        <v>346</v>
      </c>
      <c r="B66" s="13" t="s">
        <v>347</v>
      </c>
      <c r="C66" s="13" t="s">
        <v>348</v>
      </c>
      <c r="D66" s="13" t="s">
        <v>209</v>
      </c>
      <c r="E66" s="13"/>
      <c r="F66" s="15"/>
      <c r="G66" s="15"/>
    </row>
    <row r="67" customFormat="false" ht="23.25" hidden="false" customHeight="true" outlineLevel="0" collapsed="false">
      <c r="A67" s="13" t="s">
        <v>349</v>
      </c>
      <c r="B67" s="13" t="s">
        <v>350</v>
      </c>
      <c r="C67" s="13" t="s">
        <v>351</v>
      </c>
      <c r="D67" s="13" t="s">
        <v>352</v>
      </c>
      <c r="E67" s="13"/>
      <c r="F67" s="15"/>
      <c r="G67" s="15"/>
    </row>
    <row r="68" customFormat="false" ht="23.25" hidden="false" customHeight="true" outlineLevel="0" collapsed="false">
      <c r="A68" s="13" t="s">
        <v>353</v>
      </c>
      <c r="B68" s="13" t="s">
        <v>354</v>
      </c>
      <c r="C68" s="13" t="s">
        <v>355</v>
      </c>
      <c r="D68" s="13" t="s">
        <v>356</v>
      </c>
      <c r="E68" s="13"/>
      <c r="F68" s="15"/>
      <c r="G68" s="15"/>
    </row>
    <row r="69" customFormat="false" ht="23.25" hidden="false" customHeight="true" outlineLevel="0" collapsed="false">
      <c r="A69" s="13" t="s">
        <v>357</v>
      </c>
      <c r="B69" s="13" t="s">
        <v>358</v>
      </c>
      <c r="C69" s="13" t="s">
        <v>359</v>
      </c>
      <c r="D69" s="13" t="s">
        <v>360</v>
      </c>
      <c r="E69" s="13"/>
      <c r="F69" s="15"/>
      <c r="G69" s="15"/>
    </row>
    <row r="70" customFormat="false" ht="15" hidden="false" customHeight="true" outlineLevel="0" collapsed="false">
      <c r="A70" s="13" t="s">
        <v>361</v>
      </c>
      <c r="B70" s="13" t="s">
        <v>362</v>
      </c>
      <c r="C70" s="13" t="s">
        <v>363</v>
      </c>
      <c r="D70" s="13" t="s">
        <v>127</v>
      </c>
      <c r="E70" s="13"/>
      <c r="F70" s="15"/>
      <c r="G70" s="15"/>
    </row>
    <row r="71" customFormat="false" ht="15" hidden="false" customHeight="true" outlineLevel="0" collapsed="false">
      <c r="A71" s="13" t="s">
        <v>364</v>
      </c>
      <c r="B71" s="13" t="s">
        <v>365</v>
      </c>
      <c r="C71" s="13" t="s">
        <v>366</v>
      </c>
      <c r="D71" s="13" t="s">
        <v>367</v>
      </c>
      <c r="E71" s="13"/>
      <c r="F71" s="15"/>
      <c r="G71" s="15"/>
    </row>
    <row r="72" customFormat="false" ht="23.25" hidden="false" customHeight="true" outlineLevel="0" collapsed="false">
      <c r="A72" s="13" t="s">
        <v>368</v>
      </c>
      <c r="B72" s="13" t="s">
        <v>369</v>
      </c>
      <c r="C72" s="13" t="s">
        <v>370</v>
      </c>
      <c r="D72" s="13" t="s">
        <v>371</v>
      </c>
      <c r="E72" s="13"/>
      <c r="F72" s="15"/>
      <c r="G72" s="15"/>
    </row>
    <row r="73" customFormat="false" ht="15" hidden="false" customHeight="true" outlineLevel="0" collapsed="false">
      <c r="A73" s="13" t="s">
        <v>372</v>
      </c>
      <c r="B73" s="13" t="s">
        <v>373</v>
      </c>
      <c r="C73" s="13" t="s">
        <v>374</v>
      </c>
      <c r="D73" s="13" t="s">
        <v>375</v>
      </c>
      <c r="E73" s="13"/>
      <c r="F73" s="15"/>
      <c r="G73" s="15"/>
    </row>
    <row r="74" customFormat="false" ht="23.25" hidden="false" customHeight="true" outlineLevel="0" collapsed="false">
      <c r="A74" s="13" t="s">
        <v>376</v>
      </c>
      <c r="B74" s="13" t="s">
        <v>377</v>
      </c>
      <c r="C74" s="13" t="s">
        <v>378</v>
      </c>
      <c r="D74" s="13" t="s">
        <v>360</v>
      </c>
      <c r="E74" s="13"/>
      <c r="F74" s="15"/>
      <c r="G74" s="15"/>
    </row>
    <row r="75" customFormat="false" ht="23.25" hidden="false" customHeight="true" outlineLevel="0" collapsed="false">
      <c r="A75" s="16" t="s">
        <v>95</v>
      </c>
      <c r="B75" s="16" t="s">
        <v>379</v>
      </c>
      <c r="C75" s="16" t="s">
        <v>380</v>
      </c>
      <c r="D75" s="16" t="s">
        <v>381</v>
      </c>
      <c r="E75" s="16" t="s">
        <v>124</v>
      </c>
      <c r="F75" s="16"/>
      <c r="G75" s="16"/>
    </row>
    <row r="76" customFormat="false" ht="15" hidden="false" customHeight="true" outlineLevel="0" collapsed="false">
      <c r="A76" s="13" t="s">
        <v>382</v>
      </c>
      <c r="B76" s="13" t="s">
        <v>383</v>
      </c>
      <c r="C76" s="13" t="s">
        <v>384</v>
      </c>
      <c r="D76" s="13" t="s">
        <v>385</v>
      </c>
      <c r="E76" s="13"/>
      <c r="F76" s="15"/>
      <c r="G76" s="15"/>
    </row>
    <row r="77" customFormat="false" ht="15" hidden="false" customHeight="true" outlineLevel="0" collapsed="false">
      <c r="A77" s="13" t="s">
        <v>386</v>
      </c>
      <c r="B77" s="13" t="s">
        <v>387</v>
      </c>
      <c r="C77" s="13" t="s">
        <v>384</v>
      </c>
      <c r="D77" s="13" t="s">
        <v>388</v>
      </c>
      <c r="E77" s="13"/>
      <c r="F77" s="15"/>
      <c r="G77" s="15"/>
    </row>
    <row r="78" customFormat="false" ht="23.25" hidden="false" customHeight="true" outlineLevel="0" collapsed="false">
      <c r="A78" s="13" t="s">
        <v>389</v>
      </c>
      <c r="B78" s="13" t="s">
        <v>390</v>
      </c>
      <c r="C78" s="13" t="s">
        <v>391</v>
      </c>
      <c r="D78" s="13" t="s">
        <v>266</v>
      </c>
      <c r="E78" s="13"/>
      <c r="F78" s="15"/>
      <c r="G78" s="15"/>
    </row>
    <row r="79" customFormat="false" ht="15" hidden="false" customHeight="true" outlineLevel="0" collapsed="false">
      <c r="A79" s="13" t="s">
        <v>392</v>
      </c>
      <c r="B79" s="13" t="s">
        <v>393</v>
      </c>
      <c r="C79" s="13" t="s">
        <v>394</v>
      </c>
      <c r="D79" s="13" t="s">
        <v>285</v>
      </c>
      <c r="E79" s="13"/>
      <c r="F79" s="15"/>
      <c r="G79" s="15"/>
    </row>
    <row r="80" customFormat="false" ht="23.25" hidden="false" customHeight="true" outlineLevel="0" collapsed="false">
      <c r="A80" s="13" t="s">
        <v>395</v>
      </c>
      <c r="B80" s="13" t="s">
        <v>396</v>
      </c>
      <c r="C80" s="13" t="s">
        <v>397</v>
      </c>
      <c r="D80" s="13" t="s">
        <v>209</v>
      </c>
      <c r="E80" s="13"/>
      <c r="F80" s="15"/>
      <c r="G80" s="15"/>
    </row>
    <row r="81" customFormat="false" ht="23.25" hidden="false" customHeight="true" outlineLevel="0" collapsed="false">
      <c r="A81" s="16" t="s">
        <v>88</v>
      </c>
      <c r="B81" s="16" t="s">
        <v>398</v>
      </c>
      <c r="C81" s="16" t="s">
        <v>397</v>
      </c>
      <c r="D81" s="16" t="s">
        <v>209</v>
      </c>
      <c r="E81" s="16" t="s">
        <v>124</v>
      </c>
      <c r="F81" s="16"/>
      <c r="G81" s="16"/>
    </row>
    <row r="82" customFormat="false" ht="23.25" hidden="false" customHeight="true" outlineLevel="0" collapsed="false">
      <c r="A82" s="13" t="s">
        <v>399</v>
      </c>
      <c r="B82" s="13" t="s">
        <v>400</v>
      </c>
      <c r="C82" s="13" t="s">
        <v>401</v>
      </c>
      <c r="D82" s="13" t="s">
        <v>402</v>
      </c>
      <c r="E82" s="13"/>
      <c r="F82" s="15"/>
      <c r="G82" s="15"/>
    </row>
    <row r="83" customFormat="false" ht="15" hidden="false" customHeight="true" outlineLevel="0" collapsed="false">
      <c r="A83" s="13" t="s">
        <v>403</v>
      </c>
      <c r="B83" s="13" t="s">
        <v>404</v>
      </c>
      <c r="C83" s="13" t="s">
        <v>405</v>
      </c>
      <c r="D83" s="13" t="s">
        <v>406</v>
      </c>
      <c r="E83" s="13"/>
      <c r="F83" s="15"/>
      <c r="G83" s="15"/>
    </row>
    <row r="84" customFormat="false" ht="15" hidden="false" customHeight="true" outlineLevel="0" collapsed="false">
      <c r="A84" s="13" t="s">
        <v>407</v>
      </c>
      <c r="B84" s="13" t="s">
        <v>408</v>
      </c>
      <c r="C84" s="13" t="s">
        <v>409</v>
      </c>
      <c r="D84" s="13" t="s">
        <v>410</v>
      </c>
      <c r="E84" s="13"/>
      <c r="F84" s="15"/>
      <c r="G84" s="15"/>
    </row>
    <row r="85" customFormat="false" ht="23.25" hidden="false" customHeight="true" outlineLevel="0" collapsed="false">
      <c r="A85" s="13" t="s">
        <v>411</v>
      </c>
      <c r="B85" s="13" t="s">
        <v>412</v>
      </c>
      <c r="C85" s="13" t="s">
        <v>413</v>
      </c>
      <c r="D85" s="13" t="s">
        <v>414</v>
      </c>
      <c r="E85" s="13"/>
      <c r="F85" s="15"/>
      <c r="G85" s="15"/>
    </row>
    <row r="86" customFormat="false" ht="15" hidden="false" customHeight="true" outlineLevel="0" collapsed="false">
      <c r="A86" s="13" t="s">
        <v>415</v>
      </c>
      <c r="B86" s="13" t="s">
        <v>416</v>
      </c>
      <c r="C86" s="13" t="s">
        <v>417</v>
      </c>
      <c r="D86" s="13" t="s">
        <v>418</v>
      </c>
      <c r="E86" s="13"/>
      <c r="F86" s="15"/>
      <c r="G86" s="15"/>
    </row>
    <row r="87" customFormat="false" ht="23.25" hidden="false" customHeight="true" outlineLevel="0" collapsed="false">
      <c r="A87" s="13" t="s">
        <v>419</v>
      </c>
      <c r="B87" s="13" t="s">
        <v>420</v>
      </c>
      <c r="C87" s="13" t="s">
        <v>421</v>
      </c>
      <c r="D87" s="13" t="s">
        <v>422</v>
      </c>
      <c r="E87" s="13"/>
      <c r="F87" s="15"/>
      <c r="G87" s="15"/>
    </row>
    <row r="88" customFormat="false" ht="15" hidden="false" customHeight="true" outlineLevel="0" collapsed="false">
      <c r="A88" s="13" t="s">
        <v>423</v>
      </c>
      <c r="B88" s="13" t="s">
        <v>424</v>
      </c>
      <c r="C88" s="13" t="s">
        <v>425</v>
      </c>
      <c r="D88" s="13" t="s">
        <v>426</v>
      </c>
      <c r="E88" s="13"/>
      <c r="F88" s="15"/>
      <c r="G88" s="15"/>
    </row>
    <row r="89" customFormat="false" ht="15" hidden="false" customHeight="true" outlineLevel="0" collapsed="false">
      <c r="A89" s="13" t="s">
        <v>427</v>
      </c>
      <c r="B89" s="13" t="s">
        <v>428</v>
      </c>
      <c r="C89" s="13" t="s">
        <v>429</v>
      </c>
      <c r="D89" s="13" t="s">
        <v>430</v>
      </c>
      <c r="E89" s="13"/>
      <c r="F89" s="15"/>
      <c r="G89" s="15"/>
    </row>
    <row r="90" customFormat="false" ht="23.25" hidden="false" customHeight="true" outlineLevel="0" collapsed="false">
      <c r="A90" s="16" t="s">
        <v>81</v>
      </c>
      <c r="B90" s="16" t="s">
        <v>431</v>
      </c>
      <c r="C90" s="16" t="s">
        <v>429</v>
      </c>
      <c r="D90" s="16" t="s">
        <v>432</v>
      </c>
      <c r="E90" s="16" t="s">
        <v>124</v>
      </c>
      <c r="F90" s="16"/>
      <c r="G90" s="16"/>
    </row>
    <row r="91" customFormat="false" ht="23.25" hidden="false" customHeight="true" outlineLevel="0" collapsed="false">
      <c r="A91" s="16" t="s">
        <v>35</v>
      </c>
      <c r="B91" s="16" t="s">
        <v>433</v>
      </c>
      <c r="C91" s="16" t="s">
        <v>429</v>
      </c>
      <c r="D91" s="16" t="s">
        <v>434</v>
      </c>
      <c r="E91" s="16" t="s">
        <v>124</v>
      </c>
      <c r="F91" s="16"/>
      <c r="G91" s="16"/>
    </row>
    <row r="92" customFormat="false" ht="23.25" hidden="false" customHeight="true" outlineLevel="0" collapsed="false">
      <c r="A92" s="13" t="s">
        <v>435</v>
      </c>
      <c r="B92" s="13" t="s">
        <v>436</v>
      </c>
      <c r="C92" s="13" t="s">
        <v>437</v>
      </c>
      <c r="D92" s="13" t="s">
        <v>438</v>
      </c>
      <c r="E92" s="13"/>
      <c r="F92" s="15"/>
      <c r="G92" s="15"/>
    </row>
    <row r="93" customFormat="false" ht="15" hidden="false" customHeight="true" outlineLevel="0" collapsed="false">
      <c r="A93" s="13" t="s">
        <v>439</v>
      </c>
      <c r="B93" s="13" t="s">
        <v>440</v>
      </c>
      <c r="C93" s="13" t="s">
        <v>441</v>
      </c>
      <c r="D93" s="13" t="s">
        <v>442</v>
      </c>
      <c r="E93" s="13"/>
      <c r="F93" s="15"/>
      <c r="G93" s="15"/>
    </row>
    <row r="94" customFormat="false" ht="23.25" hidden="false" customHeight="true" outlineLevel="0" collapsed="false">
      <c r="A94" s="13" t="s">
        <v>443</v>
      </c>
      <c r="B94" s="13" t="s">
        <v>444</v>
      </c>
      <c r="C94" s="13" t="s">
        <v>445</v>
      </c>
      <c r="D94" s="13" t="s">
        <v>446</v>
      </c>
      <c r="E94" s="13"/>
      <c r="F94" s="15"/>
      <c r="G94" s="15"/>
    </row>
    <row r="95" customFormat="false" ht="23.25" hidden="false" customHeight="true" outlineLevel="0" collapsed="false">
      <c r="A95" s="13" t="s">
        <v>447</v>
      </c>
      <c r="B95" s="13" t="s">
        <v>448</v>
      </c>
      <c r="C95" s="13" t="s">
        <v>449</v>
      </c>
      <c r="D95" s="13" t="s">
        <v>450</v>
      </c>
      <c r="E95" s="13"/>
      <c r="F95" s="15"/>
      <c r="G95" s="15"/>
    </row>
    <row r="96" customFormat="false" ht="23.25" hidden="false" customHeight="true" outlineLevel="0" collapsed="false">
      <c r="A96" s="13" t="s">
        <v>451</v>
      </c>
      <c r="B96" s="13" t="s">
        <v>452</v>
      </c>
      <c r="C96" s="13" t="s">
        <v>449</v>
      </c>
      <c r="D96" s="13" t="s">
        <v>453</v>
      </c>
      <c r="E96" s="13"/>
      <c r="F96" s="15"/>
      <c r="G96" s="15"/>
    </row>
    <row r="97" customFormat="false" ht="34.5" hidden="false" customHeight="true" outlineLevel="0" collapsed="false">
      <c r="A97" s="13" t="s">
        <v>454</v>
      </c>
      <c r="B97" s="13" t="s">
        <v>455</v>
      </c>
      <c r="C97" s="13" t="s">
        <v>456</v>
      </c>
      <c r="D97" s="13" t="s">
        <v>457</v>
      </c>
      <c r="E97" s="13"/>
      <c r="F97" s="15"/>
      <c r="G97" s="15"/>
    </row>
    <row r="98" customFormat="false" ht="23.25" hidden="false" customHeight="true" outlineLevel="0" collapsed="false">
      <c r="A98" s="13" t="s">
        <v>458</v>
      </c>
      <c r="B98" s="13" t="s">
        <v>459</v>
      </c>
      <c r="C98" s="13" t="s">
        <v>460</v>
      </c>
      <c r="D98" s="13" t="s">
        <v>461</v>
      </c>
      <c r="E98" s="13"/>
      <c r="F98" s="15"/>
      <c r="G98" s="15"/>
    </row>
    <row r="99" customFormat="false" ht="15" hidden="false" customHeight="true" outlineLevel="0" collapsed="false">
      <c r="A99" s="13" t="s">
        <v>462</v>
      </c>
      <c r="B99" s="13" t="s">
        <v>463</v>
      </c>
      <c r="C99" s="13" t="s">
        <v>464</v>
      </c>
      <c r="D99" s="13" t="s">
        <v>465</v>
      </c>
      <c r="E99" s="13"/>
      <c r="F99" s="15"/>
      <c r="G99" s="15"/>
    </row>
  </sheetData>
  <dataValidations count="1">
    <dataValidation allowBlank="true" errorStyle="stop" operator="between" showDropDown="false" showErrorMessage="false" showInputMessage="false" sqref="F5:F99" type="list">
      <formula1>"passt,ändern,unklar"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</cols>
  <sheetData>
    <row r="1" customFormat="false" ht="19.5" hidden="false" customHeight="true" outlineLevel="0" collapsed="false">
      <c r="A1" s="2" t="s">
        <v>466</v>
      </c>
    </row>
    <row r="3" customFormat="false" ht="15" hidden="false" customHeight="true" outlineLevel="0" collapsed="false">
      <c r="A3" s="17" t="s">
        <v>467</v>
      </c>
      <c r="B3" s="17" t="s">
        <v>468</v>
      </c>
    </row>
    <row r="4" customFormat="false" ht="15" hidden="false" customHeight="true" outlineLevel="0" collapsed="false">
      <c r="A4" s="18" t="s">
        <v>469</v>
      </c>
      <c r="B4" s="19" t="n">
        <f aca="false">COUNTA('Die zwölf zuerst'!I5:I16)</f>
        <v>12</v>
      </c>
    </row>
    <row r="5" customFormat="false" ht="15" hidden="false" customHeight="true" outlineLevel="0" collapsed="false">
      <c r="A5" s="18" t="s">
        <v>470</v>
      </c>
      <c r="B5" s="19" t="n">
        <f aca="false">COUNTIF('Die zwölf zuerst'!I5:I16,"A")</f>
        <v>1</v>
      </c>
    </row>
    <row r="6" customFormat="false" ht="15" hidden="false" customHeight="true" outlineLevel="0" collapsed="false">
      <c r="A6" s="18" t="s">
        <v>471</v>
      </c>
      <c r="B6" s="19" t="n">
        <f aca="false">COUNTIF('Die zwölf zuerst'!I5:I16,"B")</f>
        <v>4</v>
      </c>
    </row>
    <row r="7" customFormat="false" ht="15" hidden="false" customHeight="true" outlineLevel="0" collapsed="false">
      <c r="A7" s="18" t="s">
        <v>472</v>
      </c>
      <c r="B7" s="19" t="n">
        <f aca="false">COUNTIF('Die zwölf zuerst'!I5:I16,"C")</f>
        <v>1</v>
      </c>
    </row>
    <row r="8" customFormat="false" ht="15" hidden="false" customHeight="true" outlineLevel="0" collapsed="false">
      <c r="A8" s="18" t="s">
        <v>473</v>
      </c>
      <c r="B8" s="19" t="n">
        <f aca="false">COUNTIF('Die zwölf zuerst'!I5:I16,"eigene")</f>
        <v>0</v>
      </c>
    </row>
    <row r="9" customFormat="false" ht="15" hidden="false" customHeight="true" outlineLevel="0" collapsed="false">
      <c r="A9" s="18" t="s">
        <v>474</v>
      </c>
      <c r="B9" s="19" t="n">
        <f aca="false">12-B4</f>
        <v>0</v>
      </c>
    </row>
    <row r="10" customFormat="false" ht="15" hidden="false" customHeight="true" outlineLevel="0" collapsed="false">
      <c r="A10" s="18" t="s">
        <v>475</v>
      </c>
      <c r="B10" s="19" t="n">
        <f aca="false">COUNTIF('Alle 95'!F5:F99,"passt")</f>
        <v>0</v>
      </c>
    </row>
    <row r="11" customFormat="false" ht="15" hidden="false" customHeight="true" outlineLevel="0" collapsed="false">
      <c r="A11" s="18" t="s">
        <v>476</v>
      </c>
      <c r="B11" s="19" t="n">
        <f aca="false">COUNTIF('Alle 95'!F5:F99,"ändern")</f>
        <v>0</v>
      </c>
    </row>
    <row r="12" customFormat="false" ht="15" hidden="false" customHeight="true" outlineLevel="0" collapsed="false">
      <c r="A12" s="18" t="s">
        <v>477</v>
      </c>
      <c r="B12" s="19" t="n">
        <f aca="false">COUNTIF('Alle 95'!F5:F99,"unklar")</f>
        <v>0</v>
      </c>
    </row>
    <row r="13" customFormat="false" ht="15" hidden="false" customHeight="true" outlineLevel="0" collapsed="false">
      <c r="A13" s="18" t="s">
        <v>478</v>
      </c>
      <c r="B13" s="19" t="n">
        <f aca="false">83-B10-B11-B12</f>
        <v>83</v>
      </c>
    </row>
    <row r="14" customFormat="false" ht="15" hidden="false" customHeight="true" outlineLevel="0" collapsed="false">
      <c r="A14" s="18" t="s">
        <v>479</v>
      </c>
      <c r="B14" s="19" t="n">
        <f aca="false">COUNTA('Alle 95'!A5:A99)</f>
        <v>95</v>
      </c>
    </row>
    <row r="17" customFormat="false" ht="15" hidden="false" customHeight="true" outlineLevel="0" collapsed="false">
      <c r="A17" s="20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2026-09-21T14:17:47Z</dcterms:created>
  <dc:creator>openpyxl</dc:creator>
  <dc:description/>
  <dc:language>en-US</dc:language>
  <cp:lastModifiedBy/>
  <dcterms:modified xsi:type="dcterms:W3CDTF">2026-09-27T10:23:40Z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