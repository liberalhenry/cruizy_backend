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Freigaben" sheetId="2" state="visible" r:id="rId4"/>
    <sheet name="Termine" sheetId="3" state="visible" r:id="rId5"/>
    <sheet name="Aufwand" sheetId="4" state="visible" r:id="rId6"/>
    <sheet name="Messung" sheetId="5" state="visible" r:id="rId7"/>
    <sheet name="Kalender" sheetId="6" state="visible" r:id="rId8"/>
  </sheets>
  <definedNames>
    <definedName function="false" hidden="true" localSheetId="1" name="_xlnm._FilterDatabase" vbProcedure="false">Freigaben!$A$4:$P$58</definedName>
    <definedName function="false" hidden="true" localSheetId="2" name="_xlnm._FilterDatabase" vbProcedure="false">Termine!$A$4:$V$204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<sst xmlns="http://schemas.openxmlformats.org/spreadsheetml/2006/main" count="422" uniqueCount="332">
  <si>
    <t xml:space="preserve">Terminservice „Heute ohne App“ — Arbeitstabelle</t>
  </si>
  <si>
    <t xml:space="preserve">ENTWURF · Aufgabe A-16 · erstellt 15.09.2026 · Konzept: terminservice-konzept.md (gleicher Ordner) · Nichts wird ohne Freigabe beider Gründer veröffentlicht.</t>
  </si>
  <si>
    <t xml:space="preserve">LEGENDE: Gelbe Zellen sind zum Ausfüllen. Blaue Zahlen sind Planwerte und dürfen überschrieben werden. Alles andere rechnet. Graue Zeilen mit „BEISPIEL“ vor Gebrauch löschen.</t>
  </si>
  <si>
    <t xml:space="preserve">Die Blätter</t>
  </si>
  <si>
    <t xml:space="preserve">Blatt</t>
  </si>
  <si>
    <t xml:space="preserve">Wofür</t>
  </si>
  <si>
    <t xml:space="preserve">Wann</t>
  </si>
  <si>
    <t xml:space="preserve">Freigaben</t>
  </si>
  <si>
    <t xml:space="preserve">Wer genannt werden darf. Ohne Eintrag „freigegeben“ wird kein Termin veröffentlicht. Vorbefüllt mit den 33 benannten Orten der Ortsliste Köln (Stand 24.07.2026).</t>
  </si>
  <si>
    <t xml:space="preserve">bei jedem Gespräch mit einem Ort</t>
  </si>
  <si>
    <t xml:space="preserve">Termine</t>
  </si>
  <si>
    <t xml:space="preserve">Sammeln, prüfen, auswählen. Die Spalte „Veröffentlichungsfähig?“ sagt, ob alle Regeln erfüllt sind — und wenn nicht, warum.</t>
  </si>
  <si>
    <t xml:space="preserve">Montag bis Mittwoch</t>
  </si>
  <si>
    <t xml:space="preserve">Aufwand</t>
  </si>
  <si>
    <t xml:space="preserve">Minuten je Arbeitsschritt und Formatoption. Prüft das Abnahmekriterium: unter drei Stunden je Woche für Gründer 2.</t>
  </si>
  <si>
    <t xml:space="preserve">vor dem Start, dann nach Woche 3</t>
  </si>
  <si>
    <t xml:space="preserve">Messung</t>
  </si>
  <si>
    <t xml:space="preserve">Kennzahlen je Woche, Soll-Werte der Gründer und das Feld für die Entscheidung nach Woche 13.</t>
  </si>
  <si>
    <t xml:space="preserve">jeden Montag</t>
  </si>
  <si>
    <t xml:space="preserve">Kalender</t>
  </si>
  <si>
    <t xml:space="preserve">Die 13 Ausgaben mit Datum und die Anlässe, die in den Zeitraum fallen. Rechnet vom Startdatum im Blatt „Messung“.</t>
  </si>
  <si>
    <t xml:space="preserve">sobald T0 feststeht (Nr. 45)</t>
  </si>
  <si>
    <t xml:space="preserve">Fünf Regeln, die jede Woche gelten</t>
  </si>
  <si>
    <t xml:space="preserve">Regel</t>
  </si>
  <si>
    <t xml:space="preserve">Inhalt</t>
  </si>
  <si>
    <t xml:space="preserve">Konzept</t>
  </si>
  <si>
    <t xml:space="preserve">Freigabe vor Nennung</t>
  </si>
  <si>
    <t xml:space="preserve">Ein Veranstalter wird erst genannt, wenn seine Freigabe in Textform vorliegt. Das gilt auch für große Veranstalter.</t>
  </si>
  <si>
    <t xml:space="preserve">Abschnitt 4, Q2</t>
  </si>
  <si>
    <t xml:space="preserve">An der Quelle bestätigen</t>
  </si>
  <si>
    <t xml:space="preserve">Jede Angabe wird beim Veranstalter selbst geprüft, nie aus einem Sammelkalender übernommen.</t>
  </si>
  <si>
    <t xml:space="preserve">Abschnitt 4, Q3 und Q4</t>
  </si>
  <si>
    <t xml:space="preserve">Eigene Worte, eigene Gestaltung</t>
  </si>
  <si>
    <t xml:space="preserve">Keine fremden Texte, keine Flyer, Logos oder Fotos — auch nicht über die Teilen-Funktion.</t>
  </si>
  <si>
    <t xml:space="preserve">Abschnitt 4, Q5 und Q6</t>
  </si>
  <si>
    <t xml:space="preserve">Ampel rot nie öffentlich</t>
  </si>
  <si>
    <t xml:space="preserve">Termine, deren Kern sexuelle Handlungen sind, erscheinen nicht im öffentlichen Kanal. Orte im öffentlichen Raum zum Cruisen erscheinen nirgends.</t>
  </si>
  <si>
    <t xml:space="preserve">Abschnitt 5 und Nr. 55</t>
  </si>
  <si>
    <t xml:space="preserve">Gegenleistung heißt Kennzeichnung</t>
  </si>
  <si>
    <t xml:space="preserve">Wird eine Gegenleistung vereinbart, etwa Hervorhebung gegen Erwähnung, wird die Nennung als Werbung gekennzeichnet (§ 5a Abs. 4 UWG).</t>
  </si>
  <si>
    <t xml:space="preserve">Abschnitt 4, Q9</t>
  </si>
  <si>
    <t xml:space="preserve">Wochenablauf</t>
  </si>
  <si>
    <t xml:space="preserve">Tag · Schritt</t>
  </si>
  <si>
    <t xml:space="preserve">Was</t>
  </si>
  <si>
    <t xml:space="preserve">Minuten (gewählte Option)</t>
  </si>
  <si>
    <t xml:space="preserve">Mo · termine@ sichten</t>
  </si>
  <si>
    <t xml:space="preserve">Neue Veranstalter-Mails lesen, Termine ins Blatt „Termine“ eintragen, erledigte Mails markieren</t>
  </si>
  <si>
    <t xml:space="preserve">Di · Terminkanäle durchgehen</t>
  </si>
  <si>
    <t xml:space="preserve">Öffentliche Kanäle der freigegebenen Veranstalter prüfen; Sammelkalender nur als Hinweis; Neue ohne Freigabe nur ins Blatt „Freigaben“</t>
  </si>
  <si>
    <t xml:space="preserve">Mi · Prüfen, auswählen, texten</t>
  </si>
  <si>
    <t xml:space="preserve">Jede Angabe an der Veranstalterquelle bestätigen, Ampel prüfen, höchstens zehn Termine wählen, Kurzinfos in eigenen Worten</t>
  </si>
  <si>
    <t xml:space="preserve">Do · Wochenset gestalten</t>
  </si>
  <si>
    <t xml:space="preserve">Titelframe, Terminframes und Schlussframe aus der Vorlage befüllen</t>
  </si>
  <si>
    <t xml:space="preserve">Do · Tagesframes vorplanen</t>
  </si>
  <si>
    <t xml:space="preserve">Je einen Frame „Heute in Köln“ für Freitag bis Mittwoch anlegen und zeitlich planen</t>
  </si>
  <si>
    <t xml:space="preserve">Do · Live veröffentlichen</t>
  </si>
  <si>
    <t xml:space="preserve">Wochenset posten, Erwähnungen und Frage-Sticker setzen, Highlight „Diese Woche“ austauschen</t>
  </si>
  <si>
    <t xml:space="preserve">tägl. · Änderungen prüfen</t>
  </si>
  <si>
    <t xml:space="preserve">Absagen der Tagesauswahl beim Veranstalter prüfen, bei Bedarf Korrektur-Frame (6 × 3 Min.; schlank: nur Fr–So, 3 × 3 Min.)</t>
  </si>
  <si>
    <t xml:space="preserve">Do · Mail schreiben</t>
  </si>
  <si>
    <t xml:space="preserve">Mail aus dem Gerüst befüllen; bei „beides“ die Kurzinfos der Stories übernehmen</t>
  </si>
  <si>
    <t xml:space="preserve">Do · Mail prüfen und planen</t>
  </si>
  <si>
    <t xml:space="preserve">Testversand an die eigene Adresse, Mobil- und Dunkelansicht, Links, Versand für Donnerstag planen</t>
  </si>
  <si>
    <t xml:space="preserve">lfd. · Antworten</t>
  </si>
  <si>
    <t xml:space="preserve">Story-Antworten und Antwort-Mails beantworten (bei „Modul“ nur Stories — die Mail gehört zu A-17)</t>
  </si>
  <si>
    <t xml:space="preserve">Mo · Messen</t>
  </si>
  <si>
    <t xml:space="preserve">Kennzahlen der Vorwoche und Ist-Minuten ins Blatt „Messung“ eintragen</t>
  </si>
  <si>
    <t xml:space="preserve">Summe</t>
  </si>
  <si>
    <t xml:space="preserve">Gewählte Option steht im Blatt „Aufwand“, Zelle C22.</t>
  </si>
  <si>
    <t xml:space="preserve">Freigaben — wer genannt werden darf</t>
  </si>
  <si>
    <t xml:space="preserve">Vorbefüllt aus 60-orte-b2b/ortsliste-koeln.xlsx (Stand 24.07.2026). Die Ampel ist ein Vorschlag nach der Art des Ortes und wird im Gespräch geprüft. Gegenleistung „ja“ bedeutet: jede Nennung als Werbung kennzeichnen.</t>
  </si>
  <si>
    <t xml:space="preserve">Nr</t>
  </si>
  <si>
    <t xml:space="preserve">Veranstalter oder Ort</t>
  </si>
  <si>
    <t xml:space="preserve">Nr. in Ortsliste</t>
  </si>
  <si>
    <t xml:space="preserve">Art (laut Ortsliste)</t>
  </si>
  <si>
    <t xml:space="preserve">Recherche-Status (Ortsliste)</t>
  </si>
  <si>
    <t xml:space="preserve">Öffentlicher Terminkanal (Website, Profil, Newsletter)</t>
  </si>
  <si>
    <t xml:space="preserve">Freigabe erteilt am</t>
  </si>
  <si>
    <t xml:space="preserve">Form der Freigabe</t>
  </si>
  <si>
    <t xml:space="preserve">Wer hat gefragt</t>
  </si>
  <si>
    <t xml:space="preserve">Gegenleistung vereinbart?</t>
  </si>
  <si>
    <t xml:space="preserve">Beispielmail aufbewahren erlaubt?</t>
  </si>
  <si>
    <t xml:space="preserve">Widerrufen am</t>
  </si>
  <si>
    <t xml:space="preserve">Status</t>
  </si>
  <si>
    <t xml:space="preserve">Ampel (Vorschlag)</t>
  </si>
  <si>
    <t xml:space="preserve">Kennzeichnung nötig?</t>
  </si>
  <si>
    <t xml:space="preserve">Notiz</t>
  </si>
  <si>
    <t xml:space="preserve">BSP</t>
  </si>
  <si>
    <t xml:space="preserve">Beispielort (fiktiv) — BEISPIEL, vor Gebrauch löschen</t>
  </si>
  <si>
    <t xml:space="preserve">—</t>
  </si>
  <si>
    <t xml:space="preserve">Bar</t>
  </si>
  <si>
    <t xml:space="preserve">www.beispiel.invalid/termine</t>
  </si>
  <si>
    <t xml:space="preserve">Gespräch + Nachricht</t>
  </si>
  <si>
    <t xml:space="preserve">Gründer 2</t>
  </si>
  <si>
    <t xml:space="preserve">nein</t>
  </si>
  <si>
    <t xml:space="preserve">grün</t>
  </si>
  <si>
    <t xml:space="preserve">Beispiel zur Formelprüfung</t>
  </si>
  <si>
    <t xml:space="preserve">ExCorner</t>
  </si>
  <si>
    <t xml:space="preserve">Bar/Tanzbar</t>
  </si>
  <si>
    <t xml:space="preserve">per Websuche bestätigt 07/2026</t>
  </si>
  <si>
    <t xml:space="preserve">Schampanja</t>
  </si>
  <si>
    <t xml:space="preserve">Kneipe (Institution, 30+ Jahre)</t>
  </si>
  <si>
    <t xml:space="preserve">Die Mumu</t>
  </si>
  <si>
    <t xml:space="preserve">Bar (Karaoke, schrill)</t>
  </si>
  <si>
    <t xml:space="preserve">Iron Cocktail Lounge</t>
  </si>
  <si>
    <t xml:space="preserve">Cocktailbar</t>
  </si>
  <si>
    <t xml:space="preserve">Blue Lounge</t>
  </si>
  <si>
    <t xml:space="preserve">Bar (gemischt/lesbisch)</t>
  </si>
  <si>
    <t xml:space="preserve">Vorwissen — vor Kontakt verifizieren</t>
  </si>
  <si>
    <t xml:space="preserve">Stiefelknecht</t>
  </si>
  <si>
    <t xml:space="preserve">Leder-/Cruising-Bar</t>
  </si>
  <si>
    <t xml:space="preserve">gelb</t>
  </si>
  <si>
    <t xml:space="preserve">Vampire</t>
  </si>
  <si>
    <t xml:space="preserve">Bar (lesbisch/queer)</t>
  </si>
  <si>
    <t xml:space="preserve">Baustelle 4U</t>
  </si>
  <si>
    <t xml:space="preserve">Barcelon</t>
  </si>
  <si>
    <t xml:space="preserve">Café-Bar</t>
  </si>
  <si>
    <t xml:space="preserve">Zum Pitter</t>
  </si>
  <si>
    <t xml:space="preserve">Traditionskneipe</t>
  </si>
  <si>
    <t xml:space="preserve">Comeback</t>
  </si>
  <si>
    <t xml:space="preserve">Kneipe</t>
  </si>
  <si>
    <t xml:space="preserve">evtl. geschlossen laut Ortsliste — prüfen</t>
  </si>
  <si>
    <t xml:space="preserve">Exile on Mainstreet</t>
  </si>
  <si>
    <t xml:space="preserve">Hotel Timp</t>
  </si>
  <si>
    <t xml:space="preserve">Travestie-Bar/Hotel</t>
  </si>
  <si>
    <t xml:space="preserve">Badehaus Babylon</t>
  </si>
  <si>
    <t xml:space="preserve">Sauna</t>
  </si>
  <si>
    <t xml:space="preserve">Phoenix Sauna Köln</t>
  </si>
  <si>
    <t xml:space="preserve">Station 2B</t>
  </si>
  <si>
    <t xml:space="preserve">Cruising-Club</t>
  </si>
  <si>
    <t xml:space="preserve">Chains</t>
  </si>
  <si>
    <t xml:space="preserve">Fetisch-/Cruising-Bar</t>
  </si>
  <si>
    <t xml:space="preserve">Hustler</t>
  </si>
  <si>
    <t xml:space="preserve">Cruising-Bar</t>
  </si>
  <si>
    <t xml:space="preserve">Existenz unklar — prüfen oder streichen</t>
  </si>
  <si>
    <t xml:space="preserve">Existenz unklar laut Ortsliste — vor Kontakt prüfen</t>
  </si>
  <si>
    <t xml:space="preserve">Gloria Theater</t>
  </si>
  <si>
    <t xml:space="preserve">Club/Kulturhaus (queer-affin)</t>
  </si>
  <si>
    <t xml:space="preserve">Garry Klein</t>
  </si>
  <si>
    <t xml:space="preserve">Queere Techno-Partyreihe</t>
  </si>
  <si>
    <t xml:space="preserve">Revolver Party</t>
  </si>
  <si>
    <t xml:space="preserve">Queere Partyreihe</t>
  </si>
  <si>
    <t xml:space="preserve">Queerfilmnacht Köln</t>
  </si>
  <si>
    <t xml:space="preserve">Filmreihe</t>
  </si>
  <si>
    <t xml:space="preserve">anyway e.V.</t>
  </si>
  <si>
    <t xml:space="preserve">Queeres Jugendzentrum + Café</t>
  </si>
  <si>
    <t xml:space="preserve">rubicon e.V.</t>
  </si>
  <si>
    <t xml:space="preserve">Queere Beratungsstelle</t>
  </si>
  <si>
    <t xml:space="preserve">Aidshilfe Köln</t>
  </si>
  <si>
    <t xml:space="preserve">Gesundheit/Beratung</t>
  </si>
  <si>
    <t xml:space="preserve">Checkpoint Köln</t>
  </si>
  <si>
    <t xml:space="preserve">Test-/Gesundheitsangebot</t>
  </si>
  <si>
    <t xml:space="preserve">SC Janus e.V.</t>
  </si>
  <si>
    <t xml:space="preserve">Queerer Sportverein (Europas größter)</t>
  </si>
  <si>
    <t xml:space="preserve">Centrum Schwule Geschichte</t>
  </si>
  <si>
    <t xml:space="preserve">Archiv/Verein</t>
  </si>
  <si>
    <t xml:space="preserve">ColognePride / KLuST e.V.</t>
  </si>
  <si>
    <t xml:space="preserve">CSD-Veranstalter (19.06.–05.07.2026)</t>
  </si>
  <si>
    <t xml:space="preserve">QueerGoingOut</t>
  </si>
  <si>
    <t xml:space="preserve">Terminkalender Köln (Medium)</t>
  </si>
  <si>
    <t xml:space="preserve">Rosa Funken Köln</t>
  </si>
  <si>
    <t xml:space="preserve">Schwuler Karnevalsverein</t>
  </si>
  <si>
    <t xml:space="preserve">Colombina Colonia</t>
  </si>
  <si>
    <t xml:space="preserve">Schwul-lesbischer Karnevalsverein</t>
  </si>
  <si>
    <t xml:space="preserve">Zauberflöten Köln</t>
  </si>
  <si>
    <t xml:space="preserve">Schwuler Chor</t>
  </si>
  <si>
    <t xml:space="preserve">Freigegeben</t>
  </si>
  <si>
    <t xml:space="preserve">Offen</t>
  </si>
  <si>
    <t xml:space="preserve">Widerrufen</t>
  </si>
  <si>
    <t xml:space="preserve">Mit Gegenleistung (Kennzeichnung nötig)</t>
  </si>
  <si>
    <t xml:space="preserve">Hinweis</t>
  </si>
  <si>
    <t xml:space="preserve">Die Zählung beginnt unter der Beispielzeile.</t>
  </si>
  <si>
    <t xml:space="preserve">Termine — sammeln, prüfen, auswählen</t>
  </si>
  <si>
    <t xml:space="preserve">Veranstalter genau so schreiben wie im Blatt „Freigaben“ (Spalte B), sonst findet die Prüfung keine Freigabe. Kurzinfo höchstens 60 Zeichen, eigene Worte. „Veröffentlichungsfähig?“ prüft Freigabe, Bestätigung an der Quelle, Ampel und Länge.</t>
  </si>
  <si>
    <t xml:space="preserve">Woche (1–13)</t>
  </si>
  <si>
    <t xml:space="preserve">Datum</t>
  </si>
  <si>
    <t xml:space="preserve">Tag</t>
  </si>
  <si>
    <t xml:space="preserve">Beginn</t>
  </si>
  <si>
    <t xml:space="preserve">Ende</t>
  </si>
  <si>
    <t xml:space="preserve">Titel (wie angekündigt)</t>
  </si>
  <si>
    <t xml:space="preserve">Kurzinfo in eigenen Worten</t>
  </si>
  <si>
    <t xml:space="preserve">Zeichen</t>
  </si>
  <si>
    <t xml:space="preserve">Veranstalter oder Ort (wie in „Freigaben“)</t>
  </si>
  <si>
    <t xml:space="preserve">Freigabe?</t>
  </si>
  <si>
    <t xml:space="preserve">Ampel</t>
  </si>
  <si>
    <t xml:space="preserve">Quelle beim Veranstalter (Link)</t>
  </si>
  <si>
    <t xml:space="preserve">An der Quelle bestätigt am</t>
  </si>
  <si>
    <t xml:space="preserve">Gefunden über</t>
  </si>
  <si>
    <t xml:space="preserve">ab 18</t>
  </si>
  <si>
    <t xml:space="preserve">Eintritt (nur wenn angegeben)</t>
  </si>
  <si>
    <t xml:space="preserve">Zugang (nur wenn angegeben)</t>
  </si>
  <si>
    <t xml:space="preserve">Kanal</t>
  </si>
  <si>
    <t xml:space="preserve">Veröffentlichungsfähig?</t>
  </si>
  <si>
    <t xml:space="preserve">Grund, falls nein</t>
  </si>
  <si>
    <t xml:space="preserve">Beispielabend — BEISPIEL, vor Gebrauch löschen</t>
  </si>
  <si>
    <t xml:space="preserve">Quiz mit Musik, ohne Anmeldung</t>
  </si>
  <si>
    <t xml:space="preserve">Terminkanal des Veranstalters</t>
  </si>
  <si>
    <t xml:space="preserve">frei</t>
  </si>
  <si>
    <t xml:space="preserve">beides</t>
  </si>
  <si>
    <t xml:space="preserve">ausgewählt</t>
  </si>
  <si>
    <t xml:space="preserve">Aufwand — hält das Abnahmekriterium?</t>
  </si>
  <si>
    <t xml:space="preserve">Abnahmekriterium A-16: Gründer 2 produziert in unter drei Stunden je Woche (unter 180 Minuten). Planwerte in Blau, nach Woche 3 mit den Ist-Minuten aus „Messung“ vergleichen.</t>
  </si>
  <si>
    <t xml:space="preserve">A · Story-Serie</t>
  </si>
  <si>
    <t xml:space="preserve">B · Wochenmail</t>
  </si>
  <si>
    <t xml:space="preserve">C · beides, vollständig</t>
  </si>
  <si>
    <t xml:space="preserve">C · beides, schlank</t>
  </si>
  <si>
    <t xml:space="preserve">C · beides, Mail als Modul</t>
  </si>
  <si>
    <t xml:space="preserve">Schritt</t>
  </si>
  <si>
    <t xml:space="preserve">A</t>
  </si>
  <si>
    <t xml:space="preserve">B</t>
  </si>
  <si>
    <t xml:space="preserve">CV</t>
  </si>
  <si>
    <t xml:space="preserve">CS</t>
  </si>
  <si>
    <t xml:space="preserve">CM</t>
  </si>
  <si>
    <t xml:space="preserve">S1</t>
  </si>
  <si>
    <t xml:space="preserve">Mo</t>
  </si>
  <si>
    <t xml:space="preserve">termine@ sichten: Neue Veranstalter-Mails lesen, Termine ins Blatt „Termine“ eintragen, erledigte Mails markieren</t>
  </si>
  <si>
    <t xml:space="preserve">S2</t>
  </si>
  <si>
    <t xml:space="preserve">Di</t>
  </si>
  <si>
    <t xml:space="preserve">Terminkanäle durchgehen: Öffentliche Kanäle der freigegebenen Veranstalter prüfen; Sammelkalender nur als Hinweis; Neue ohne Freigabe nur ins Blatt „Freigaben“</t>
  </si>
  <si>
    <t xml:space="preserve">S3</t>
  </si>
  <si>
    <t xml:space="preserve">Mi</t>
  </si>
  <si>
    <t xml:space="preserve">Prüfen, auswählen, texten: Jede Angabe an der Veranstalterquelle bestätigen, Ampel prüfen, höchstens zehn Termine wählen, Kurzinfos in eigenen Worten</t>
  </si>
  <si>
    <t xml:space="preserve">S4</t>
  </si>
  <si>
    <t xml:space="preserve">Do</t>
  </si>
  <si>
    <t xml:space="preserve">Wochenset gestalten: Titelframe, Terminframes und Schlussframe aus der Vorlage befüllen</t>
  </si>
  <si>
    <t xml:space="preserve">S5</t>
  </si>
  <si>
    <t xml:space="preserve">Tagesframes vorplanen: Je einen Frame „Heute in Köln“ für Freitag bis Mittwoch anlegen und zeitlich planen</t>
  </si>
  <si>
    <t xml:space="preserve">S6</t>
  </si>
  <si>
    <t xml:space="preserve">Live veröffentlichen: Wochenset posten, Erwähnungen und Frage-Sticker setzen, Highlight „Diese Woche“ austauschen</t>
  </si>
  <si>
    <t xml:space="preserve">S7</t>
  </si>
  <si>
    <t xml:space="preserve">tägl.</t>
  </si>
  <si>
    <t xml:space="preserve">Änderungen prüfen: Absagen der Tagesauswahl beim Veranstalter prüfen, bei Bedarf Korrektur-Frame (6 × 3 Min.; schlank: nur Fr–So, 3 × 3 Min.)</t>
  </si>
  <si>
    <t xml:space="preserve">S8</t>
  </si>
  <si>
    <t xml:space="preserve">Mail schreiben: Mail aus dem Gerüst befüllen; bei „beides“ die Kurzinfos der Stories übernehmen</t>
  </si>
  <si>
    <t xml:space="preserve">S9</t>
  </si>
  <si>
    <t xml:space="preserve">Mail prüfen und planen: Testversand an die eigene Adresse, Mobil- und Dunkelansicht, Links, Versand für Donnerstag planen</t>
  </si>
  <si>
    <t xml:space="preserve">S10</t>
  </si>
  <si>
    <t xml:space="preserve">lfd.</t>
  </si>
  <si>
    <t xml:space="preserve">Antworten: Story-Antworten und Antwort-Mails beantworten (bei „Modul“ nur Stories — die Mail gehört zu A-17)</t>
  </si>
  <si>
    <t xml:space="preserve">S11</t>
  </si>
  <si>
    <t xml:space="preserve">Messen: Kennzahlen der Vorwoche und Ist-Minuten ins Blatt „Messung“ eintragen</t>
  </si>
  <si>
    <t xml:space="preserve">Summe je Woche (Minuten)</t>
  </si>
  <si>
    <t xml:space="preserve">in Stunden und Minuten</t>
  </si>
  <si>
    <t xml:space="preserve">Abnahme: unter 180 Minuten</t>
  </si>
  <si>
    <t xml:space="preserve">Puffer bis 180 Minuten</t>
  </si>
  <si>
    <t xml:space="preserve">Wahl</t>
  </si>
  <si>
    <t xml:space="preserve">Option</t>
  </si>
  <si>
    <t xml:space="preserve">gewählte Option (Kürzel aus Zeile 5) — Entscheidung Nr. 52, bis dahin Vorschlag A</t>
  </si>
  <si>
    <t xml:space="preserve">Planwert der gewählten Option (Minuten)</t>
  </si>
  <si>
    <t xml:space="preserve">Ist-Minuten im Schnitt (aus „Messung“, sobald eingetragen)</t>
  </si>
  <si>
    <t xml:space="preserve">Ist unter 180 Minuten?</t>
  </si>
  <si>
    <t xml:space="preserve">Variante A+ — Wochenübersicht zusätzlich als Carousel, damit „Gespeichert“ messbar wird (+20 Min.)</t>
  </si>
  <si>
    <t xml:space="preserve">A+ voll gezählt (Minuten)</t>
  </si>
  <si>
    <t xml:space="preserve">A+ voll gezählt unter 180 Minuten?</t>
  </si>
  <si>
    <t xml:space="preserve">A+, wenn der Carousel einen der sieben Wochenbeiträge aus A-05 ersetzt (Zeit aus dem A-05-Budget)</t>
  </si>
  <si>
    <t xml:space="preserve">Vier-Augen-Freigabe durch den anderen Gründer (nicht im Budget von Gründer 2)</t>
  </si>
  <si>
    <t xml:space="preserve">Wenn es länger dauert</t>
  </si>
  <si>
    <t xml:space="preserve">1. Tägliche Frames auf Freitag bis Sonntag beschränken (Option schlank).</t>
  </si>
  <si>
    <t xml:space="preserve">2. Höchstens sechs statt zehn Termine je Ausgabe.</t>
  </si>
  <si>
    <t xml:space="preserve">3. Sammelkalender nur noch alle zwei Wochen durchsehen.</t>
  </si>
  <si>
    <t xml:space="preserve">4. Mail auf das Modul in der Wochenmail aus A-17 umstellen (nur nach Nr. 53).</t>
  </si>
  <si>
    <t xml:space="preserve">Nie kürzen: die Bestätigung an der Quelle, die Freigabeprüfung, die Vier-Augen-Freigabe.</t>
  </si>
  <si>
    <t xml:space="preserve">Messung — jede Woche, ohne Tracking</t>
  </si>
  <si>
    <t xml:space="preserve">Erste Ausgabe (Donnerstag):</t>
  </si>
  <si>
    <t xml:space="preserve">Annahme für Szenario „T0 Anfang Juli 2028“ (Nr. 45 offen). Szenario „T0 September 2028“: 07.12.2028.</t>
  </si>
  <si>
    <t xml:space="preserve">Woche</t>
  </si>
  <si>
    <t xml:space="preserve">Ausgabe am</t>
  </si>
  <si>
    <t xml:space="preserve">Termine veröffentlicht</t>
  </si>
  <si>
    <t xml:space="preserve">Freigegebene Veranstalter (Stand)</t>
  </si>
  <si>
    <t xml:space="preserve">Story: Aufrufe Titelframe</t>
  </si>
  <si>
    <t xml:space="preserve">Story: Aufrufe Schlussframe</t>
  </si>
  <si>
    <t xml:space="preserve">Durchhaltequote</t>
  </si>
  <si>
    <t xml:space="preserve">Story: Antworten</t>
  </si>
  <si>
    <t xml:space="preserve">Story: Geteilt</t>
  </si>
  <si>
    <t xml:space="preserve">Story: Sticker-Tipps</t>
  </si>
  <si>
    <t xml:space="preserve">Profilaufrufe</t>
  </si>
  <si>
    <t xml:space="preserve">Neue Follower</t>
  </si>
  <si>
    <t xml:space="preserve">Carousel: Gespeichert</t>
  </si>
  <si>
    <t xml:space="preserve">Carousel: Geteilt</t>
  </si>
  <si>
    <t xml:space="preserve">Mail: Empfänger</t>
  </si>
  <si>
    <t xml:space="preserve">Mail: Antworten</t>
  </si>
  <si>
    <t xml:space="preserve">Mail: Anmeldungen über Weiterleitung</t>
  </si>
  <si>
    <t xml:space="preserve">Mail: Abmeldungen</t>
  </si>
  <si>
    <t xml:space="preserve">termine@: neue Einreichungen</t>
  </si>
  <si>
    <t xml:space="preserve">Ist-Minuten Gründer 2</t>
  </si>
  <si>
    <t xml:space="preserve">Summe / Schnitt</t>
  </si>
  <si>
    <t xml:space="preserve">Zeile 19: Summen, außer Aufrufe, Quote und Minuten (Schnitt) und Freigaben (letzter Stand).</t>
  </si>
  <si>
    <t xml:space="preserve">Soll-Werte der Gründer — vor dem Start festlegen, nicht nachträglich</t>
  </si>
  <si>
    <t xml:space="preserve">Kennzahl</t>
  </si>
  <si>
    <t xml:space="preserve">Soll</t>
  </si>
  <si>
    <t xml:space="preserve">Ist</t>
  </si>
  <si>
    <t xml:space="preserve">Vergleich</t>
  </si>
  <si>
    <t xml:space="preserve">Aufrufe Titelframe im Schnitt</t>
  </si>
  <si>
    <t xml:space="preserve">Durchhaltequote im Schnitt</t>
  </si>
  <si>
    <t xml:space="preserve">Antworten auf Stories, Summe</t>
  </si>
  <si>
    <t xml:space="preserve">Geteilt (Stories), Summe</t>
  </si>
  <si>
    <t xml:space="preserve">Gespeichert (nur Variante A+), Summe</t>
  </si>
  <si>
    <t xml:space="preserve">Anmeldungen über Weiterleitung, Summe</t>
  </si>
  <si>
    <t xml:space="preserve">Freigegebene Veranstalter, letzter Stand</t>
  </si>
  <si>
    <t xml:space="preserve">termine@-Einreichungen, Summe</t>
  </si>
  <si>
    <t xml:space="preserve">Ist-Minuten im Schnitt — Grenze aus der Abnahme</t>
  </si>
  <si>
    <t xml:space="preserve">Nach Woche 13 — die Entscheidung treffen die Gründer</t>
  </si>
  <si>
    <t xml:space="preserve">Entscheidung (fortsetzen · Format ändern · einstellen)</t>
  </si>
  <si>
    <t xml:space="preserve">Begründung in zwei Sätzen</t>
  </si>
  <si>
    <t xml:space="preserve">Beide Gründer einverstanden (ja/nein)</t>
  </si>
  <si>
    <t xml:space="preserve">Die Tabelle stellt gegenüber und empfiehlt nichts. Wer die Kölner Anmeldungen der Warteliste daneben legt, sieht einen Verlauf, keine Zurechnung — ohne Tracking lässt sich nicht sagen, wer über den Terminservice kam.</t>
  </si>
  <si>
    <t xml:space="preserve">Kalender — 13 Ausgaben und Anlässe</t>
  </si>
  <si>
    <t xml:space="preserve">Rechnet vom Startdatum im Blatt „Messung“ (D3). Eine Ausgabe deckt Donnerstag bis Mittwoch ab — auch die Wochentage, weil die Mittwochsfrage aus dem Playbook (Anlass 1) genau dort ansetzt.</t>
  </si>
  <si>
    <t xml:space="preserve">Ausgabe</t>
  </si>
  <si>
    <t xml:space="preserve">Donnerstag</t>
  </si>
  <si>
    <t xml:space="preserve">deckt bis</t>
  </si>
  <si>
    <t xml:space="preserve">Anlass in dieser Woche</t>
  </si>
  <si>
    <t xml:space="preserve">Zeigt je Ausgabe den ersten passenden Anlass. Alle Anlässe stehen unten.</t>
  </si>
  <si>
    <t xml:space="preserve">Anlässe</t>
  </si>
  <si>
    <t xml:space="preserve">Anlass</t>
  </si>
  <si>
    <t xml:space="preserve">fällt in Ausgabe</t>
  </si>
  <si>
    <t xml:space="preserve">Sessionsauftakt Karneval (Samstag)</t>
  </si>
  <si>
    <t xml:space="preserve">Nur Termine freigegebener Vereine und Orte; Sessionstermine laut Playbook-Anlass 5 schon ab Spätsommer sammeln</t>
  </si>
  <si>
    <t xml:space="preserve">Welt-Aids-Tag (Freitag)</t>
  </si>
  <si>
    <t xml:space="preserve">Nur mit freigegebenem Gesundheitspartner und echten Test- oder Beratungsterminen — sonst gar nicht (A-05)</t>
  </si>
  <si>
    <t xml:space="preserve">Heiligabend (Sonntag)</t>
  </si>
  <si>
    <t xml:space="preserve">Die Ausgabe dieser Woche deckt die Feiertage ab; Öffnungszeiten besonders streng an der Quelle prüfen</t>
  </si>
  <si>
    <t xml:space="preserve">Silvester (Sonntag)</t>
  </si>
  <si>
    <t xml:space="preserve">Eine gemeinsame Ausgabe „zwischen den Jahren“ statt zwei halber</t>
  </si>
  <si>
    <t xml:space="preserve">Weiberfastnacht (Donnerstag)</t>
  </si>
  <si>
    <t xml:space="preserve">Ausgabe erscheint am Mittwoch davor: An Weiberfastnacht beginnt in Köln der Straßenkarneval, am selben Morgen plant niemand mehr</t>
  </si>
  <si>
    <t xml:space="preserve">Rosenmontag</t>
  </si>
  <si>
    <t xml:space="preserve">Liegt in der Ausgabe vom Mittwoch davor</t>
  </si>
  <si>
    <t xml:space="preserve">Szenarien</t>
  </si>
  <si>
    <t xml:space="preserve">T0 Anfang Juli 2028: erste Ausgabe 05.10.2028, letzte 28.12.2028 (Roadmapmonat 4 bis 6)</t>
  </si>
  <si>
    <t xml:space="preserve">T0 September 2028: erste Ausgabe 07.12.2028, letzte 01.03.2029 (Roadmapmonat 4 bis 6)</t>
  </si>
  <si>
    <t xml:space="preserve">Die Weiberfastnacht-Regel: Fällt ein großer Szenetag auf den Donnerstag, erscheint die Ausgabe am Mittwoch davor.</t>
  </si>
</sst>
</file>

<file path=xl/styles.xml><?xml version="1.0" encoding="utf-8"?>
<styleSheet xmlns="http://schemas.openxmlformats.org/spreadsheetml/2006/main">
  <numFmts count="8">
    <numFmt numFmtId="164" formatCode="General"/>
    <numFmt numFmtId="165" formatCode="0"/>
    <numFmt numFmtId="166" formatCode="dd\.mm\.yyyy"/>
    <numFmt numFmtId="167" formatCode="hh:mm"/>
    <numFmt numFmtId="168" formatCode="[h]:mm"/>
    <numFmt numFmtId="169" formatCode="0;\-0"/>
    <numFmt numFmtId="170" formatCode="0%"/>
    <numFmt numFmtId="171"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sz val="9"/>
      <color rgb="FF595959"/>
      <name val="Arial"/>
      <family val="0"/>
      <charset val="1"/>
    </font>
    <font>
      <b val="true"/>
      <sz val="12"/>
      <color rgb="FF1F3A5F"/>
      <name val="Arial"/>
      <family val="0"/>
      <charset val="1"/>
    </font>
    <font>
      <b val="true"/>
      <sz val="10"/>
      <color rgb="FFFFFFFF"/>
      <name val="Arial"/>
      <family val="0"/>
      <charset val="1"/>
    </font>
    <font>
      <b val="true"/>
      <sz val="10"/>
      <name val="Arial"/>
      <family val="0"/>
      <charset val="1"/>
    </font>
    <font>
      <sz val="10"/>
      <name val="Arial"/>
      <family val="0"/>
      <charset val="1"/>
    </font>
    <font>
      <i val="true"/>
      <sz val="10"/>
      <color rgb="FF808080"/>
      <name val="Arial"/>
      <family val="0"/>
      <charset val="1"/>
    </font>
    <font>
      <sz val="10"/>
      <color rgb="FF0000FF"/>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FFF00"/>
        <bgColor rgb="FFFFFF00"/>
      </patternFill>
    </fill>
    <fill>
      <patternFill patternType="solid">
        <fgColor rgb="FFFFF9C4"/>
        <bgColor rgb="FFFCE8B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7" fontId="10"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5" fontId="11" fillId="4"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9" fontId="9"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6" fontId="11" fillId="3"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5" fontId="9" fillId="3" borderId="1" xfId="0" applyFont="true" applyBorder="true" applyAlignment="true" applyProtection="false">
      <alignment horizontal="center" vertical="top" textRotation="0" wrapText="true" indent="0" shrinkToFit="false"/>
      <protection locked="true" hidden="false"/>
    </xf>
    <xf numFmtId="170" fontId="9"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11"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70" fontId="11" fillId="3"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71" fontId="9"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D9EAD3"/>
          <bgColor rgb="FF000000"/>
        </patternFill>
      </fill>
    </dxf>
    <dxf>
      <fill>
        <patternFill patternType="solid">
          <fgColor rgb="FFFCE8B2"/>
          <bgColor rgb="FF000000"/>
        </patternFill>
      </fill>
    </dxf>
    <dxf>
      <fill>
        <patternFill>
          <bgColor rgb="FFF4CCCC"/>
        </patternFill>
      </fill>
    </dxf>
    <dxf>
      <fill>
        <patternFill>
          <bgColor rgb="FFFCE8B2"/>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8B2"/>
      <rgbColor rgb="FF99CCFF"/>
      <rgbColor rgb="FFFF99CC"/>
      <rgbColor rgb="FFCC99FF"/>
      <rgbColor rgb="FFF4CCCC"/>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26"/>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4" t="s">
        <v>5</v>
      </c>
      <c r="C6" s="4" t="s">
        <v>6</v>
      </c>
    </row>
    <row r="7" customFormat="false" ht="23.85" hidden="false" customHeight="false" outlineLevel="0" collapsed="false">
      <c r="A7" s="5" t="s">
        <v>7</v>
      </c>
      <c r="B7" s="6" t="s">
        <v>8</v>
      </c>
      <c r="C7" s="6" t="s">
        <v>9</v>
      </c>
    </row>
    <row r="8" customFormat="false" ht="23.85" hidden="false" customHeight="false" outlineLevel="0" collapsed="false">
      <c r="A8" s="5" t="s">
        <v>10</v>
      </c>
      <c r="B8" s="6" t="s">
        <v>11</v>
      </c>
      <c r="C8" s="6" t="s">
        <v>12</v>
      </c>
    </row>
    <row r="9" customFormat="false" ht="23.85" hidden="false" customHeight="false" outlineLevel="0" collapsed="false">
      <c r="A9" s="5" t="s">
        <v>13</v>
      </c>
      <c r="B9" s="6" t="s">
        <v>14</v>
      </c>
      <c r="C9" s="6" t="s">
        <v>15</v>
      </c>
    </row>
    <row r="10" customFormat="false" ht="23.85" hidden="false" customHeight="false" outlineLevel="0" collapsed="false">
      <c r="A10" s="5" t="s">
        <v>16</v>
      </c>
      <c r="B10" s="6" t="s">
        <v>17</v>
      </c>
      <c r="C10" s="6" t="s">
        <v>18</v>
      </c>
    </row>
    <row r="11" customFormat="false" ht="23.85" hidden="false" customHeight="false" outlineLevel="0" collapsed="false">
      <c r="A11" s="5" t="s">
        <v>19</v>
      </c>
      <c r="B11" s="6" t="s">
        <v>20</v>
      </c>
      <c r="C11" s="6" t="s">
        <v>21</v>
      </c>
    </row>
    <row r="13" customFormat="false" ht="15" hidden="false" customHeight="false" outlineLevel="0" collapsed="false">
      <c r="A13" s="3" t="s">
        <v>22</v>
      </c>
    </row>
    <row r="14" customFormat="false" ht="15" hidden="false" customHeight="false" outlineLevel="0" collapsed="false">
      <c r="A14" s="4" t="s">
        <v>23</v>
      </c>
      <c r="B14" s="4" t="s">
        <v>24</v>
      </c>
      <c r="C14" s="4" t="s">
        <v>25</v>
      </c>
    </row>
    <row r="15" customFormat="false" ht="23.85" hidden="false" customHeight="false" outlineLevel="0" collapsed="false">
      <c r="A15" s="5" t="s">
        <v>26</v>
      </c>
      <c r="B15" s="6" t="s">
        <v>27</v>
      </c>
      <c r="C15" s="6" t="s">
        <v>28</v>
      </c>
    </row>
    <row r="16" customFormat="false" ht="23.85" hidden="false" customHeight="false" outlineLevel="0" collapsed="false">
      <c r="A16" s="5" t="s">
        <v>29</v>
      </c>
      <c r="B16" s="6" t="s">
        <v>30</v>
      </c>
      <c r="C16" s="6" t="s">
        <v>31</v>
      </c>
    </row>
    <row r="17" customFormat="false" ht="23.85" hidden="false" customHeight="false" outlineLevel="0" collapsed="false">
      <c r="A17" s="5" t="s">
        <v>32</v>
      </c>
      <c r="B17" s="6" t="s">
        <v>33</v>
      </c>
      <c r="C17" s="6" t="s">
        <v>34</v>
      </c>
    </row>
    <row r="18" customFormat="false" ht="23.85" hidden="false" customHeight="false" outlineLevel="0" collapsed="false">
      <c r="A18" s="5" t="s">
        <v>35</v>
      </c>
      <c r="B18" s="6" t="s">
        <v>36</v>
      </c>
      <c r="C18" s="6" t="s">
        <v>37</v>
      </c>
    </row>
    <row r="19" customFormat="false" ht="23.85" hidden="false" customHeight="false" outlineLevel="0" collapsed="false">
      <c r="A19" s="5" t="s">
        <v>38</v>
      </c>
      <c r="B19" s="6" t="s">
        <v>39</v>
      </c>
      <c r="C19" s="6" t="s">
        <v>40</v>
      </c>
    </row>
    <row r="21" customFormat="false" ht="15" hidden="false" customHeight="false" outlineLevel="0" collapsed="false">
      <c r="A21" s="3" t="s">
        <v>41</v>
      </c>
    </row>
    <row r="22" customFormat="false" ht="15" hidden="false" customHeight="false" outlineLevel="0" collapsed="false">
      <c r="A22" s="4" t="s">
        <v>42</v>
      </c>
      <c r="B22" s="4" t="s">
        <v>43</v>
      </c>
      <c r="C22" s="4" t="s">
        <v>44</v>
      </c>
    </row>
    <row r="23" customFormat="false" ht="23.85" hidden="false" customHeight="false" outlineLevel="0" collapsed="false">
      <c r="A23" s="5" t="s">
        <v>45</v>
      </c>
      <c r="B23" s="6" t="s">
        <v>46</v>
      </c>
      <c r="C23" s="7" t="n">
        <f aca="false">INDEX(Aufwand!$D$6:$H$6,1,MATCH(Aufwand!$C$22,Aufwand!$D$5:$H$5,0))</f>
        <v>15</v>
      </c>
    </row>
    <row r="24" customFormat="false" ht="23.85" hidden="false" customHeight="false" outlineLevel="0" collapsed="false">
      <c r="A24" s="5" t="s">
        <v>47</v>
      </c>
      <c r="B24" s="6" t="s">
        <v>48</v>
      </c>
      <c r="C24" s="7" t="n">
        <f aca="false">INDEX(Aufwand!$D$7:$H$7,1,MATCH(Aufwand!$C$22,Aufwand!$D$5:$H$5,0))</f>
        <v>20</v>
      </c>
    </row>
    <row r="25" customFormat="false" ht="23.85" hidden="false" customHeight="false" outlineLevel="0" collapsed="false">
      <c r="A25" s="5" t="s">
        <v>49</v>
      </c>
      <c r="B25" s="6" t="s">
        <v>50</v>
      </c>
      <c r="C25" s="7" t="n">
        <f aca="false">INDEX(Aufwand!$D$8:$H$8,1,MATCH(Aufwand!$C$22,Aufwand!$D$5:$H$5,0))</f>
        <v>25</v>
      </c>
    </row>
    <row r="26" customFormat="false" ht="15" hidden="false" customHeight="false" outlineLevel="0" collapsed="false">
      <c r="A26" s="5" t="s">
        <v>51</v>
      </c>
      <c r="B26" s="6" t="s">
        <v>52</v>
      </c>
      <c r="C26" s="7" t="n">
        <f aca="false">INDEX(Aufwand!$D$9:$H$9,1,MATCH(Aufwand!$C$22,Aufwand!$D$5:$H$5,0))</f>
        <v>35</v>
      </c>
    </row>
    <row r="27" customFormat="false" ht="23.85" hidden="false" customHeight="false" outlineLevel="0" collapsed="false">
      <c r="A27" s="5" t="s">
        <v>53</v>
      </c>
      <c r="B27" s="6" t="s">
        <v>54</v>
      </c>
      <c r="C27" s="7" t="n">
        <f aca="false">INDEX(Aufwand!$D$10:$H$10,1,MATCH(Aufwand!$C$22,Aufwand!$D$5:$H$5,0))</f>
        <v>15</v>
      </c>
    </row>
    <row r="28" customFormat="false" ht="23.85" hidden="false" customHeight="false" outlineLevel="0" collapsed="false">
      <c r="A28" s="5" t="s">
        <v>55</v>
      </c>
      <c r="B28" s="6" t="s">
        <v>56</v>
      </c>
      <c r="C28" s="7" t="n">
        <f aca="false">INDEX(Aufwand!$D$11:$H$11,1,MATCH(Aufwand!$C$22,Aufwand!$D$5:$H$5,0))</f>
        <v>10</v>
      </c>
    </row>
    <row r="29" customFormat="false" ht="23.85" hidden="false" customHeight="false" outlineLevel="0" collapsed="false">
      <c r="A29" s="5" t="s">
        <v>57</v>
      </c>
      <c r="B29" s="6" t="s">
        <v>58</v>
      </c>
      <c r="C29" s="7" t="n">
        <f aca="false">INDEX(Aufwand!$D$12:$H$12,1,MATCH(Aufwand!$C$22,Aufwand!$D$5:$H$5,0))</f>
        <v>18</v>
      </c>
    </row>
    <row r="30" customFormat="false" ht="15" hidden="false" customHeight="false" outlineLevel="0" collapsed="false">
      <c r="A30" s="5" t="s">
        <v>59</v>
      </c>
      <c r="B30" s="6" t="s">
        <v>60</v>
      </c>
      <c r="C30" s="7" t="n">
        <f aca="false">INDEX(Aufwand!$D$13:$H$13,1,MATCH(Aufwand!$C$22,Aufwand!$D$5:$H$5,0))</f>
        <v>0</v>
      </c>
    </row>
    <row r="31" customFormat="false" ht="23.85" hidden="false" customHeight="false" outlineLevel="0" collapsed="false">
      <c r="A31" s="5" t="s">
        <v>61</v>
      </c>
      <c r="B31" s="6" t="s">
        <v>62</v>
      </c>
      <c r="C31" s="7" t="n">
        <f aca="false">INDEX(Aufwand!$D$14:$H$14,1,MATCH(Aufwand!$C$22,Aufwand!$D$5:$H$5,0))</f>
        <v>0</v>
      </c>
    </row>
    <row r="32" customFormat="false" ht="23.85" hidden="false" customHeight="false" outlineLevel="0" collapsed="false">
      <c r="A32" s="5" t="s">
        <v>63</v>
      </c>
      <c r="B32" s="6" t="s">
        <v>64</v>
      </c>
      <c r="C32" s="7" t="n">
        <f aca="false">INDEX(Aufwand!$D$15:$H$15,1,MATCH(Aufwand!$C$22,Aufwand!$D$5:$H$5,0))</f>
        <v>15</v>
      </c>
    </row>
    <row r="33" customFormat="false" ht="15" hidden="false" customHeight="false" outlineLevel="0" collapsed="false">
      <c r="A33" s="5" t="s">
        <v>65</v>
      </c>
      <c r="B33" s="6" t="s">
        <v>66</v>
      </c>
      <c r="C33" s="7" t="n">
        <f aca="false">INDEX(Aufwand!$D$16:$H$16,1,MATCH(Aufwand!$C$22,Aufwand!$D$5:$H$5,0))</f>
        <v>10</v>
      </c>
    </row>
    <row r="34" customFormat="false" ht="15" hidden="false" customHeight="false" outlineLevel="0" collapsed="false">
      <c r="A34" s="5" t="s">
        <v>67</v>
      </c>
      <c r="B34" s="6" t="s">
        <v>68</v>
      </c>
      <c r="C34" s="8" t="n">
        <f aca="false">SUM(C23:C33)</f>
        <v>163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9"/>
    <col collapsed="false" customWidth="true" hidden="false" outlineLevel="0" max="5" min="4" style="0" width="26"/>
    <col collapsed="false" customWidth="true" hidden="false" outlineLevel="0" max="6" min="6" style="0" width="32"/>
    <col collapsed="false" customWidth="true" hidden="false" outlineLevel="0" max="7" min="7" style="0" width="12"/>
    <col collapsed="false" customWidth="true" hidden="false" outlineLevel="0" max="8" min="8" style="0" width="18"/>
    <col collapsed="false" customWidth="true" hidden="false" outlineLevel="0" max="9" min="9" style="0" width="14"/>
    <col collapsed="false" customWidth="true" hidden="false" outlineLevel="0" max="10" min="10" style="0" width="13"/>
    <col collapsed="false" customWidth="true" hidden="false" outlineLevel="0" max="11" min="11" style="0" width="14"/>
    <col collapsed="false" customWidth="true" hidden="false" outlineLevel="0" max="12" min="12" style="0" width="12"/>
    <col collapsed="false" customWidth="true" hidden="false" outlineLevel="0" max="13" min="13" style="0" width="13"/>
    <col collapsed="false" customWidth="true" hidden="false" outlineLevel="0" max="14" min="14" style="0" width="11"/>
    <col collapsed="false" customWidth="true" hidden="false" outlineLevel="0" max="15" min="15" style="0" width="22"/>
    <col collapsed="false" customWidth="true" hidden="false" outlineLevel="0" max="16" min="16" style="0" width="30"/>
  </cols>
  <sheetData>
    <row r="1" customFormat="false" ht="19.7" hidden="false" customHeight="false" outlineLevel="0" collapsed="false">
      <c r="A1" s="1" t="s">
        <v>69</v>
      </c>
    </row>
    <row r="2" customFormat="false" ht="15" hidden="false" customHeight="false" outlineLevel="0" collapsed="false">
      <c r="A2" s="2" t="s">
        <v>1</v>
      </c>
    </row>
    <row r="3" customFormat="false" ht="15" hidden="false" customHeight="false" outlineLevel="0" collapsed="false">
      <c r="A3" s="2" t="s">
        <v>70</v>
      </c>
    </row>
    <row r="4" customFormat="false" ht="46.25" hidden="false" customHeight="false" outlineLevel="0" collapsed="false">
      <c r="A4" s="4" t="s">
        <v>71</v>
      </c>
      <c r="B4" s="4" t="s">
        <v>72</v>
      </c>
      <c r="C4" s="4" t="s">
        <v>73</v>
      </c>
      <c r="D4" s="4" t="s">
        <v>74</v>
      </c>
      <c r="E4" s="4" t="s">
        <v>75</v>
      </c>
      <c r="F4" s="4" t="s">
        <v>76</v>
      </c>
      <c r="G4" s="4" t="s">
        <v>77</v>
      </c>
      <c r="H4" s="4" t="s">
        <v>78</v>
      </c>
      <c r="I4" s="4" t="s">
        <v>79</v>
      </c>
      <c r="J4" s="4" t="s">
        <v>80</v>
      </c>
      <c r="K4" s="4" t="s">
        <v>81</v>
      </c>
      <c r="L4" s="4" t="s">
        <v>82</v>
      </c>
      <c r="M4" s="4" t="s">
        <v>83</v>
      </c>
      <c r="N4" s="4" t="s">
        <v>84</v>
      </c>
      <c r="O4" s="4" t="s">
        <v>85</v>
      </c>
      <c r="P4" s="4" t="s">
        <v>86</v>
      </c>
    </row>
    <row r="5" customFormat="false" ht="23.85" hidden="false" customHeight="false" outlineLevel="0" collapsed="false">
      <c r="A5" s="9" t="s">
        <v>87</v>
      </c>
      <c r="B5" s="9" t="s">
        <v>88</v>
      </c>
      <c r="C5" s="9" t="s">
        <v>89</v>
      </c>
      <c r="D5" s="9" t="s">
        <v>90</v>
      </c>
      <c r="E5" s="9" t="s">
        <v>89</v>
      </c>
      <c r="F5" s="9" t="s">
        <v>91</v>
      </c>
      <c r="G5" s="10" t="n">
        <v>47016</v>
      </c>
      <c r="H5" s="9" t="s">
        <v>92</v>
      </c>
      <c r="I5" s="9" t="s">
        <v>93</v>
      </c>
      <c r="J5" s="9" t="s">
        <v>94</v>
      </c>
      <c r="K5" s="9" t="s">
        <v>94</v>
      </c>
      <c r="L5" s="9"/>
      <c r="M5" s="9" t="str">
        <f aca="false">IF(B5="","",IF(L5&lt;&gt;"","widerrufen",IF(G5&lt;&gt;"","freigegeben","offen")))</f>
        <v>freigegeben</v>
      </c>
      <c r="N5" s="9" t="s">
        <v>95</v>
      </c>
      <c r="O5" s="9" t="str">
        <f aca="false">IF(B5="","",IF(J5="ja","ja — als Werbung kennzeichnen",IF(J5="nein","nein","noch nicht geklärt")))</f>
        <v>nein</v>
      </c>
      <c r="P5" s="9" t="s">
        <v>96</v>
      </c>
    </row>
    <row r="6" customFormat="false" ht="23.85" hidden="false" customHeight="false" outlineLevel="0" collapsed="false">
      <c r="A6" s="6" t="n">
        <v>1</v>
      </c>
      <c r="B6" s="6" t="s">
        <v>97</v>
      </c>
      <c r="C6" s="6" t="n">
        <v>1</v>
      </c>
      <c r="D6" s="6" t="s">
        <v>98</v>
      </c>
      <c r="E6" s="6" t="s">
        <v>99</v>
      </c>
      <c r="F6" s="11"/>
      <c r="G6" s="12"/>
      <c r="H6" s="11"/>
      <c r="I6" s="11"/>
      <c r="J6" s="11"/>
      <c r="K6" s="11"/>
      <c r="L6" s="12"/>
      <c r="M6" s="6" t="str">
        <f aca="false">IF(B6="","",IF(L6&lt;&gt;"","widerrufen",IF(G6&lt;&gt;"","freigegeben","offen")))</f>
        <v>offen</v>
      </c>
      <c r="N6" s="11" t="s">
        <v>95</v>
      </c>
      <c r="O6" s="6" t="str">
        <f aca="false">IF(B6="","",IF(J6="ja","ja — als Werbung kennzeichnen",IF(J6="nein","nein","noch nicht geklärt")))</f>
        <v>noch nicht geklärt</v>
      </c>
      <c r="P6" s="11"/>
    </row>
    <row r="7" customFormat="false" ht="23.85" hidden="false" customHeight="false" outlineLevel="0" collapsed="false">
      <c r="A7" s="6" t="n">
        <v>2</v>
      </c>
      <c r="B7" s="6" t="s">
        <v>100</v>
      </c>
      <c r="C7" s="6" t="n">
        <v>2</v>
      </c>
      <c r="D7" s="6" t="s">
        <v>101</v>
      </c>
      <c r="E7" s="6" t="s">
        <v>99</v>
      </c>
      <c r="F7" s="11"/>
      <c r="G7" s="12"/>
      <c r="H7" s="11"/>
      <c r="I7" s="11"/>
      <c r="J7" s="11"/>
      <c r="K7" s="11"/>
      <c r="L7" s="12"/>
      <c r="M7" s="6" t="str">
        <f aca="false">IF(B7="","",IF(L7&lt;&gt;"","widerrufen",IF(G7&lt;&gt;"","freigegeben","offen")))</f>
        <v>offen</v>
      </c>
      <c r="N7" s="11" t="s">
        <v>95</v>
      </c>
      <c r="O7" s="6" t="str">
        <f aca="false">IF(B7="","",IF(J7="ja","ja — als Werbung kennzeichnen",IF(J7="nein","nein","noch nicht geklärt")))</f>
        <v>noch nicht geklärt</v>
      </c>
      <c r="P7" s="11"/>
    </row>
    <row r="8" customFormat="false" ht="23.85" hidden="false" customHeight="false" outlineLevel="0" collapsed="false">
      <c r="A8" s="6" t="n">
        <v>3</v>
      </c>
      <c r="B8" s="6" t="s">
        <v>102</v>
      </c>
      <c r="C8" s="6" t="n">
        <v>3</v>
      </c>
      <c r="D8" s="6" t="s">
        <v>103</v>
      </c>
      <c r="E8" s="6" t="s">
        <v>99</v>
      </c>
      <c r="F8" s="11"/>
      <c r="G8" s="12"/>
      <c r="H8" s="11"/>
      <c r="I8" s="11"/>
      <c r="J8" s="11"/>
      <c r="K8" s="11"/>
      <c r="L8" s="12"/>
      <c r="M8" s="6" t="str">
        <f aca="false">IF(B8="","",IF(L8&lt;&gt;"","widerrufen",IF(G8&lt;&gt;"","freigegeben","offen")))</f>
        <v>offen</v>
      </c>
      <c r="N8" s="11" t="s">
        <v>95</v>
      </c>
      <c r="O8" s="6" t="str">
        <f aca="false">IF(B8="","",IF(J8="ja","ja — als Werbung kennzeichnen",IF(J8="nein","nein","noch nicht geklärt")))</f>
        <v>noch nicht geklärt</v>
      </c>
      <c r="P8" s="11"/>
    </row>
    <row r="9" customFormat="false" ht="23.85" hidden="false" customHeight="false" outlineLevel="0" collapsed="false">
      <c r="A9" s="6" t="n">
        <v>4</v>
      </c>
      <c r="B9" s="6" t="s">
        <v>104</v>
      </c>
      <c r="C9" s="6" t="n">
        <v>4</v>
      </c>
      <c r="D9" s="6" t="s">
        <v>105</v>
      </c>
      <c r="E9" s="6" t="s">
        <v>99</v>
      </c>
      <c r="F9" s="11"/>
      <c r="G9" s="12"/>
      <c r="H9" s="11"/>
      <c r="I9" s="11"/>
      <c r="J9" s="11"/>
      <c r="K9" s="11"/>
      <c r="L9" s="12"/>
      <c r="M9" s="6" t="str">
        <f aca="false">IF(B9="","",IF(L9&lt;&gt;"","widerrufen",IF(G9&lt;&gt;"","freigegeben","offen")))</f>
        <v>offen</v>
      </c>
      <c r="N9" s="11" t="s">
        <v>95</v>
      </c>
      <c r="O9" s="6" t="str">
        <f aca="false">IF(B9="","",IF(J9="ja","ja — als Werbung kennzeichnen",IF(J9="nein","nein","noch nicht geklärt")))</f>
        <v>noch nicht geklärt</v>
      </c>
      <c r="P9" s="11"/>
    </row>
    <row r="10" customFormat="false" ht="23.85" hidden="false" customHeight="false" outlineLevel="0" collapsed="false">
      <c r="A10" s="6" t="n">
        <v>5</v>
      </c>
      <c r="B10" s="6" t="s">
        <v>106</v>
      </c>
      <c r="C10" s="6" t="n">
        <v>5</v>
      </c>
      <c r="D10" s="6" t="s">
        <v>107</v>
      </c>
      <c r="E10" s="6" t="s">
        <v>108</v>
      </c>
      <c r="F10" s="11"/>
      <c r="G10" s="12"/>
      <c r="H10" s="11"/>
      <c r="I10" s="11"/>
      <c r="J10" s="11"/>
      <c r="K10" s="11"/>
      <c r="L10" s="12"/>
      <c r="M10" s="6" t="str">
        <f aca="false">IF(B10="","",IF(L10&lt;&gt;"","widerrufen",IF(G10&lt;&gt;"","freigegeben","offen")))</f>
        <v>offen</v>
      </c>
      <c r="N10" s="11" t="s">
        <v>95</v>
      </c>
      <c r="O10" s="6" t="str">
        <f aca="false">IF(B10="","",IF(J10="ja","ja — als Werbung kennzeichnen",IF(J10="nein","nein","noch nicht geklärt")))</f>
        <v>noch nicht geklärt</v>
      </c>
      <c r="P10" s="11"/>
    </row>
    <row r="11" customFormat="false" ht="23.85" hidden="false" customHeight="false" outlineLevel="0" collapsed="false">
      <c r="A11" s="6" t="n">
        <v>6</v>
      </c>
      <c r="B11" s="6" t="s">
        <v>109</v>
      </c>
      <c r="C11" s="6" t="n">
        <v>6</v>
      </c>
      <c r="D11" s="6" t="s">
        <v>110</v>
      </c>
      <c r="E11" s="6" t="s">
        <v>108</v>
      </c>
      <c r="F11" s="11"/>
      <c r="G11" s="12"/>
      <c r="H11" s="11"/>
      <c r="I11" s="11"/>
      <c r="J11" s="11"/>
      <c r="K11" s="11"/>
      <c r="L11" s="12"/>
      <c r="M11" s="6" t="str">
        <f aca="false">IF(B11="","",IF(L11&lt;&gt;"","widerrufen",IF(G11&lt;&gt;"","freigegeben","offen")))</f>
        <v>offen</v>
      </c>
      <c r="N11" s="11" t="s">
        <v>111</v>
      </c>
      <c r="O11" s="6" t="str">
        <f aca="false">IF(B11="","",IF(J11="ja","ja — als Werbung kennzeichnen",IF(J11="nein","nein","noch nicht geklärt")))</f>
        <v>noch nicht geklärt</v>
      </c>
      <c r="P11" s="11"/>
    </row>
    <row r="12" customFormat="false" ht="23.85" hidden="false" customHeight="false" outlineLevel="0" collapsed="false">
      <c r="A12" s="6" t="n">
        <v>7</v>
      </c>
      <c r="B12" s="6" t="s">
        <v>112</v>
      </c>
      <c r="C12" s="6" t="n">
        <v>7</v>
      </c>
      <c r="D12" s="6" t="s">
        <v>113</v>
      </c>
      <c r="E12" s="6" t="s">
        <v>108</v>
      </c>
      <c r="F12" s="11"/>
      <c r="G12" s="12"/>
      <c r="H12" s="11"/>
      <c r="I12" s="11"/>
      <c r="J12" s="11"/>
      <c r="K12" s="11"/>
      <c r="L12" s="12"/>
      <c r="M12" s="6" t="str">
        <f aca="false">IF(B12="","",IF(L12&lt;&gt;"","widerrufen",IF(G12&lt;&gt;"","freigegeben","offen")))</f>
        <v>offen</v>
      </c>
      <c r="N12" s="11" t="s">
        <v>95</v>
      </c>
      <c r="O12" s="6" t="str">
        <f aca="false">IF(B12="","",IF(J12="ja","ja — als Werbung kennzeichnen",IF(J12="nein","nein","noch nicht geklärt")))</f>
        <v>noch nicht geklärt</v>
      </c>
      <c r="P12" s="11"/>
    </row>
    <row r="13" customFormat="false" ht="23.85" hidden="false" customHeight="false" outlineLevel="0" collapsed="false">
      <c r="A13" s="6" t="n">
        <v>8</v>
      </c>
      <c r="B13" s="6" t="s">
        <v>114</v>
      </c>
      <c r="C13" s="6" t="n">
        <v>8</v>
      </c>
      <c r="D13" s="6" t="s">
        <v>90</v>
      </c>
      <c r="E13" s="6" t="s">
        <v>99</v>
      </c>
      <c r="F13" s="11"/>
      <c r="G13" s="12"/>
      <c r="H13" s="11"/>
      <c r="I13" s="11"/>
      <c r="J13" s="11"/>
      <c r="K13" s="11"/>
      <c r="L13" s="12"/>
      <c r="M13" s="6" t="str">
        <f aca="false">IF(B13="","",IF(L13&lt;&gt;"","widerrufen",IF(G13&lt;&gt;"","freigegeben","offen")))</f>
        <v>offen</v>
      </c>
      <c r="N13" s="11" t="s">
        <v>95</v>
      </c>
      <c r="O13" s="6" t="str">
        <f aca="false">IF(B13="","",IF(J13="ja","ja — als Werbung kennzeichnen",IF(J13="nein","nein","noch nicht geklärt")))</f>
        <v>noch nicht geklärt</v>
      </c>
      <c r="P13" s="11"/>
    </row>
    <row r="14" customFormat="false" ht="23.85" hidden="false" customHeight="false" outlineLevel="0" collapsed="false">
      <c r="A14" s="6" t="n">
        <v>9</v>
      </c>
      <c r="B14" s="6" t="s">
        <v>115</v>
      </c>
      <c r="C14" s="6" t="n">
        <v>9</v>
      </c>
      <c r="D14" s="6" t="s">
        <v>116</v>
      </c>
      <c r="E14" s="6" t="s">
        <v>108</v>
      </c>
      <c r="F14" s="11"/>
      <c r="G14" s="12"/>
      <c r="H14" s="11"/>
      <c r="I14" s="11"/>
      <c r="J14" s="11"/>
      <c r="K14" s="11"/>
      <c r="L14" s="12"/>
      <c r="M14" s="6" t="str">
        <f aca="false">IF(B14="","",IF(L14&lt;&gt;"","widerrufen",IF(G14&lt;&gt;"","freigegeben","offen")))</f>
        <v>offen</v>
      </c>
      <c r="N14" s="11" t="s">
        <v>95</v>
      </c>
      <c r="O14" s="6" t="str">
        <f aca="false">IF(B14="","",IF(J14="ja","ja — als Werbung kennzeichnen",IF(J14="nein","nein","noch nicht geklärt")))</f>
        <v>noch nicht geklärt</v>
      </c>
      <c r="P14" s="11"/>
    </row>
    <row r="15" customFormat="false" ht="23.85" hidden="false" customHeight="false" outlineLevel="0" collapsed="false">
      <c r="A15" s="6" t="n">
        <v>10</v>
      </c>
      <c r="B15" s="6" t="s">
        <v>117</v>
      </c>
      <c r="C15" s="6" t="n">
        <v>10</v>
      </c>
      <c r="D15" s="6" t="s">
        <v>118</v>
      </c>
      <c r="E15" s="6" t="s">
        <v>108</v>
      </c>
      <c r="F15" s="11"/>
      <c r="G15" s="12"/>
      <c r="H15" s="11"/>
      <c r="I15" s="11"/>
      <c r="J15" s="11"/>
      <c r="K15" s="11"/>
      <c r="L15" s="12"/>
      <c r="M15" s="6" t="str">
        <f aca="false">IF(B15="","",IF(L15&lt;&gt;"","widerrufen",IF(G15&lt;&gt;"","freigegeben","offen")))</f>
        <v>offen</v>
      </c>
      <c r="N15" s="11" t="s">
        <v>95</v>
      </c>
      <c r="O15" s="6" t="str">
        <f aca="false">IF(B15="","",IF(J15="ja","ja — als Werbung kennzeichnen",IF(J15="nein","nein","noch nicht geklärt")))</f>
        <v>noch nicht geklärt</v>
      </c>
      <c r="P15" s="11"/>
    </row>
    <row r="16" customFormat="false" ht="23.85" hidden="false" customHeight="false" outlineLevel="0" collapsed="false">
      <c r="A16" s="6" t="n">
        <v>11</v>
      </c>
      <c r="B16" s="6" t="s">
        <v>119</v>
      </c>
      <c r="C16" s="6" t="n">
        <v>11</v>
      </c>
      <c r="D16" s="6" t="s">
        <v>120</v>
      </c>
      <c r="E16" s="6" t="s">
        <v>108</v>
      </c>
      <c r="F16" s="11"/>
      <c r="G16" s="12"/>
      <c r="H16" s="11"/>
      <c r="I16" s="11"/>
      <c r="J16" s="11"/>
      <c r="K16" s="11"/>
      <c r="L16" s="12"/>
      <c r="M16" s="6" t="str">
        <f aca="false">IF(B16="","",IF(L16&lt;&gt;"","widerrufen",IF(G16&lt;&gt;"","freigegeben","offen")))</f>
        <v>offen</v>
      </c>
      <c r="N16" s="11" t="s">
        <v>95</v>
      </c>
      <c r="O16" s="6" t="str">
        <f aca="false">IF(B16="","",IF(J16="ja","ja — als Werbung kennzeichnen",IF(J16="nein","nein","noch nicht geklärt")))</f>
        <v>noch nicht geklärt</v>
      </c>
      <c r="P16" s="11" t="s">
        <v>121</v>
      </c>
    </row>
    <row r="17" customFormat="false" ht="23.85" hidden="false" customHeight="false" outlineLevel="0" collapsed="false">
      <c r="A17" s="6" t="n">
        <v>12</v>
      </c>
      <c r="B17" s="6" t="s">
        <v>122</v>
      </c>
      <c r="C17" s="6" t="n">
        <v>12</v>
      </c>
      <c r="D17" s="6" t="s">
        <v>90</v>
      </c>
      <c r="E17" s="6" t="s">
        <v>108</v>
      </c>
      <c r="F17" s="11"/>
      <c r="G17" s="12"/>
      <c r="H17" s="11"/>
      <c r="I17" s="11"/>
      <c r="J17" s="11"/>
      <c r="K17" s="11"/>
      <c r="L17" s="12"/>
      <c r="M17" s="6" t="str">
        <f aca="false">IF(B17="","",IF(L17&lt;&gt;"","widerrufen",IF(G17&lt;&gt;"","freigegeben","offen")))</f>
        <v>offen</v>
      </c>
      <c r="N17" s="11" t="s">
        <v>95</v>
      </c>
      <c r="O17" s="6" t="str">
        <f aca="false">IF(B17="","",IF(J17="ja","ja — als Werbung kennzeichnen",IF(J17="nein","nein","noch nicht geklärt")))</f>
        <v>noch nicht geklärt</v>
      </c>
      <c r="P17" s="11"/>
    </row>
    <row r="18" customFormat="false" ht="23.85" hidden="false" customHeight="false" outlineLevel="0" collapsed="false">
      <c r="A18" s="6" t="n">
        <v>13</v>
      </c>
      <c r="B18" s="6" t="s">
        <v>123</v>
      </c>
      <c r="C18" s="6" t="n">
        <v>13</v>
      </c>
      <c r="D18" s="6" t="s">
        <v>124</v>
      </c>
      <c r="E18" s="6" t="s">
        <v>108</v>
      </c>
      <c r="F18" s="11"/>
      <c r="G18" s="12"/>
      <c r="H18" s="11"/>
      <c r="I18" s="11"/>
      <c r="J18" s="11"/>
      <c r="K18" s="11"/>
      <c r="L18" s="12"/>
      <c r="M18" s="6" t="str">
        <f aca="false">IF(B18="","",IF(L18&lt;&gt;"","widerrufen",IF(G18&lt;&gt;"","freigegeben","offen")))</f>
        <v>offen</v>
      </c>
      <c r="N18" s="11" t="s">
        <v>95</v>
      </c>
      <c r="O18" s="6" t="str">
        <f aca="false">IF(B18="","",IF(J18="ja","ja — als Werbung kennzeichnen",IF(J18="nein","nein","noch nicht geklärt")))</f>
        <v>noch nicht geklärt</v>
      </c>
      <c r="P18" s="11"/>
    </row>
    <row r="19" customFormat="false" ht="23.85" hidden="false" customHeight="false" outlineLevel="0" collapsed="false">
      <c r="A19" s="6" t="n">
        <v>14</v>
      </c>
      <c r="B19" s="6" t="s">
        <v>125</v>
      </c>
      <c r="C19" s="6" t="n">
        <v>14</v>
      </c>
      <c r="D19" s="6" t="s">
        <v>126</v>
      </c>
      <c r="E19" s="6" t="s">
        <v>99</v>
      </c>
      <c r="F19" s="11"/>
      <c r="G19" s="12"/>
      <c r="H19" s="11"/>
      <c r="I19" s="11"/>
      <c r="J19" s="11"/>
      <c r="K19" s="11"/>
      <c r="L19" s="12"/>
      <c r="M19" s="6" t="str">
        <f aca="false">IF(B19="","",IF(L19&lt;&gt;"","widerrufen",IF(G19&lt;&gt;"","freigegeben","offen")))</f>
        <v>offen</v>
      </c>
      <c r="N19" s="11" t="s">
        <v>111</v>
      </c>
      <c r="O19" s="6" t="str">
        <f aca="false">IF(B19="","",IF(J19="ja","ja — als Werbung kennzeichnen",IF(J19="nein","nein","noch nicht geklärt")))</f>
        <v>noch nicht geklärt</v>
      </c>
      <c r="P19" s="11"/>
    </row>
    <row r="20" customFormat="false" ht="23.85" hidden="false" customHeight="false" outlineLevel="0" collapsed="false">
      <c r="A20" s="6" t="n">
        <v>15</v>
      </c>
      <c r="B20" s="6" t="s">
        <v>127</v>
      </c>
      <c r="C20" s="6" t="n">
        <v>15</v>
      </c>
      <c r="D20" s="6" t="s">
        <v>126</v>
      </c>
      <c r="E20" s="6" t="s">
        <v>99</v>
      </c>
      <c r="F20" s="11"/>
      <c r="G20" s="12"/>
      <c r="H20" s="11"/>
      <c r="I20" s="11"/>
      <c r="J20" s="11"/>
      <c r="K20" s="11"/>
      <c r="L20" s="12"/>
      <c r="M20" s="6" t="str">
        <f aca="false">IF(B20="","",IF(L20&lt;&gt;"","widerrufen",IF(G20&lt;&gt;"","freigegeben","offen")))</f>
        <v>offen</v>
      </c>
      <c r="N20" s="11" t="s">
        <v>111</v>
      </c>
      <c r="O20" s="6" t="str">
        <f aca="false">IF(B20="","",IF(J20="ja","ja — als Werbung kennzeichnen",IF(J20="nein","nein","noch nicht geklärt")))</f>
        <v>noch nicht geklärt</v>
      </c>
      <c r="P20" s="11"/>
    </row>
    <row r="21" customFormat="false" ht="23.85" hidden="false" customHeight="false" outlineLevel="0" collapsed="false">
      <c r="A21" s="6" t="n">
        <v>16</v>
      </c>
      <c r="B21" s="6" t="s">
        <v>128</v>
      </c>
      <c r="C21" s="6" t="n">
        <v>16</v>
      </c>
      <c r="D21" s="6" t="s">
        <v>129</v>
      </c>
      <c r="E21" s="6" t="s">
        <v>99</v>
      </c>
      <c r="F21" s="11"/>
      <c r="G21" s="12"/>
      <c r="H21" s="11"/>
      <c r="I21" s="11"/>
      <c r="J21" s="11"/>
      <c r="K21" s="11"/>
      <c r="L21" s="12"/>
      <c r="M21" s="6" t="str">
        <f aca="false">IF(B21="","",IF(L21&lt;&gt;"","widerrufen",IF(G21&lt;&gt;"","freigegeben","offen")))</f>
        <v>offen</v>
      </c>
      <c r="N21" s="11" t="s">
        <v>111</v>
      </c>
      <c r="O21" s="6" t="str">
        <f aca="false">IF(B21="","",IF(J21="ja","ja — als Werbung kennzeichnen",IF(J21="nein","nein","noch nicht geklärt")))</f>
        <v>noch nicht geklärt</v>
      </c>
      <c r="P21" s="11"/>
    </row>
    <row r="22" customFormat="false" ht="23.85" hidden="false" customHeight="false" outlineLevel="0" collapsed="false">
      <c r="A22" s="6" t="n">
        <v>17</v>
      </c>
      <c r="B22" s="6" t="s">
        <v>130</v>
      </c>
      <c r="C22" s="6" t="n">
        <v>17</v>
      </c>
      <c r="D22" s="6" t="s">
        <v>131</v>
      </c>
      <c r="E22" s="6" t="s">
        <v>108</v>
      </c>
      <c r="F22" s="11"/>
      <c r="G22" s="12"/>
      <c r="H22" s="11"/>
      <c r="I22" s="11"/>
      <c r="J22" s="11"/>
      <c r="K22" s="11"/>
      <c r="L22" s="12"/>
      <c r="M22" s="6" t="str">
        <f aca="false">IF(B22="","",IF(L22&lt;&gt;"","widerrufen",IF(G22&lt;&gt;"","freigegeben","offen")))</f>
        <v>offen</v>
      </c>
      <c r="N22" s="11" t="s">
        <v>111</v>
      </c>
      <c r="O22" s="6" t="str">
        <f aca="false">IF(B22="","",IF(J22="ja","ja — als Werbung kennzeichnen",IF(J22="nein","nein","noch nicht geklärt")))</f>
        <v>noch nicht geklärt</v>
      </c>
      <c r="P22" s="11"/>
    </row>
    <row r="23" customFormat="false" ht="23.85" hidden="false" customHeight="false" outlineLevel="0" collapsed="false">
      <c r="A23" s="6" t="n">
        <v>18</v>
      </c>
      <c r="B23" s="6" t="s">
        <v>132</v>
      </c>
      <c r="C23" s="6" t="n">
        <v>18</v>
      </c>
      <c r="D23" s="6" t="s">
        <v>133</v>
      </c>
      <c r="E23" s="6" t="s">
        <v>134</v>
      </c>
      <c r="F23" s="11"/>
      <c r="G23" s="12"/>
      <c r="H23" s="11"/>
      <c r="I23" s="11"/>
      <c r="J23" s="11"/>
      <c r="K23" s="11"/>
      <c r="L23" s="12"/>
      <c r="M23" s="6" t="str">
        <f aca="false">IF(B23="","",IF(L23&lt;&gt;"","widerrufen",IF(G23&lt;&gt;"","freigegeben","offen")))</f>
        <v>offen</v>
      </c>
      <c r="N23" s="11" t="s">
        <v>111</v>
      </c>
      <c r="O23" s="6" t="str">
        <f aca="false">IF(B23="","",IF(J23="ja","ja — als Werbung kennzeichnen",IF(J23="nein","nein","noch nicht geklärt")))</f>
        <v>noch nicht geklärt</v>
      </c>
      <c r="P23" s="11" t="s">
        <v>135</v>
      </c>
    </row>
    <row r="24" customFormat="false" ht="23.85" hidden="false" customHeight="false" outlineLevel="0" collapsed="false">
      <c r="A24" s="6" t="n">
        <v>19</v>
      </c>
      <c r="B24" s="6" t="s">
        <v>136</v>
      </c>
      <c r="C24" s="6" t="n">
        <v>19</v>
      </c>
      <c r="D24" s="6" t="s">
        <v>137</v>
      </c>
      <c r="E24" s="6" t="s">
        <v>108</v>
      </c>
      <c r="F24" s="11"/>
      <c r="G24" s="12"/>
      <c r="H24" s="11"/>
      <c r="I24" s="11"/>
      <c r="J24" s="11"/>
      <c r="K24" s="11"/>
      <c r="L24" s="12"/>
      <c r="M24" s="6" t="str">
        <f aca="false">IF(B24="","",IF(L24&lt;&gt;"","widerrufen",IF(G24&lt;&gt;"","freigegeben","offen")))</f>
        <v>offen</v>
      </c>
      <c r="N24" s="11" t="s">
        <v>95</v>
      </c>
      <c r="O24" s="6" t="str">
        <f aca="false">IF(B24="","",IF(J24="ja","ja — als Werbung kennzeichnen",IF(J24="nein","nein","noch nicht geklärt")))</f>
        <v>noch nicht geklärt</v>
      </c>
      <c r="P24" s="11"/>
    </row>
    <row r="25" customFormat="false" ht="23.85" hidden="false" customHeight="false" outlineLevel="0" collapsed="false">
      <c r="A25" s="6" t="n">
        <v>20</v>
      </c>
      <c r="B25" s="6" t="s">
        <v>138</v>
      </c>
      <c r="C25" s="6" t="n">
        <v>20</v>
      </c>
      <c r="D25" s="6" t="s">
        <v>139</v>
      </c>
      <c r="E25" s="6" t="s">
        <v>108</v>
      </c>
      <c r="F25" s="11"/>
      <c r="G25" s="12"/>
      <c r="H25" s="11"/>
      <c r="I25" s="11"/>
      <c r="J25" s="11"/>
      <c r="K25" s="11"/>
      <c r="L25" s="12"/>
      <c r="M25" s="6" t="str">
        <f aca="false">IF(B25="","",IF(L25&lt;&gt;"","widerrufen",IF(G25&lt;&gt;"","freigegeben","offen")))</f>
        <v>offen</v>
      </c>
      <c r="N25" s="11" t="s">
        <v>95</v>
      </c>
      <c r="O25" s="6" t="str">
        <f aca="false">IF(B25="","",IF(J25="ja","ja — als Werbung kennzeichnen",IF(J25="nein","nein","noch nicht geklärt")))</f>
        <v>noch nicht geklärt</v>
      </c>
      <c r="P25" s="11"/>
    </row>
    <row r="26" customFormat="false" ht="23.85" hidden="false" customHeight="false" outlineLevel="0" collapsed="false">
      <c r="A26" s="6" t="n">
        <v>21</v>
      </c>
      <c r="B26" s="6" t="s">
        <v>140</v>
      </c>
      <c r="C26" s="6" t="n">
        <v>21</v>
      </c>
      <c r="D26" s="6" t="s">
        <v>141</v>
      </c>
      <c r="E26" s="6" t="s">
        <v>108</v>
      </c>
      <c r="F26" s="11"/>
      <c r="G26" s="12"/>
      <c r="H26" s="11"/>
      <c r="I26" s="11"/>
      <c r="J26" s="11"/>
      <c r="K26" s="11"/>
      <c r="L26" s="12"/>
      <c r="M26" s="6" t="str">
        <f aca="false">IF(B26="","",IF(L26&lt;&gt;"","widerrufen",IF(G26&lt;&gt;"","freigegeben","offen")))</f>
        <v>offen</v>
      </c>
      <c r="N26" s="11" t="s">
        <v>95</v>
      </c>
      <c r="O26" s="6" t="str">
        <f aca="false">IF(B26="","",IF(J26="ja","ja — als Werbung kennzeichnen",IF(J26="nein","nein","noch nicht geklärt")))</f>
        <v>noch nicht geklärt</v>
      </c>
      <c r="P26" s="11"/>
    </row>
    <row r="27" customFormat="false" ht="23.85" hidden="false" customHeight="false" outlineLevel="0" collapsed="false">
      <c r="A27" s="6" t="n">
        <v>22</v>
      </c>
      <c r="B27" s="6" t="s">
        <v>142</v>
      </c>
      <c r="C27" s="6" t="n">
        <v>22</v>
      </c>
      <c r="D27" s="6" t="s">
        <v>143</v>
      </c>
      <c r="E27" s="6" t="s">
        <v>108</v>
      </c>
      <c r="F27" s="11"/>
      <c r="G27" s="12"/>
      <c r="H27" s="11"/>
      <c r="I27" s="11"/>
      <c r="J27" s="11"/>
      <c r="K27" s="11"/>
      <c r="L27" s="12"/>
      <c r="M27" s="6" t="str">
        <f aca="false">IF(B27="","",IF(L27&lt;&gt;"","widerrufen",IF(G27&lt;&gt;"","freigegeben","offen")))</f>
        <v>offen</v>
      </c>
      <c r="N27" s="11" t="s">
        <v>95</v>
      </c>
      <c r="O27" s="6" t="str">
        <f aca="false">IF(B27="","",IF(J27="ja","ja — als Werbung kennzeichnen",IF(J27="nein","nein","noch nicht geklärt")))</f>
        <v>noch nicht geklärt</v>
      </c>
      <c r="P27" s="11"/>
    </row>
    <row r="28" customFormat="false" ht="23.85" hidden="false" customHeight="false" outlineLevel="0" collapsed="false">
      <c r="A28" s="6" t="n">
        <v>23</v>
      </c>
      <c r="B28" s="6" t="s">
        <v>144</v>
      </c>
      <c r="C28" s="6" t="n">
        <v>23</v>
      </c>
      <c r="D28" s="6" t="s">
        <v>145</v>
      </c>
      <c r="E28" s="6" t="s">
        <v>99</v>
      </c>
      <c r="F28" s="11"/>
      <c r="G28" s="12"/>
      <c r="H28" s="11"/>
      <c r="I28" s="11"/>
      <c r="J28" s="11"/>
      <c r="K28" s="11"/>
      <c r="L28" s="12"/>
      <c r="M28" s="6" t="str">
        <f aca="false">IF(B28="","",IF(L28&lt;&gt;"","widerrufen",IF(G28&lt;&gt;"","freigegeben","offen")))</f>
        <v>offen</v>
      </c>
      <c r="N28" s="11" t="s">
        <v>95</v>
      </c>
      <c r="O28" s="6" t="str">
        <f aca="false">IF(B28="","",IF(J28="ja","ja — als Werbung kennzeichnen",IF(J28="nein","nein","noch nicht geklärt")))</f>
        <v>noch nicht geklärt</v>
      </c>
      <c r="P28" s="11"/>
    </row>
    <row r="29" customFormat="false" ht="23.85" hidden="false" customHeight="false" outlineLevel="0" collapsed="false">
      <c r="A29" s="6" t="n">
        <v>24</v>
      </c>
      <c r="B29" s="6" t="s">
        <v>146</v>
      </c>
      <c r="C29" s="6" t="n">
        <v>24</v>
      </c>
      <c r="D29" s="6" t="s">
        <v>147</v>
      </c>
      <c r="E29" s="6" t="s">
        <v>99</v>
      </c>
      <c r="F29" s="11"/>
      <c r="G29" s="12"/>
      <c r="H29" s="11"/>
      <c r="I29" s="11"/>
      <c r="J29" s="11"/>
      <c r="K29" s="11"/>
      <c r="L29" s="12"/>
      <c r="M29" s="6" t="str">
        <f aca="false">IF(B29="","",IF(L29&lt;&gt;"","widerrufen",IF(G29&lt;&gt;"","freigegeben","offen")))</f>
        <v>offen</v>
      </c>
      <c r="N29" s="11" t="s">
        <v>95</v>
      </c>
      <c r="O29" s="6" t="str">
        <f aca="false">IF(B29="","",IF(J29="ja","ja — als Werbung kennzeichnen",IF(J29="nein","nein","noch nicht geklärt")))</f>
        <v>noch nicht geklärt</v>
      </c>
      <c r="P29" s="11"/>
    </row>
    <row r="30" customFormat="false" ht="23.85" hidden="false" customHeight="false" outlineLevel="0" collapsed="false">
      <c r="A30" s="6" t="n">
        <v>25</v>
      </c>
      <c r="B30" s="6" t="s">
        <v>148</v>
      </c>
      <c r="C30" s="6" t="n">
        <v>25</v>
      </c>
      <c r="D30" s="6" t="s">
        <v>149</v>
      </c>
      <c r="E30" s="6" t="s">
        <v>108</v>
      </c>
      <c r="F30" s="11"/>
      <c r="G30" s="12"/>
      <c r="H30" s="11"/>
      <c r="I30" s="11"/>
      <c r="J30" s="11"/>
      <c r="K30" s="11"/>
      <c r="L30" s="12"/>
      <c r="M30" s="6" t="str">
        <f aca="false">IF(B30="","",IF(L30&lt;&gt;"","widerrufen",IF(G30&lt;&gt;"","freigegeben","offen")))</f>
        <v>offen</v>
      </c>
      <c r="N30" s="11" t="s">
        <v>95</v>
      </c>
      <c r="O30" s="6" t="str">
        <f aca="false">IF(B30="","",IF(J30="ja","ja — als Werbung kennzeichnen",IF(J30="nein","nein","noch nicht geklärt")))</f>
        <v>noch nicht geklärt</v>
      </c>
      <c r="P30" s="11"/>
    </row>
    <row r="31" customFormat="false" ht="23.85" hidden="false" customHeight="false" outlineLevel="0" collapsed="false">
      <c r="A31" s="6" t="n">
        <v>26</v>
      </c>
      <c r="B31" s="6" t="s">
        <v>150</v>
      </c>
      <c r="C31" s="6" t="n">
        <v>26</v>
      </c>
      <c r="D31" s="6" t="s">
        <v>151</v>
      </c>
      <c r="E31" s="6" t="s">
        <v>108</v>
      </c>
      <c r="F31" s="11"/>
      <c r="G31" s="12"/>
      <c r="H31" s="11"/>
      <c r="I31" s="11"/>
      <c r="J31" s="11"/>
      <c r="K31" s="11"/>
      <c r="L31" s="12"/>
      <c r="M31" s="6" t="str">
        <f aca="false">IF(B31="","",IF(L31&lt;&gt;"","widerrufen",IF(G31&lt;&gt;"","freigegeben","offen")))</f>
        <v>offen</v>
      </c>
      <c r="N31" s="11" t="s">
        <v>95</v>
      </c>
      <c r="O31" s="6" t="str">
        <f aca="false">IF(B31="","",IF(J31="ja","ja — als Werbung kennzeichnen",IF(J31="nein","nein","noch nicht geklärt")))</f>
        <v>noch nicht geklärt</v>
      </c>
      <c r="P31" s="11"/>
    </row>
    <row r="32" customFormat="false" ht="23.85" hidden="false" customHeight="false" outlineLevel="0" collapsed="false">
      <c r="A32" s="6" t="n">
        <v>27</v>
      </c>
      <c r="B32" s="6" t="s">
        <v>152</v>
      </c>
      <c r="C32" s="6" t="n">
        <v>27</v>
      </c>
      <c r="D32" s="6" t="s">
        <v>153</v>
      </c>
      <c r="E32" s="6" t="s">
        <v>99</v>
      </c>
      <c r="F32" s="11"/>
      <c r="G32" s="12"/>
      <c r="H32" s="11"/>
      <c r="I32" s="11"/>
      <c r="J32" s="11"/>
      <c r="K32" s="11"/>
      <c r="L32" s="12"/>
      <c r="M32" s="6" t="str">
        <f aca="false">IF(B32="","",IF(L32&lt;&gt;"","widerrufen",IF(G32&lt;&gt;"","freigegeben","offen")))</f>
        <v>offen</v>
      </c>
      <c r="N32" s="11" t="s">
        <v>95</v>
      </c>
      <c r="O32" s="6" t="str">
        <f aca="false">IF(B32="","",IF(J32="ja","ja — als Werbung kennzeichnen",IF(J32="nein","nein","noch nicht geklärt")))</f>
        <v>noch nicht geklärt</v>
      </c>
      <c r="P32" s="11"/>
    </row>
    <row r="33" customFormat="false" ht="23.85" hidden="false" customHeight="false" outlineLevel="0" collapsed="false">
      <c r="A33" s="6" t="n">
        <v>28</v>
      </c>
      <c r="B33" s="6" t="s">
        <v>154</v>
      </c>
      <c r="C33" s="6" t="n">
        <v>28</v>
      </c>
      <c r="D33" s="6" t="s">
        <v>155</v>
      </c>
      <c r="E33" s="6" t="s">
        <v>108</v>
      </c>
      <c r="F33" s="11"/>
      <c r="G33" s="12"/>
      <c r="H33" s="11"/>
      <c r="I33" s="11"/>
      <c r="J33" s="11"/>
      <c r="K33" s="11"/>
      <c r="L33" s="12"/>
      <c r="M33" s="6" t="str">
        <f aca="false">IF(B33="","",IF(L33&lt;&gt;"","widerrufen",IF(G33&lt;&gt;"","freigegeben","offen")))</f>
        <v>offen</v>
      </c>
      <c r="N33" s="11" t="s">
        <v>95</v>
      </c>
      <c r="O33" s="6" t="str">
        <f aca="false">IF(B33="","",IF(J33="ja","ja — als Werbung kennzeichnen",IF(J33="nein","nein","noch nicht geklärt")))</f>
        <v>noch nicht geklärt</v>
      </c>
      <c r="P33" s="11"/>
    </row>
    <row r="34" customFormat="false" ht="23.85" hidden="false" customHeight="false" outlineLevel="0" collapsed="false">
      <c r="A34" s="6" t="n">
        <v>29</v>
      </c>
      <c r="B34" s="6" t="s">
        <v>156</v>
      </c>
      <c r="C34" s="6" t="n">
        <v>29</v>
      </c>
      <c r="D34" s="6" t="s">
        <v>157</v>
      </c>
      <c r="E34" s="6" t="s">
        <v>99</v>
      </c>
      <c r="F34" s="11"/>
      <c r="G34" s="12"/>
      <c r="H34" s="11"/>
      <c r="I34" s="11"/>
      <c r="J34" s="11"/>
      <c r="K34" s="11"/>
      <c r="L34" s="12"/>
      <c r="M34" s="6" t="str">
        <f aca="false">IF(B34="","",IF(L34&lt;&gt;"","widerrufen",IF(G34&lt;&gt;"","freigegeben","offen")))</f>
        <v>offen</v>
      </c>
      <c r="N34" s="11" t="s">
        <v>95</v>
      </c>
      <c r="O34" s="6" t="str">
        <f aca="false">IF(B34="","",IF(J34="ja","ja — als Werbung kennzeichnen",IF(J34="nein","nein","noch nicht geklärt")))</f>
        <v>noch nicht geklärt</v>
      </c>
      <c r="P34" s="11"/>
    </row>
    <row r="35" customFormat="false" ht="23.85" hidden="false" customHeight="false" outlineLevel="0" collapsed="false">
      <c r="A35" s="6" t="n">
        <v>30</v>
      </c>
      <c r="B35" s="6" t="s">
        <v>158</v>
      </c>
      <c r="C35" s="6" t="n">
        <v>30</v>
      </c>
      <c r="D35" s="6" t="s">
        <v>159</v>
      </c>
      <c r="E35" s="6" t="s">
        <v>99</v>
      </c>
      <c r="F35" s="11"/>
      <c r="G35" s="12"/>
      <c r="H35" s="11"/>
      <c r="I35" s="11"/>
      <c r="J35" s="11"/>
      <c r="K35" s="11"/>
      <c r="L35" s="12"/>
      <c r="M35" s="6" t="str">
        <f aca="false">IF(B35="","",IF(L35&lt;&gt;"","widerrufen",IF(G35&lt;&gt;"","freigegeben","offen")))</f>
        <v>offen</v>
      </c>
      <c r="N35" s="11" t="s">
        <v>95</v>
      </c>
      <c r="O35" s="6" t="str">
        <f aca="false">IF(B35="","",IF(J35="ja","ja — als Werbung kennzeichnen",IF(J35="nein","nein","noch nicht geklärt")))</f>
        <v>noch nicht geklärt</v>
      </c>
      <c r="P35" s="11"/>
    </row>
    <row r="36" customFormat="false" ht="23.85" hidden="false" customHeight="false" outlineLevel="0" collapsed="false">
      <c r="A36" s="6" t="n">
        <v>31</v>
      </c>
      <c r="B36" s="6" t="s">
        <v>160</v>
      </c>
      <c r="C36" s="6" t="n">
        <v>31</v>
      </c>
      <c r="D36" s="6" t="s">
        <v>161</v>
      </c>
      <c r="E36" s="6" t="s">
        <v>108</v>
      </c>
      <c r="F36" s="11"/>
      <c r="G36" s="12"/>
      <c r="H36" s="11"/>
      <c r="I36" s="11"/>
      <c r="J36" s="11"/>
      <c r="K36" s="11"/>
      <c r="L36" s="12"/>
      <c r="M36" s="6" t="str">
        <f aca="false">IF(B36="","",IF(L36&lt;&gt;"","widerrufen",IF(G36&lt;&gt;"","freigegeben","offen")))</f>
        <v>offen</v>
      </c>
      <c r="N36" s="11" t="s">
        <v>95</v>
      </c>
      <c r="O36" s="6" t="str">
        <f aca="false">IF(B36="","",IF(J36="ja","ja — als Werbung kennzeichnen",IF(J36="nein","nein","noch nicht geklärt")))</f>
        <v>noch nicht geklärt</v>
      </c>
      <c r="P36" s="11"/>
    </row>
    <row r="37" customFormat="false" ht="23.85" hidden="false" customHeight="false" outlineLevel="0" collapsed="false">
      <c r="A37" s="6" t="n">
        <v>32</v>
      </c>
      <c r="B37" s="6" t="s">
        <v>162</v>
      </c>
      <c r="C37" s="6" t="n">
        <v>32</v>
      </c>
      <c r="D37" s="6" t="s">
        <v>163</v>
      </c>
      <c r="E37" s="6" t="s">
        <v>108</v>
      </c>
      <c r="F37" s="11"/>
      <c r="G37" s="12"/>
      <c r="H37" s="11"/>
      <c r="I37" s="11"/>
      <c r="J37" s="11"/>
      <c r="K37" s="11"/>
      <c r="L37" s="12"/>
      <c r="M37" s="6" t="str">
        <f aca="false">IF(B37="","",IF(L37&lt;&gt;"","widerrufen",IF(G37&lt;&gt;"","freigegeben","offen")))</f>
        <v>offen</v>
      </c>
      <c r="N37" s="11" t="s">
        <v>95</v>
      </c>
      <c r="O37" s="6" t="str">
        <f aca="false">IF(B37="","",IF(J37="ja","ja — als Werbung kennzeichnen",IF(J37="nein","nein","noch nicht geklärt")))</f>
        <v>noch nicht geklärt</v>
      </c>
      <c r="P37" s="11"/>
    </row>
    <row r="38" customFormat="false" ht="23.85" hidden="false" customHeight="false" outlineLevel="0" collapsed="false">
      <c r="A38" s="6" t="n">
        <v>33</v>
      </c>
      <c r="B38" s="6" t="s">
        <v>164</v>
      </c>
      <c r="C38" s="6" t="n">
        <v>33</v>
      </c>
      <c r="D38" s="6" t="s">
        <v>165</v>
      </c>
      <c r="E38" s="6" t="s">
        <v>108</v>
      </c>
      <c r="F38" s="11"/>
      <c r="G38" s="12"/>
      <c r="H38" s="11"/>
      <c r="I38" s="11"/>
      <c r="J38" s="11"/>
      <c r="K38" s="11"/>
      <c r="L38" s="12"/>
      <c r="M38" s="6" t="str">
        <f aca="false">IF(B38="","",IF(L38&lt;&gt;"","widerrufen",IF(G38&lt;&gt;"","freigegeben","offen")))</f>
        <v>offen</v>
      </c>
      <c r="N38" s="11" t="s">
        <v>95</v>
      </c>
      <c r="O38" s="6" t="str">
        <f aca="false">IF(B38="","",IF(J38="ja","ja — als Werbung kennzeichnen",IF(J38="nein","nein","noch nicht geklärt")))</f>
        <v>noch nicht geklärt</v>
      </c>
      <c r="P38" s="11"/>
    </row>
    <row r="39" customFormat="false" ht="15" hidden="false" customHeight="false" outlineLevel="0" collapsed="false">
      <c r="A39" s="6" t="n">
        <v>34</v>
      </c>
      <c r="B39" s="11"/>
      <c r="C39" s="11"/>
      <c r="D39" s="11"/>
      <c r="E39" s="6"/>
      <c r="F39" s="11"/>
      <c r="G39" s="12"/>
      <c r="H39" s="11"/>
      <c r="I39" s="11"/>
      <c r="J39" s="11"/>
      <c r="K39" s="11"/>
      <c r="L39" s="12"/>
      <c r="M39" s="6" t="str">
        <f aca="false">IF(B39="","",IF(L39&lt;&gt;"","widerrufen",IF(G39&lt;&gt;"","freigegeben","offen")))</f>
        <v/>
      </c>
      <c r="N39" s="11"/>
      <c r="O39" s="6" t="str">
        <f aca="false">IF(B39="","",IF(J39="ja","ja — als Werbung kennzeichnen",IF(J39="nein","nein","noch nicht geklärt")))</f>
        <v/>
      </c>
      <c r="P39" s="11"/>
    </row>
    <row r="40" customFormat="false" ht="15" hidden="false" customHeight="false" outlineLevel="0" collapsed="false">
      <c r="A40" s="6" t="n">
        <v>35</v>
      </c>
      <c r="B40" s="11"/>
      <c r="C40" s="11"/>
      <c r="D40" s="11"/>
      <c r="E40" s="6"/>
      <c r="F40" s="11"/>
      <c r="G40" s="12"/>
      <c r="H40" s="11"/>
      <c r="I40" s="11"/>
      <c r="J40" s="11"/>
      <c r="K40" s="11"/>
      <c r="L40" s="12"/>
      <c r="M40" s="6" t="str">
        <f aca="false">IF(B40="","",IF(L40&lt;&gt;"","widerrufen",IF(G40&lt;&gt;"","freigegeben","offen")))</f>
        <v/>
      </c>
      <c r="N40" s="11"/>
      <c r="O40" s="6" t="str">
        <f aca="false">IF(B40="","",IF(J40="ja","ja — als Werbung kennzeichnen",IF(J40="nein","nein","noch nicht geklärt")))</f>
        <v/>
      </c>
      <c r="P40" s="11"/>
    </row>
    <row r="41" customFormat="false" ht="15" hidden="false" customHeight="false" outlineLevel="0" collapsed="false">
      <c r="A41" s="6" t="n">
        <v>36</v>
      </c>
      <c r="B41" s="11"/>
      <c r="C41" s="11"/>
      <c r="D41" s="11"/>
      <c r="E41" s="6"/>
      <c r="F41" s="11"/>
      <c r="G41" s="12"/>
      <c r="H41" s="11"/>
      <c r="I41" s="11"/>
      <c r="J41" s="11"/>
      <c r="K41" s="11"/>
      <c r="L41" s="12"/>
      <c r="M41" s="6" t="str">
        <f aca="false">IF(B41="","",IF(L41&lt;&gt;"","widerrufen",IF(G41&lt;&gt;"","freigegeben","offen")))</f>
        <v/>
      </c>
      <c r="N41" s="11"/>
      <c r="O41" s="6" t="str">
        <f aca="false">IF(B41="","",IF(J41="ja","ja — als Werbung kennzeichnen",IF(J41="nein","nein","noch nicht geklärt")))</f>
        <v/>
      </c>
      <c r="P41" s="11"/>
    </row>
    <row r="42" customFormat="false" ht="15" hidden="false" customHeight="false" outlineLevel="0" collapsed="false">
      <c r="A42" s="6" t="n">
        <v>37</v>
      </c>
      <c r="B42" s="11"/>
      <c r="C42" s="11"/>
      <c r="D42" s="11"/>
      <c r="E42" s="6"/>
      <c r="F42" s="11"/>
      <c r="G42" s="12"/>
      <c r="H42" s="11"/>
      <c r="I42" s="11"/>
      <c r="J42" s="11"/>
      <c r="K42" s="11"/>
      <c r="L42" s="12"/>
      <c r="M42" s="6" t="str">
        <f aca="false">IF(B42="","",IF(L42&lt;&gt;"","widerrufen",IF(G42&lt;&gt;"","freigegeben","offen")))</f>
        <v/>
      </c>
      <c r="N42" s="11"/>
      <c r="O42" s="6" t="str">
        <f aca="false">IF(B42="","",IF(J42="ja","ja — als Werbung kennzeichnen",IF(J42="nein","nein","noch nicht geklärt")))</f>
        <v/>
      </c>
      <c r="P42" s="11"/>
    </row>
    <row r="43" customFormat="false" ht="15" hidden="false" customHeight="false" outlineLevel="0" collapsed="false">
      <c r="A43" s="6" t="n">
        <v>38</v>
      </c>
      <c r="B43" s="11"/>
      <c r="C43" s="11"/>
      <c r="D43" s="11"/>
      <c r="E43" s="6"/>
      <c r="F43" s="11"/>
      <c r="G43" s="12"/>
      <c r="H43" s="11"/>
      <c r="I43" s="11"/>
      <c r="J43" s="11"/>
      <c r="K43" s="11"/>
      <c r="L43" s="12"/>
      <c r="M43" s="6" t="str">
        <f aca="false">IF(B43="","",IF(L43&lt;&gt;"","widerrufen",IF(G43&lt;&gt;"","freigegeben","offen")))</f>
        <v/>
      </c>
      <c r="N43" s="11"/>
      <c r="O43" s="6" t="str">
        <f aca="false">IF(B43="","",IF(J43="ja","ja — als Werbung kennzeichnen",IF(J43="nein","nein","noch nicht geklärt")))</f>
        <v/>
      </c>
      <c r="P43" s="11"/>
    </row>
    <row r="44" customFormat="false" ht="15" hidden="false" customHeight="false" outlineLevel="0" collapsed="false">
      <c r="A44" s="6" t="n">
        <v>39</v>
      </c>
      <c r="B44" s="11"/>
      <c r="C44" s="11"/>
      <c r="D44" s="11"/>
      <c r="E44" s="6"/>
      <c r="F44" s="11"/>
      <c r="G44" s="12"/>
      <c r="H44" s="11"/>
      <c r="I44" s="11"/>
      <c r="J44" s="11"/>
      <c r="K44" s="11"/>
      <c r="L44" s="12"/>
      <c r="M44" s="6" t="str">
        <f aca="false">IF(B44="","",IF(L44&lt;&gt;"","widerrufen",IF(G44&lt;&gt;"","freigegeben","offen")))</f>
        <v/>
      </c>
      <c r="N44" s="11"/>
      <c r="O44" s="6" t="str">
        <f aca="false">IF(B44="","",IF(J44="ja","ja — als Werbung kennzeichnen",IF(J44="nein","nein","noch nicht geklärt")))</f>
        <v/>
      </c>
      <c r="P44" s="11"/>
    </row>
    <row r="45" customFormat="false" ht="15" hidden="false" customHeight="false" outlineLevel="0" collapsed="false">
      <c r="A45" s="6" t="n">
        <v>40</v>
      </c>
      <c r="B45" s="11"/>
      <c r="C45" s="11"/>
      <c r="D45" s="11"/>
      <c r="E45" s="6"/>
      <c r="F45" s="11"/>
      <c r="G45" s="12"/>
      <c r="H45" s="11"/>
      <c r="I45" s="11"/>
      <c r="J45" s="11"/>
      <c r="K45" s="11"/>
      <c r="L45" s="12"/>
      <c r="M45" s="6" t="str">
        <f aca="false">IF(B45="","",IF(L45&lt;&gt;"","widerrufen",IF(G45&lt;&gt;"","freigegeben","offen")))</f>
        <v/>
      </c>
      <c r="N45" s="11"/>
      <c r="O45" s="6" t="str">
        <f aca="false">IF(B45="","",IF(J45="ja","ja — als Werbung kennzeichnen",IF(J45="nein","nein","noch nicht geklärt")))</f>
        <v/>
      </c>
      <c r="P45" s="11"/>
    </row>
    <row r="46" customFormat="false" ht="15" hidden="false" customHeight="false" outlineLevel="0" collapsed="false">
      <c r="A46" s="6" t="n">
        <v>41</v>
      </c>
      <c r="B46" s="11"/>
      <c r="C46" s="11"/>
      <c r="D46" s="11"/>
      <c r="E46" s="6"/>
      <c r="F46" s="11"/>
      <c r="G46" s="12"/>
      <c r="H46" s="11"/>
      <c r="I46" s="11"/>
      <c r="J46" s="11"/>
      <c r="K46" s="11"/>
      <c r="L46" s="12"/>
      <c r="M46" s="6" t="str">
        <f aca="false">IF(B46="","",IF(L46&lt;&gt;"","widerrufen",IF(G46&lt;&gt;"","freigegeben","offen")))</f>
        <v/>
      </c>
      <c r="N46" s="11"/>
      <c r="O46" s="6" t="str">
        <f aca="false">IF(B46="","",IF(J46="ja","ja — als Werbung kennzeichnen",IF(J46="nein","nein","noch nicht geklärt")))</f>
        <v/>
      </c>
      <c r="P46" s="11"/>
    </row>
    <row r="47" customFormat="false" ht="15" hidden="false" customHeight="false" outlineLevel="0" collapsed="false">
      <c r="A47" s="6" t="n">
        <v>42</v>
      </c>
      <c r="B47" s="11"/>
      <c r="C47" s="11"/>
      <c r="D47" s="11"/>
      <c r="E47" s="6"/>
      <c r="F47" s="11"/>
      <c r="G47" s="12"/>
      <c r="H47" s="11"/>
      <c r="I47" s="11"/>
      <c r="J47" s="11"/>
      <c r="K47" s="11"/>
      <c r="L47" s="12"/>
      <c r="M47" s="6" t="str">
        <f aca="false">IF(B47="","",IF(L47&lt;&gt;"","widerrufen",IF(G47&lt;&gt;"","freigegeben","offen")))</f>
        <v/>
      </c>
      <c r="N47" s="11"/>
      <c r="O47" s="6" t="str">
        <f aca="false">IF(B47="","",IF(J47="ja","ja — als Werbung kennzeichnen",IF(J47="nein","nein","noch nicht geklärt")))</f>
        <v/>
      </c>
      <c r="P47" s="11"/>
    </row>
    <row r="48" customFormat="false" ht="15" hidden="false" customHeight="false" outlineLevel="0" collapsed="false">
      <c r="A48" s="6" t="n">
        <v>43</v>
      </c>
      <c r="B48" s="11"/>
      <c r="C48" s="11"/>
      <c r="D48" s="11"/>
      <c r="E48" s="6"/>
      <c r="F48" s="11"/>
      <c r="G48" s="12"/>
      <c r="H48" s="11"/>
      <c r="I48" s="11"/>
      <c r="J48" s="11"/>
      <c r="K48" s="11"/>
      <c r="L48" s="12"/>
      <c r="M48" s="6" t="str">
        <f aca="false">IF(B48="","",IF(L48&lt;&gt;"","widerrufen",IF(G48&lt;&gt;"","freigegeben","offen")))</f>
        <v/>
      </c>
      <c r="N48" s="11"/>
      <c r="O48" s="6" t="str">
        <f aca="false">IF(B48="","",IF(J48="ja","ja — als Werbung kennzeichnen",IF(J48="nein","nein","noch nicht geklärt")))</f>
        <v/>
      </c>
      <c r="P48" s="11"/>
    </row>
    <row r="49" customFormat="false" ht="15" hidden="false" customHeight="false" outlineLevel="0" collapsed="false">
      <c r="A49" s="6" t="n">
        <v>44</v>
      </c>
      <c r="B49" s="11"/>
      <c r="C49" s="11"/>
      <c r="D49" s="11"/>
      <c r="E49" s="6"/>
      <c r="F49" s="11"/>
      <c r="G49" s="12"/>
      <c r="H49" s="11"/>
      <c r="I49" s="11"/>
      <c r="J49" s="11"/>
      <c r="K49" s="11"/>
      <c r="L49" s="12"/>
      <c r="M49" s="6" t="str">
        <f aca="false">IF(B49="","",IF(L49&lt;&gt;"","widerrufen",IF(G49&lt;&gt;"","freigegeben","offen")))</f>
        <v/>
      </c>
      <c r="N49" s="11"/>
      <c r="O49" s="6" t="str">
        <f aca="false">IF(B49="","",IF(J49="ja","ja — als Werbung kennzeichnen",IF(J49="nein","nein","noch nicht geklärt")))</f>
        <v/>
      </c>
      <c r="P49" s="11"/>
    </row>
    <row r="50" customFormat="false" ht="15" hidden="false" customHeight="false" outlineLevel="0" collapsed="false">
      <c r="A50" s="6" t="n">
        <v>45</v>
      </c>
      <c r="B50" s="11"/>
      <c r="C50" s="11"/>
      <c r="D50" s="11"/>
      <c r="E50" s="6"/>
      <c r="F50" s="11"/>
      <c r="G50" s="12"/>
      <c r="H50" s="11"/>
      <c r="I50" s="11"/>
      <c r="J50" s="11"/>
      <c r="K50" s="11"/>
      <c r="L50" s="12"/>
      <c r="M50" s="6" t="str">
        <f aca="false">IF(B50="","",IF(L50&lt;&gt;"","widerrufen",IF(G50&lt;&gt;"","freigegeben","offen")))</f>
        <v/>
      </c>
      <c r="N50" s="11"/>
      <c r="O50" s="6" t="str">
        <f aca="false">IF(B50="","",IF(J50="ja","ja — als Werbung kennzeichnen",IF(J50="nein","nein","noch nicht geklärt")))</f>
        <v/>
      </c>
      <c r="P50" s="11"/>
    </row>
    <row r="51" customFormat="false" ht="15" hidden="false" customHeight="false" outlineLevel="0" collapsed="false">
      <c r="A51" s="6" t="n">
        <v>46</v>
      </c>
      <c r="B51" s="11"/>
      <c r="C51" s="11"/>
      <c r="D51" s="11"/>
      <c r="E51" s="6"/>
      <c r="F51" s="11"/>
      <c r="G51" s="12"/>
      <c r="H51" s="11"/>
      <c r="I51" s="11"/>
      <c r="J51" s="11"/>
      <c r="K51" s="11"/>
      <c r="L51" s="12"/>
      <c r="M51" s="6" t="str">
        <f aca="false">IF(B51="","",IF(L51&lt;&gt;"","widerrufen",IF(G51&lt;&gt;"","freigegeben","offen")))</f>
        <v/>
      </c>
      <c r="N51" s="11"/>
      <c r="O51" s="6" t="str">
        <f aca="false">IF(B51="","",IF(J51="ja","ja — als Werbung kennzeichnen",IF(J51="nein","nein","noch nicht geklärt")))</f>
        <v/>
      </c>
      <c r="P51" s="11"/>
    </row>
    <row r="52" customFormat="false" ht="15" hidden="false" customHeight="false" outlineLevel="0" collapsed="false">
      <c r="A52" s="6" t="n">
        <v>47</v>
      </c>
      <c r="B52" s="11"/>
      <c r="C52" s="11"/>
      <c r="D52" s="11"/>
      <c r="E52" s="6"/>
      <c r="F52" s="11"/>
      <c r="G52" s="12"/>
      <c r="H52" s="11"/>
      <c r="I52" s="11"/>
      <c r="J52" s="11"/>
      <c r="K52" s="11"/>
      <c r="L52" s="12"/>
      <c r="M52" s="6" t="str">
        <f aca="false">IF(B52="","",IF(L52&lt;&gt;"","widerrufen",IF(G52&lt;&gt;"","freigegeben","offen")))</f>
        <v/>
      </c>
      <c r="N52" s="11"/>
      <c r="O52" s="6" t="str">
        <f aca="false">IF(B52="","",IF(J52="ja","ja — als Werbung kennzeichnen",IF(J52="nein","nein","noch nicht geklärt")))</f>
        <v/>
      </c>
      <c r="P52" s="11"/>
    </row>
    <row r="53" customFormat="false" ht="15" hidden="false" customHeight="false" outlineLevel="0" collapsed="false">
      <c r="A53" s="6" t="n">
        <v>48</v>
      </c>
      <c r="B53" s="11"/>
      <c r="C53" s="11"/>
      <c r="D53" s="11"/>
      <c r="E53" s="6"/>
      <c r="F53" s="11"/>
      <c r="G53" s="12"/>
      <c r="H53" s="11"/>
      <c r="I53" s="11"/>
      <c r="J53" s="11"/>
      <c r="K53" s="11"/>
      <c r="L53" s="12"/>
      <c r="M53" s="6" t="str">
        <f aca="false">IF(B53="","",IF(L53&lt;&gt;"","widerrufen",IF(G53&lt;&gt;"","freigegeben","offen")))</f>
        <v/>
      </c>
      <c r="N53" s="11"/>
      <c r="O53" s="6" t="str">
        <f aca="false">IF(B53="","",IF(J53="ja","ja — als Werbung kennzeichnen",IF(J53="nein","nein","noch nicht geklärt")))</f>
        <v/>
      </c>
      <c r="P53" s="11"/>
    </row>
    <row r="54" customFormat="false" ht="15" hidden="false" customHeight="false" outlineLevel="0" collapsed="false">
      <c r="A54" s="6" t="n">
        <v>49</v>
      </c>
      <c r="B54" s="11"/>
      <c r="C54" s="11"/>
      <c r="D54" s="11"/>
      <c r="E54" s="6"/>
      <c r="F54" s="11"/>
      <c r="G54" s="12"/>
      <c r="H54" s="11"/>
      <c r="I54" s="11"/>
      <c r="J54" s="11"/>
      <c r="K54" s="11"/>
      <c r="L54" s="12"/>
      <c r="M54" s="6" t="str">
        <f aca="false">IF(B54="","",IF(L54&lt;&gt;"","widerrufen",IF(G54&lt;&gt;"","freigegeben","offen")))</f>
        <v/>
      </c>
      <c r="N54" s="11"/>
      <c r="O54" s="6" t="str">
        <f aca="false">IF(B54="","",IF(J54="ja","ja — als Werbung kennzeichnen",IF(J54="nein","nein","noch nicht geklärt")))</f>
        <v/>
      </c>
      <c r="P54" s="11"/>
    </row>
    <row r="55" customFormat="false" ht="15" hidden="false" customHeight="false" outlineLevel="0" collapsed="false">
      <c r="A55" s="6" t="n">
        <v>50</v>
      </c>
      <c r="B55" s="11"/>
      <c r="C55" s="11"/>
      <c r="D55" s="11"/>
      <c r="E55" s="6"/>
      <c r="F55" s="11"/>
      <c r="G55" s="12"/>
      <c r="H55" s="11"/>
      <c r="I55" s="11"/>
      <c r="J55" s="11"/>
      <c r="K55" s="11"/>
      <c r="L55" s="12"/>
      <c r="M55" s="6" t="str">
        <f aca="false">IF(B55="","",IF(L55&lt;&gt;"","widerrufen",IF(G55&lt;&gt;"","freigegeben","offen")))</f>
        <v/>
      </c>
      <c r="N55" s="11"/>
      <c r="O55" s="6" t="str">
        <f aca="false">IF(B55="","",IF(J55="ja","ja — als Werbung kennzeichnen",IF(J55="nein","nein","noch nicht geklärt")))</f>
        <v/>
      </c>
      <c r="P55" s="11"/>
    </row>
    <row r="56" customFormat="false" ht="15" hidden="false" customHeight="false" outlineLevel="0" collapsed="false">
      <c r="A56" s="6" t="n">
        <v>51</v>
      </c>
      <c r="B56" s="11"/>
      <c r="C56" s="11"/>
      <c r="D56" s="11"/>
      <c r="E56" s="6"/>
      <c r="F56" s="11"/>
      <c r="G56" s="12"/>
      <c r="H56" s="11"/>
      <c r="I56" s="11"/>
      <c r="J56" s="11"/>
      <c r="K56" s="11"/>
      <c r="L56" s="12"/>
      <c r="M56" s="6" t="str">
        <f aca="false">IF(B56="","",IF(L56&lt;&gt;"","widerrufen",IF(G56&lt;&gt;"","freigegeben","offen")))</f>
        <v/>
      </c>
      <c r="N56" s="11"/>
      <c r="O56" s="6" t="str">
        <f aca="false">IF(B56="","",IF(J56="ja","ja — als Werbung kennzeichnen",IF(J56="nein","nein","noch nicht geklärt")))</f>
        <v/>
      </c>
      <c r="P56" s="11"/>
    </row>
    <row r="57" customFormat="false" ht="15" hidden="false" customHeight="false" outlineLevel="0" collapsed="false">
      <c r="A57" s="6" t="n">
        <v>52</v>
      </c>
      <c r="B57" s="11"/>
      <c r="C57" s="11"/>
      <c r="D57" s="11"/>
      <c r="E57" s="6"/>
      <c r="F57" s="11"/>
      <c r="G57" s="12"/>
      <c r="H57" s="11"/>
      <c r="I57" s="11"/>
      <c r="J57" s="11"/>
      <c r="K57" s="11"/>
      <c r="L57" s="12"/>
      <c r="M57" s="6" t="str">
        <f aca="false">IF(B57="","",IF(L57&lt;&gt;"","widerrufen",IF(G57&lt;&gt;"","freigegeben","offen")))</f>
        <v/>
      </c>
      <c r="N57" s="11"/>
      <c r="O57" s="6" t="str">
        <f aca="false">IF(B57="","",IF(J57="ja","ja — als Werbung kennzeichnen",IF(J57="nein","nein","noch nicht geklärt")))</f>
        <v/>
      </c>
      <c r="P57" s="11"/>
    </row>
    <row r="58" customFormat="false" ht="15" hidden="false" customHeight="false" outlineLevel="0" collapsed="false">
      <c r="A58" s="6" t="n">
        <v>53</v>
      </c>
      <c r="B58" s="11"/>
      <c r="C58" s="11"/>
      <c r="D58" s="11"/>
      <c r="E58" s="6"/>
      <c r="F58" s="11"/>
      <c r="G58" s="12"/>
      <c r="H58" s="11"/>
      <c r="I58" s="11"/>
      <c r="J58" s="11"/>
      <c r="K58" s="11"/>
      <c r="L58" s="12"/>
      <c r="M58" s="6" t="str">
        <f aca="false">IF(B58="","",IF(L58&lt;&gt;"","widerrufen",IF(G58&lt;&gt;"","freigegeben","offen")))</f>
        <v/>
      </c>
      <c r="N58" s="11"/>
      <c r="O58" s="6" t="str">
        <f aca="false">IF(B58="","",IF(J58="ja","ja — als Werbung kennzeichnen",IF(J58="nein","nein","noch nicht geklärt")))</f>
        <v/>
      </c>
      <c r="P58" s="11"/>
    </row>
    <row r="60" customFormat="false" ht="15" hidden="false" customHeight="false" outlineLevel="0" collapsed="false">
      <c r="B60" s="5" t="s">
        <v>166</v>
      </c>
      <c r="C60" s="8" t="n">
        <f aca="false">COUNTIF(M6:M58,"freigegeben")</f>
        <v>0</v>
      </c>
    </row>
    <row r="61" customFormat="false" ht="15" hidden="false" customHeight="false" outlineLevel="0" collapsed="false">
      <c r="B61" s="5" t="s">
        <v>167</v>
      </c>
      <c r="C61" s="8" t="n">
        <f aca="false">COUNTIF(M6:M58,"offen")</f>
        <v>33</v>
      </c>
    </row>
    <row r="62" customFormat="false" ht="15" hidden="false" customHeight="false" outlineLevel="0" collapsed="false">
      <c r="B62" s="5" t="s">
        <v>168</v>
      </c>
      <c r="C62" s="8" t="n">
        <f aca="false">COUNTIF(M6:M58,"widerrufen")</f>
        <v>0</v>
      </c>
    </row>
    <row r="63" customFormat="false" ht="23.85" hidden="false" customHeight="false" outlineLevel="0" collapsed="false">
      <c r="B63" s="5" t="s">
        <v>169</v>
      </c>
      <c r="C63" s="8" t="n">
        <f aca="false">COUNTIF(J6:J58,"ja")</f>
        <v>0</v>
      </c>
    </row>
    <row r="64" customFormat="false" ht="64.15" hidden="false" customHeight="false" outlineLevel="0" collapsed="false">
      <c r="B64" s="5" t="s">
        <v>170</v>
      </c>
      <c r="C64" s="13" t="s">
        <v>171</v>
      </c>
    </row>
  </sheetData>
  <autoFilter ref="A4:P58"/>
  <conditionalFormatting sqref="N5:N58">
    <cfRule type="expression" priority="2" aboveAverage="0" equalAverage="0" bottom="0" percent="0" rank="0" text="" dxfId="7">
      <formula>N5="rot"</formula>
    </cfRule>
    <cfRule type="expression" priority="3" aboveAverage="0" equalAverage="0" bottom="0" percent="0" rank="0" text="" dxfId="8">
      <formula>N5="gelb"</formula>
    </cfRule>
    <cfRule type="expression" priority="4" aboveAverage="0" equalAverage="0" bottom="0" percent="0" rank="0" text="" dxfId="9">
      <formula>N5="grün"</formula>
    </cfRule>
  </conditionalFormatting>
  <conditionalFormatting sqref="M5:M58">
    <cfRule type="expression" priority="5" aboveAverage="0" equalAverage="0" bottom="0" percent="0" rank="0" text="" dxfId="9">
      <formula>M5="freigegeben"</formula>
    </cfRule>
    <cfRule type="expression" priority="6" aboveAverage="0" equalAverage="0" bottom="0" percent="0" rank="0" text="" dxfId="7">
      <formula>M5="widerrufen"</formula>
    </cfRule>
  </conditionalFormatting>
  <dataValidations count="3">
    <dataValidation allowBlank="true" errorStyle="stop" operator="between" showDropDown="false" showErrorMessage="false" showInputMessage="false" sqref="H5:H58" type="list">
      <formula1>"Gespräch + Nachricht,E-Mail,Direktnachricht,schriftlich vor Ort"</formula1>
      <formula2>0</formula2>
    </dataValidation>
    <dataValidation allowBlank="true" errorStyle="stop" operator="between" showDropDown="false" showErrorMessage="false" showInputMessage="false" sqref="J5:K58" type="list">
      <formula1>"ja,nein"</formula1>
      <formula2>0</formula2>
    </dataValidation>
    <dataValidation allowBlank="true" errorStyle="stop" operator="between" showDropDown="false" showErrorMessage="false" showInputMessage="false" sqref="N5:N58" type="list">
      <formula1>"grün,gelb,rot"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6"/>
    <col collapsed="false" customWidth="true" hidden="false" outlineLevel="0" max="5" min="4" style="0" width="8"/>
    <col collapsed="false" customWidth="true" hidden="false" outlineLevel="0" max="6" min="6" style="0" width="26"/>
    <col collapsed="false" customWidth="true" hidden="false" outlineLevel="0" max="7" min="7" style="0" width="34"/>
    <col collapsed="false" customWidth="true" hidden="false" outlineLevel="0" max="8" min="8" style="0" width="8"/>
    <col collapsed="false" customWidth="true" hidden="false" outlineLevel="0" max="9" min="9" style="0" width="30"/>
    <col collapsed="false" customWidth="true" hidden="false" outlineLevel="0" max="10" min="10" style="0" width="10"/>
    <col collapsed="false" customWidth="true" hidden="false" outlineLevel="0" max="11" min="11" style="0" width="12"/>
    <col collapsed="false" customWidth="true" hidden="false" outlineLevel="0" max="12" min="12" style="0" width="30"/>
    <col collapsed="false" customWidth="true" hidden="false" outlineLevel="0" max="13" min="13" style="0" width="12"/>
    <col collapsed="false" customWidth="true" hidden="false" outlineLevel="0" max="14" min="14" style="0" width="20"/>
    <col collapsed="false" customWidth="true" hidden="false" outlineLevel="0" max="15" min="15" style="0" width="7"/>
    <col collapsed="false" customWidth="true" hidden="false" outlineLevel="0" max="16" min="16" style="0" width="14"/>
    <col collapsed="false" customWidth="true" hidden="false" outlineLevel="0" max="17" min="17" style="0" width="16"/>
    <col collapsed="false" customWidth="true" hidden="false" outlineLevel="0" max="18" min="18" style="0" width="10"/>
    <col collapsed="false" customWidth="true" hidden="false" outlineLevel="0" max="20" min="19" style="0" width="14"/>
    <col collapsed="false" customWidth="true" hidden="false" outlineLevel="0" max="21" min="21" style="0" width="26"/>
    <col collapsed="false" customWidth="true" hidden="false" outlineLevel="0" max="22" min="22" style="0" width="24"/>
  </cols>
  <sheetData>
    <row r="1" customFormat="false" ht="19.7" hidden="false" customHeight="false" outlineLevel="0" collapsed="false">
      <c r="A1" s="1" t="s">
        <v>172</v>
      </c>
    </row>
    <row r="2" customFormat="false" ht="15" hidden="false" customHeight="false" outlineLevel="0" collapsed="false">
      <c r="A2" s="2" t="s">
        <v>1</v>
      </c>
    </row>
    <row r="3" customFormat="false" ht="15" hidden="false" customHeight="false" outlineLevel="0" collapsed="false">
      <c r="A3" s="2" t="s">
        <v>173</v>
      </c>
    </row>
    <row r="4" customFormat="false" ht="46.25" hidden="false" customHeight="false" outlineLevel="0" collapsed="false">
      <c r="A4" s="4" t="s">
        <v>174</v>
      </c>
      <c r="B4" s="4" t="s">
        <v>175</v>
      </c>
      <c r="C4" s="4" t="s">
        <v>176</v>
      </c>
      <c r="D4" s="4" t="s">
        <v>177</v>
      </c>
      <c r="E4" s="4" t="s">
        <v>178</v>
      </c>
      <c r="F4" s="4" t="s">
        <v>179</v>
      </c>
      <c r="G4" s="4" t="s">
        <v>180</v>
      </c>
      <c r="H4" s="4" t="s">
        <v>181</v>
      </c>
      <c r="I4" s="4" t="s">
        <v>182</v>
      </c>
      <c r="J4" s="4" t="s">
        <v>183</v>
      </c>
      <c r="K4" s="4" t="s">
        <v>184</v>
      </c>
      <c r="L4" s="4" t="s">
        <v>185</v>
      </c>
      <c r="M4" s="4" t="s">
        <v>186</v>
      </c>
      <c r="N4" s="4" t="s">
        <v>187</v>
      </c>
      <c r="O4" s="4" t="s">
        <v>188</v>
      </c>
      <c r="P4" s="4" t="s">
        <v>189</v>
      </c>
      <c r="Q4" s="4" t="s">
        <v>190</v>
      </c>
      <c r="R4" s="4" t="s">
        <v>191</v>
      </c>
      <c r="S4" s="4" t="s">
        <v>83</v>
      </c>
      <c r="T4" s="4" t="s">
        <v>192</v>
      </c>
      <c r="U4" s="4" t="s">
        <v>193</v>
      </c>
      <c r="V4" s="4" t="s">
        <v>86</v>
      </c>
    </row>
    <row r="5" customFormat="false" ht="23.85" hidden="false" customHeight="false" outlineLevel="0" collapsed="false">
      <c r="A5" s="9" t="n">
        <v>1</v>
      </c>
      <c r="B5" s="10" t="n">
        <v>47031</v>
      </c>
      <c r="C5" s="9" t="str">
        <f aca="false">IF(B5="","",CHOOSE(WEEKDAY(B5,2),"Mo","Di","Mi","Do","Fr","Sa","So"))</f>
        <v>Do</v>
      </c>
      <c r="D5" s="14" t="n">
        <v>0.833333333333333</v>
      </c>
      <c r="E5" s="14" t="n">
        <v>0.958333333333333</v>
      </c>
      <c r="F5" s="9" t="s">
        <v>194</v>
      </c>
      <c r="G5" s="9" t="s">
        <v>195</v>
      </c>
      <c r="H5" s="15" t="n">
        <f aca="false">IF(G5="","",LEN(G5))</f>
        <v>30</v>
      </c>
      <c r="I5" s="9" t="s">
        <v>88</v>
      </c>
      <c r="J5" s="9" t="str">
        <f aca="false">IF(I5="","",IF(COUNTIFS(Freigaben!$B$5:$B$58,I5,Freigaben!$M$5:$M$58,"freigegeben")&gt;0,"ja","nein"))</f>
        <v>ja</v>
      </c>
      <c r="K5" s="9" t="str">
        <f aca="false">IF(I5="","",IFERROR(IF(INDEX(Freigaben!$N$5:$N$58,MATCH(I5,Freigaben!$B$5:$B$58,0))="","ohne Ampel",INDEX(Freigaben!$N$5:$N$58,MATCH(I5,Freigaben!$B$5:$B$58,0))),"nicht in Freigaben"))</f>
        <v>grün</v>
      </c>
      <c r="L5" s="9" t="s">
        <v>91</v>
      </c>
      <c r="M5" s="10" t="n">
        <v>47030</v>
      </c>
      <c r="N5" s="9" t="s">
        <v>196</v>
      </c>
      <c r="O5" s="9" t="s">
        <v>94</v>
      </c>
      <c r="P5" s="9" t="s">
        <v>197</v>
      </c>
      <c r="Q5" s="9"/>
      <c r="R5" s="9" t="s">
        <v>198</v>
      </c>
      <c r="S5" s="9" t="s">
        <v>199</v>
      </c>
      <c r="T5" s="9" t="str">
        <f aca="false">IF(F5="","",IF(AND(J5="ja",M5&lt;&gt;"",OR(K5="grün",K5="gelb"),LEN(G5)&lt;=60),"ja","nein"))</f>
        <v>ja</v>
      </c>
      <c r="U5" s="9" t="str">
        <f aca="false">IF(T5&lt;&gt;"nein","",IF(J5&lt;&gt;"ja","keine Freigabe",IF(M5="","nicht an der Quelle bestätigt",IF(K5="rot","Ampel rot — nicht öffentlich",IF(OR(K5="ohne Ampel",K5="nicht in Freigaben"),"Ampel fehlt",IF(LEN(G5)&gt;60,"Kurzinfo zu lang",""))))))</f>
        <v/>
      </c>
      <c r="V5" s="9" t="s">
        <v>96</v>
      </c>
    </row>
    <row r="6" customFormat="false" ht="15" hidden="false" customHeight="false" outlineLevel="0" collapsed="false">
      <c r="A6" s="11"/>
      <c r="B6" s="12"/>
      <c r="C6" s="6" t="str">
        <f aca="false">IF(B6="","",CHOOSE(WEEKDAY(B6,2),"Mo","Di","Mi","Do","Fr","Sa","So"))</f>
        <v/>
      </c>
      <c r="D6" s="16"/>
      <c r="E6" s="16"/>
      <c r="F6" s="11"/>
      <c r="G6" s="11"/>
      <c r="H6" s="7" t="str">
        <f aca="false">IF(G6="","",LEN(G6))</f>
        <v/>
      </c>
      <c r="I6" s="11"/>
      <c r="J6" s="6" t="str">
        <f aca="false">IF(I6="","",IF(COUNTIFS(Freigaben!$B$5:$B$58,I6,Freigaben!$M$5:$M$58,"freigegeben")&gt;0,"ja","nein"))</f>
        <v/>
      </c>
      <c r="K6" s="6" t="str">
        <f aca="false">IF(I6="","",IFERROR(IF(INDEX(Freigaben!$N$5:$N$58,MATCH(I6,Freigaben!$B$5:$B$58,0))="","ohne Ampel",INDEX(Freigaben!$N$5:$N$58,MATCH(I6,Freigaben!$B$5:$B$58,0))),"nicht in Freigaben"))</f>
        <v/>
      </c>
      <c r="L6" s="11"/>
      <c r="M6" s="12"/>
      <c r="N6" s="11"/>
      <c r="O6" s="11"/>
      <c r="P6" s="11"/>
      <c r="Q6" s="11"/>
      <c r="R6" s="11"/>
      <c r="S6" s="11"/>
      <c r="T6" s="6" t="str">
        <f aca="false">IF(F6="","",IF(AND(J6="ja",M6&lt;&gt;"",OR(K6="grün",K6="gelb"),LEN(G6)&lt;=60),"ja","nein"))</f>
        <v/>
      </c>
      <c r="U6" s="6" t="str">
        <f aca="false">IF(T6&lt;&gt;"nein","",IF(J6&lt;&gt;"ja","keine Freigabe",IF(M6="","nicht an der Quelle bestätigt",IF(K6="rot","Ampel rot — nicht öffentlich",IF(OR(K6="ohne Ampel",K6="nicht in Freigaben"),"Ampel fehlt",IF(LEN(G6)&gt;60,"Kurzinfo zu lang",""))))))</f>
        <v/>
      </c>
      <c r="V6" s="11"/>
    </row>
    <row r="7" customFormat="false" ht="15" hidden="false" customHeight="false" outlineLevel="0" collapsed="false">
      <c r="A7" s="11"/>
      <c r="B7" s="12"/>
      <c r="C7" s="6" t="str">
        <f aca="false">IF(B7="","",CHOOSE(WEEKDAY(B7,2),"Mo","Di","Mi","Do","Fr","Sa","So"))</f>
        <v/>
      </c>
      <c r="D7" s="16"/>
      <c r="E7" s="16"/>
      <c r="F7" s="11"/>
      <c r="G7" s="11"/>
      <c r="H7" s="7" t="str">
        <f aca="false">IF(G7="","",LEN(G7))</f>
        <v/>
      </c>
      <c r="I7" s="11"/>
      <c r="J7" s="6" t="str">
        <f aca="false">IF(I7="","",IF(COUNTIFS(Freigaben!$B$5:$B$58,I7,Freigaben!$M$5:$M$58,"freigegeben")&gt;0,"ja","nein"))</f>
        <v/>
      </c>
      <c r="K7" s="6" t="str">
        <f aca="false">IF(I7="","",IFERROR(IF(INDEX(Freigaben!$N$5:$N$58,MATCH(I7,Freigaben!$B$5:$B$58,0))="","ohne Ampel",INDEX(Freigaben!$N$5:$N$58,MATCH(I7,Freigaben!$B$5:$B$58,0))),"nicht in Freigaben"))</f>
        <v/>
      </c>
      <c r="L7" s="11"/>
      <c r="M7" s="12"/>
      <c r="N7" s="11"/>
      <c r="O7" s="11"/>
      <c r="P7" s="11"/>
      <c r="Q7" s="11"/>
      <c r="R7" s="11"/>
      <c r="S7" s="11"/>
      <c r="T7" s="6" t="str">
        <f aca="false">IF(F7="","",IF(AND(J7="ja",M7&lt;&gt;"",OR(K7="grün",K7="gelb"),LEN(G7)&lt;=60),"ja","nein"))</f>
        <v/>
      </c>
      <c r="U7" s="6" t="str">
        <f aca="false">IF(T7&lt;&gt;"nein","",IF(J7&lt;&gt;"ja","keine Freigabe",IF(M7="","nicht an der Quelle bestätigt",IF(K7="rot","Ampel rot — nicht öffentlich",IF(OR(K7="ohne Ampel",K7="nicht in Freigaben"),"Ampel fehlt",IF(LEN(G7)&gt;60,"Kurzinfo zu lang",""))))))</f>
        <v/>
      </c>
      <c r="V7" s="11"/>
    </row>
    <row r="8" customFormat="false" ht="15" hidden="false" customHeight="false" outlineLevel="0" collapsed="false">
      <c r="A8" s="11"/>
      <c r="B8" s="12"/>
      <c r="C8" s="6" t="str">
        <f aca="false">IF(B8="","",CHOOSE(WEEKDAY(B8,2),"Mo","Di","Mi","Do","Fr","Sa","So"))</f>
        <v/>
      </c>
      <c r="D8" s="16"/>
      <c r="E8" s="16"/>
      <c r="F8" s="11"/>
      <c r="G8" s="11"/>
      <c r="H8" s="7" t="str">
        <f aca="false">IF(G8="","",LEN(G8))</f>
        <v/>
      </c>
      <c r="I8" s="11"/>
      <c r="J8" s="6" t="str">
        <f aca="false">IF(I8="","",IF(COUNTIFS(Freigaben!$B$5:$B$58,I8,Freigaben!$M$5:$M$58,"freigegeben")&gt;0,"ja","nein"))</f>
        <v/>
      </c>
      <c r="K8" s="6" t="str">
        <f aca="false">IF(I8="","",IFERROR(IF(INDEX(Freigaben!$N$5:$N$58,MATCH(I8,Freigaben!$B$5:$B$58,0))="","ohne Ampel",INDEX(Freigaben!$N$5:$N$58,MATCH(I8,Freigaben!$B$5:$B$58,0))),"nicht in Freigaben"))</f>
        <v/>
      </c>
      <c r="L8" s="11"/>
      <c r="M8" s="12"/>
      <c r="N8" s="11"/>
      <c r="O8" s="11"/>
      <c r="P8" s="11"/>
      <c r="Q8" s="11"/>
      <c r="R8" s="11"/>
      <c r="S8" s="11"/>
      <c r="T8" s="6" t="str">
        <f aca="false">IF(F8="","",IF(AND(J8="ja",M8&lt;&gt;"",OR(K8="grün",K8="gelb"),LEN(G8)&lt;=60),"ja","nein"))</f>
        <v/>
      </c>
      <c r="U8" s="6" t="str">
        <f aca="false">IF(T8&lt;&gt;"nein","",IF(J8&lt;&gt;"ja","keine Freigabe",IF(M8="","nicht an der Quelle bestätigt",IF(K8="rot","Ampel rot — nicht öffentlich",IF(OR(K8="ohne Ampel",K8="nicht in Freigaben"),"Ampel fehlt",IF(LEN(G8)&gt;60,"Kurzinfo zu lang",""))))))</f>
        <v/>
      </c>
      <c r="V8" s="11"/>
    </row>
    <row r="9" customFormat="false" ht="15" hidden="false" customHeight="false" outlineLevel="0" collapsed="false">
      <c r="A9" s="11"/>
      <c r="B9" s="12"/>
      <c r="C9" s="6" t="str">
        <f aca="false">IF(B9="","",CHOOSE(WEEKDAY(B9,2),"Mo","Di","Mi","Do","Fr","Sa","So"))</f>
        <v/>
      </c>
      <c r="D9" s="16"/>
      <c r="E9" s="16"/>
      <c r="F9" s="11"/>
      <c r="G9" s="11"/>
      <c r="H9" s="7" t="str">
        <f aca="false">IF(G9="","",LEN(G9))</f>
        <v/>
      </c>
      <c r="I9" s="11"/>
      <c r="J9" s="6" t="str">
        <f aca="false">IF(I9="","",IF(COUNTIFS(Freigaben!$B$5:$B$58,I9,Freigaben!$M$5:$M$58,"freigegeben")&gt;0,"ja","nein"))</f>
        <v/>
      </c>
      <c r="K9" s="6" t="str">
        <f aca="false">IF(I9="","",IFERROR(IF(INDEX(Freigaben!$N$5:$N$58,MATCH(I9,Freigaben!$B$5:$B$58,0))="","ohne Ampel",INDEX(Freigaben!$N$5:$N$58,MATCH(I9,Freigaben!$B$5:$B$58,0))),"nicht in Freigaben"))</f>
        <v/>
      </c>
      <c r="L9" s="11"/>
      <c r="M9" s="12"/>
      <c r="N9" s="11"/>
      <c r="O9" s="11"/>
      <c r="P9" s="11"/>
      <c r="Q9" s="11"/>
      <c r="R9" s="11"/>
      <c r="S9" s="11"/>
      <c r="T9" s="6" t="str">
        <f aca="false">IF(F9="","",IF(AND(J9="ja",M9&lt;&gt;"",OR(K9="grün",K9="gelb"),LEN(G9)&lt;=60),"ja","nein"))</f>
        <v/>
      </c>
      <c r="U9" s="6" t="str">
        <f aca="false">IF(T9&lt;&gt;"nein","",IF(J9&lt;&gt;"ja","keine Freigabe",IF(M9="","nicht an der Quelle bestätigt",IF(K9="rot","Ampel rot — nicht öffentlich",IF(OR(K9="ohne Ampel",K9="nicht in Freigaben"),"Ampel fehlt",IF(LEN(G9)&gt;60,"Kurzinfo zu lang",""))))))</f>
        <v/>
      </c>
      <c r="V9" s="11"/>
    </row>
    <row r="10" customFormat="false" ht="15" hidden="false" customHeight="false" outlineLevel="0" collapsed="false">
      <c r="A10" s="11"/>
      <c r="B10" s="12"/>
      <c r="C10" s="6" t="str">
        <f aca="false">IF(B10="","",CHOOSE(WEEKDAY(B10,2),"Mo","Di","Mi","Do","Fr","Sa","So"))</f>
        <v/>
      </c>
      <c r="D10" s="16"/>
      <c r="E10" s="16"/>
      <c r="F10" s="11"/>
      <c r="G10" s="11"/>
      <c r="H10" s="7" t="str">
        <f aca="false">IF(G10="","",LEN(G10))</f>
        <v/>
      </c>
      <c r="I10" s="11"/>
      <c r="J10" s="6" t="str">
        <f aca="false">IF(I10="","",IF(COUNTIFS(Freigaben!$B$5:$B$58,I10,Freigaben!$M$5:$M$58,"freigegeben")&gt;0,"ja","nein"))</f>
        <v/>
      </c>
      <c r="K10" s="6" t="str">
        <f aca="false">IF(I10="","",IFERROR(IF(INDEX(Freigaben!$N$5:$N$58,MATCH(I10,Freigaben!$B$5:$B$58,0))="","ohne Ampel",INDEX(Freigaben!$N$5:$N$58,MATCH(I10,Freigaben!$B$5:$B$58,0))),"nicht in Freigaben"))</f>
        <v/>
      </c>
      <c r="L10" s="11"/>
      <c r="M10" s="12"/>
      <c r="N10" s="11"/>
      <c r="O10" s="11"/>
      <c r="P10" s="11"/>
      <c r="Q10" s="11"/>
      <c r="R10" s="11"/>
      <c r="S10" s="11"/>
      <c r="T10" s="6" t="str">
        <f aca="false">IF(F10="","",IF(AND(J10="ja",M10&lt;&gt;"",OR(K10="grün",K10="gelb"),LEN(G10)&lt;=60),"ja","nein"))</f>
        <v/>
      </c>
      <c r="U10" s="6" t="str">
        <f aca="false">IF(T10&lt;&gt;"nein","",IF(J10&lt;&gt;"ja","keine Freigabe",IF(M10="","nicht an der Quelle bestätigt",IF(K10="rot","Ampel rot — nicht öffentlich",IF(OR(K10="ohne Ampel",K10="nicht in Freigaben"),"Ampel fehlt",IF(LEN(G10)&gt;60,"Kurzinfo zu lang",""))))))</f>
        <v/>
      </c>
      <c r="V10" s="11"/>
    </row>
    <row r="11" customFormat="false" ht="15" hidden="false" customHeight="false" outlineLevel="0" collapsed="false">
      <c r="A11" s="11"/>
      <c r="B11" s="12"/>
      <c r="C11" s="6" t="str">
        <f aca="false">IF(B11="","",CHOOSE(WEEKDAY(B11,2),"Mo","Di","Mi","Do","Fr","Sa","So"))</f>
        <v/>
      </c>
      <c r="D11" s="16"/>
      <c r="E11" s="16"/>
      <c r="F11" s="11"/>
      <c r="G11" s="11"/>
      <c r="H11" s="7" t="str">
        <f aca="false">IF(G11="","",LEN(G11))</f>
        <v/>
      </c>
      <c r="I11" s="11"/>
      <c r="J11" s="6" t="str">
        <f aca="false">IF(I11="","",IF(COUNTIFS(Freigaben!$B$5:$B$58,I11,Freigaben!$M$5:$M$58,"freigegeben")&gt;0,"ja","nein"))</f>
        <v/>
      </c>
      <c r="K11" s="6" t="str">
        <f aca="false">IF(I11="","",IFERROR(IF(INDEX(Freigaben!$N$5:$N$58,MATCH(I11,Freigaben!$B$5:$B$58,0))="","ohne Ampel",INDEX(Freigaben!$N$5:$N$58,MATCH(I11,Freigaben!$B$5:$B$58,0))),"nicht in Freigaben"))</f>
        <v/>
      </c>
      <c r="L11" s="11"/>
      <c r="M11" s="12"/>
      <c r="N11" s="11"/>
      <c r="O11" s="11"/>
      <c r="P11" s="11"/>
      <c r="Q11" s="11"/>
      <c r="R11" s="11"/>
      <c r="S11" s="11"/>
      <c r="T11" s="6" t="str">
        <f aca="false">IF(F11="","",IF(AND(J11="ja",M11&lt;&gt;"",OR(K11="grün",K11="gelb"),LEN(G11)&lt;=60),"ja","nein"))</f>
        <v/>
      </c>
      <c r="U11" s="6" t="str">
        <f aca="false">IF(T11&lt;&gt;"nein","",IF(J11&lt;&gt;"ja","keine Freigabe",IF(M11="","nicht an der Quelle bestätigt",IF(K11="rot","Ampel rot — nicht öffentlich",IF(OR(K11="ohne Ampel",K11="nicht in Freigaben"),"Ampel fehlt",IF(LEN(G11)&gt;60,"Kurzinfo zu lang",""))))))</f>
        <v/>
      </c>
      <c r="V11" s="11"/>
    </row>
    <row r="12" customFormat="false" ht="15" hidden="false" customHeight="false" outlineLevel="0" collapsed="false">
      <c r="A12" s="11"/>
      <c r="B12" s="12"/>
      <c r="C12" s="6" t="str">
        <f aca="false">IF(B12="","",CHOOSE(WEEKDAY(B12,2),"Mo","Di","Mi","Do","Fr","Sa","So"))</f>
        <v/>
      </c>
      <c r="D12" s="16"/>
      <c r="E12" s="16"/>
      <c r="F12" s="11"/>
      <c r="G12" s="11"/>
      <c r="H12" s="7" t="str">
        <f aca="false">IF(G12="","",LEN(G12))</f>
        <v/>
      </c>
      <c r="I12" s="11"/>
      <c r="J12" s="6" t="str">
        <f aca="false">IF(I12="","",IF(COUNTIFS(Freigaben!$B$5:$B$58,I12,Freigaben!$M$5:$M$58,"freigegeben")&gt;0,"ja","nein"))</f>
        <v/>
      </c>
      <c r="K12" s="6" t="str">
        <f aca="false">IF(I12="","",IFERROR(IF(INDEX(Freigaben!$N$5:$N$58,MATCH(I12,Freigaben!$B$5:$B$58,0))="","ohne Ampel",INDEX(Freigaben!$N$5:$N$58,MATCH(I12,Freigaben!$B$5:$B$58,0))),"nicht in Freigaben"))</f>
        <v/>
      </c>
      <c r="L12" s="11"/>
      <c r="M12" s="12"/>
      <c r="N12" s="11"/>
      <c r="O12" s="11"/>
      <c r="P12" s="11"/>
      <c r="Q12" s="11"/>
      <c r="R12" s="11"/>
      <c r="S12" s="11"/>
      <c r="T12" s="6" t="str">
        <f aca="false">IF(F12="","",IF(AND(J12="ja",M12&lt;&gt;"",OR(K12="grün",K12="gelb"),LEN(G12)&lt;=60),"ja","nein"))</f>
        <v/>
      </c>
      <c r="U12" s="6" t="str">
        <f aca="false">IF(T12&lt;&gt;"nein","",IF(J12&lt;&gt;"ja","keine Freigabe",IF(M12="","nicht an der Quelle bestätigt",IF(K12="rot","Ampel rot — nicht öffentlich",IF(OR(K12="ohne Ampel",K12="nicht in Freigaben"),"Ampel fehlt",IF(LEN(G12)&gt;60,"Kurzinfo zu lang",""))))))</f>
        <v/>
      </c>
      <c r="V12" s="11"/>
    </row>
    <row r="13" customFormat="false" ht="15" hidden="false" customHeight="false" outlineLevel="0" collapsed="false">
      <c r="A13" s="11"/>
      <c r="B13" s="12"/>
      <c r="C13" s="6" t="str">
        <f aca="false">IF(B13="","",CHOOSE(WEEKDAY(B13,2),"Mo","Di","Mi","Do","Fr","Sa","So"))</f>
        <v/>
      </c>
      <c r="D13" s="16"/>
      <c r="E13" s="16"/>
      <c r="F13" s="11"/>
      <c r="G13" s="11"/>
      <c r="H13" s="7" t="str">
        <f aca="false">IF(G13="","",LEN(G13))</f>
        <v/>
      </c>
      <c r="I13" s="11"/>
      <c r="J13" s="6" t="str">
        <f aca="false">IF(I13="","",IF(COUNTIFS(Freigaben!$B$5:$B$58,I13,Freigaben!$M$5:$M$58,"freigegeben")&gt;0,"ja","nein"))</f>
        <v/>
      </c>
      <c r="K13" s="6" t="str">
        <f aca="false">IF(I13="","",IFERROR(IF(INDEX(Freigaben!$N$5:$N$58,MATCH(I13,Freigaben!$B$5:$B$58,0))="","ohne Ampel",INDEX(Freigaben!$N$5:$N$58,MATCH(I13,Freigaben!$B$5:$B$58,0))),"nicht in Freigaben"))</f>
        <v/>
      </c>
      <c r="L13" s="11"/>
      <c r="M13" s="12"/>
      <c r="N13" s="11"/>
      <c r="O13" s="11"/>
      <c r="P13" s="11"/>
      <c r="Q13" s="11"/>
      <c r="R13" s="11"/>
      <c r="S13" s="11"/>
      <c r="T13" s="6" t="str">
        <f aca="false">IF(F13="","",IF(AND(J13="ja",M13&lt;&gt;"",OR(K13="grün",K13="gelb"),LEN(G13)&lt;=60),"ja","nein"))</f>
        <v/>
      </c>
      <c r="U13" s="6" t="str">
        <f aca="false">IF(T13&lt;&gt;"nein","",IF(J13&lt;&gt;"ja","keine Freigabe",IF(M13="","nicht an der Quelle bestätigt",IF(K13="rot","Ampel rot — nicht öffentlich",IF(OR(K13="ohne Ampel",K13="nicht in Freigaben"),"Ampel fehlt",IF(LEN(G13)&gt;60,"Kurzinfo zu lang",""))))))</f>
        <v/>
      </c>
      <c r="V13" s="11"/>
    </row>
    <row r="14" customFormat="false" ht="15" hidden="false" customHeight="false" outlineLevel="0" collapsed="false">
      <c r="A14" s="11"/>
      <c r="B14" s="12"/>
      <c r="C14" s="6" t="str">
        <f aca="false">IF(B14="","",CHOOSE(WEEKDAY(B14,2),"Mo","Di","Mi","Do","Fr","Sa","So"))</f>
        <v/>
      </c>
      <c r="D14" s="16"/>
      <c r="E14" s="16"/>
      <c r="F14" s="11"/>
      <c r="G14" s="11"/>
      <c r="H14" s="7" t="str">
        <f aca="false">IF(G14="","",LEN(G14))</f>
        <v/>
      </c>
      <c r="I14" s="11"/>
      <c r="J14" s="6" t="str">
        <f aca="false">IF(I14="","",IF(COUNTIFS(Freigaben!$B$5:$B$58,I14,Freigaben!$M$5:$M$58,"freigegeben")&gt;0,"ja","nein"))</f>
        <v/>
      </c>
      <c r="K14" s="6" t="str">
        <f aca="false">IF(I14="","",IFERROR(IF(INDEX(Freigaben!$N$5:$N$58,MATCH(I14,Freigaben!$B$5:$B$58,0))="","ohne Ampel",INDEX(Freigaben!$N$5:$N$58,MATCH(I14,Freigaben!$B$5:$B$58,0))),"nicht in Freigaben"))</f>
        <v/>
      </c>
      <c r="L14" s="11"/>
      <c r="M14" s="12"/>
      <c r="N14" s="11"/>
      <c r="O14" s="11"/>
      <c r="P14" s="11"/>
      <c r="Q14" s="11"/>
      <c r="R14" s="11"/>
      <c r="S14" s="11"/>
      <c r="T14" s="6" t="str">
        <f aca="false">IF(F14="","",IF(AND(J14="ja",M14&lt;&gt;"",OR(K14="grün",K14="gelb"),LEN(G14)&lt;=60),"ja","nein"))</f>
        <v/>
      </c>
      <c r="U14" s="6" t="str">
        <f aca="false">IF(T14&lt;&gt;"nein","",IF(J14&lt;&gt;"ja","keine Freigabe",IF(M14="","nicht an der Quelle bestätigt",IF(K14="rot","Ampel rot — nicht öffentlich",IF(OR(K14="ohne Ampel",K14="nicht in Freigaben"),"Ampel fehlt",IF(LEN(G14)&gt;60,"Kurzinfo zu lang",""))))))</f>
        <v/>
      </c>
      <c r="V14" s="11"/>
    </row>
    <row r="15" customFormat="false" ht="15" hidden="false" customHeight="false" outlineLevel="0" collapsed="false">
      <c r="A15" s="11"/>
      <c r="B15" s="12"/>
      <c r="C15" s="6" t="str">
        <f aca="false">IF(B15="","",CHOOSE(WEEKDAY(B15,2),"Mo","Di","Mi","Do","Fr","Sa","So"))</f>
        <v/>
      </c>
      <c r="D15" s="16"/>
      <c r="E15" s="16"/>
      <c r="F15" s="11"/>
      <c r="G15" s="11"/>
      <c r="H15" s="7" t="str">
        <f aca="false">IF(G15="","",LEN(G15))</f>
        <v/>
      </c>
      <c r="I15" s="11"/>
      <c r="J15" s="6" t="str">
        <f aca="false">IF(I15="","",IF(COUNTIFS(Freigaben!$B$5:$B$58,I15,Freigaben!$M$5:$M$58,"freigegeben")&gt;0,"ja","nein"))</f>
        <v/>
      </c>
      <c r="K15" s="6" t="str">
        <f aca="false">IF(I15="","",IFERROR(IF(INDEX(Freigaben!$N$5:$N$58,MATCH(I15,Freigaben!$B$5:$B$58,0))="","ohne Ampel",INDEX(Freigaben!$N$5:$N$58,MATCH(I15,Freigaben!$B$5:$B$58,0))),"nicht in Freigaben"))</f>
        <v/>
      </c>
      <c r="L15" s="11"/>
      <c r="M15" s="12"/>
      <c r="N15" s="11"/>
      <c r="O15" s="11"/>
      <c r="P15" s="11"/>
      <c r="Q15" s="11"/>
      <c r="R15" s="11"/>
      <c r="S15" s="11"/>
      <c r="T15" s="6" t="str">
        <f aca="false">IF(F15="","",IF(AND(J15="ja",M15&lt;&gt;"",OR(K15="grün",K15="gelb"),LEN(G15)&lt;=60),"ja","nein"))</f>
        <v/>
      </c>
      <c r="U15" s="6" t="str">
        <f aca="false">IF(T15&lt;&gt;"nein","",IF(J15&lt;&gt;"ja","keine Freigabe",IF(M15="","nicht an der Quelle bestätigt",IF(K15="rot","Ampel rot — nicht öffentlich",IF(OR(K15="ohne Ampel",K15="nicht in Freigaben"),"Ampel fehlt",IF(LEN(G15)&gt;60,"Kurzinfo zu lang",""))))))</f>
        <v/>
      </c>
      <c r="V15" s="11"/>
    </row>
    <row r="16" customFormat="false" ht="15" hidden="false" customHeight="false" outlineLevel="0" collapsed="false">
      <c r="A16" s="11"/>
      <c r="B16" s="12"/>
      <c r="C16" s="6" t="str">
        <f aca="false">IF(B16="","",CHOOSE(WEEKDAY(B16,2),"Mo","Di","Mi","Do","Fr","Sa","So"))</f>
        <v/>
      </c>
      <c r="D16" s="16"/>
      <c r="E16" s="16"/>
      <c r="F16" s="11"/>
      <c r="G16" s="11"/>
      <c r="H16" s="7" t="str">
        <f aca="false">IF(G16="","",LEN(G16))</f>
        <v/>
      </c>
      <c r="I16" s="11"/>
      <c r="J16" s="6" t="str">
        <f aca="false">IF(I16="","",IF(COUNTIFS(Freigaben!$B$5:$B$58,I16,Freigaben!$M$5:$M$58,"freigegeben")&gt;0,"ja","nein"))</f>
        <v/>
      </c>
      <c r="K16" s="6" t="str">
        <f aca="false">IF(I16="","",IFERROR(IF(INDEX(Freigaben!$N$5:$N$58,MATCH(I16,Freigaben!$B$5:$B$58,0))="","ohne Ampel",INDEX(Freigaben!$N$5:$N$58,MATCH(I16,Freigaben!$B$5:$B$58,0))),"nicht in Freigaben"))</f>
        <v/>
      </c>
      <c r="L16" s="11"/>
      <c r="M16" s="12"/>
      <c r="N16" s="11"/>
      <c r="O16" s="11"/>
      <c r="P16" s="11"/>
      <c r="Q16" s="11"/>
      <c r="R16" s="11"/>
      <c r="S16" s="11"/>
      <c r="T16" s="6" t="str">
        <f aca="false">IF(F16="","",IF(AND(J16="ja",M16&lt;&gt;"",OR(K16="grün",K16="gelb"),LEN(G16)&lt;=60),"ja","nein"))</f>
        <v/>
      </c>
      <c r="U16" s="6" t="str">
        <f aca="false">IF(T16&lt;&gt;"nein","",IF(J16&lt;&gt;"ja","keine Freigabe",IF(M16="","nicht an der Quelle bestätigt",IF(K16="rot","Ampel rot — nicht öffentlich",IF(OR(K16="ohne Ampel",K16="nicht in Freigaben"),"Ampel fehlt",IF(LEN(G16)&gt;60,"Kurzinfo zu lang",""))))))</f>
        <v/>
      </c>
      <c r="V16" s="11"/>
    </row>
    <row r="17" customFormat="false" ht="15" hidden="false" customHeight="false" outlineLevel="0" collapsed="false">
      <c r="A17" s="11"/>
      <c r="B17" s="12"/>
      <c r="C17" s="6" t="str">
        <f aca="false">IF(B17="","",CHOOSE(WEEKDAY(B17,2),"Mo","Di","Mi","Do","Fr","Sa","So"))</f>
        <v/>
      </c>
      <c r="D17" s="16"/>
      <c r="E17" s="16"/>
      <c r="F17" s="11"/>
      <c r="G17" s="11"/>
      <c r="H17" s="7" t="str">
        <f aca="false">IF(G17="","",LEN(G17))</f>
        <v/>
      </c>
      <c r="I17" s="11"/>
      <c r="J17" s="6" t="str">
        <f aca="false">IF(I17="","",IF(COUNTIFS(Freigaben!$B$5:$B$58,I17,Freigaben!$M$5:$M$58,"freigegeben")&gt;0,"ja","nein"))</f>
        <v/>
      </c>
      <c r="K17" s="6" t="str">
        <f aca="false">IF(I17="","",IFERROR(IF(INDEX(Freigaben!$N$5:$N$58,MATCH(I17,Freigaben!$B$5:$B$58,0))="","ohne Ampel",INDEX(Freigaben!$N$5:$N$58,MATCH(I17,Freigaben!$B$5:$B$58,0))),"nicht in Freigaben"))</f>
        <v/>
      </c>
      <c r="L17" s="11"/>
      <c r="M17" s="12"/>
      <c r="N17" s="11"/>
      <c r="O17" s="11"/>
      <c r="P17" s="11"/>
      <c r="Q17" s="11"/>
      <c r="R17" s="11"/>
      <c r="S17" s="11"/>
      <c r="T17" s="6" t="str">
        <f aca="false">IF(F17="","",IF(AND(J17="ja",M17&lt;&gt;"",OR(K17="grün",K17="gelb"),LEN(G17)&lt;=60),"ja","nein"))</f>
        <v/>
      </c>
      <c r="U17" s="6" t="str">
        <f aca="false">IF(T17&lt;&gt;"nein","",IF(J17&lt;&gt;"ja","keine Freigabe",IF(M17="","nicht an der Quelle bestätigt",IF(K17="rot","Ampel rot — nicht öffentlich",IF(OR(K17="ohne Ampel",K17="nicht in Freigaben"),"Ampel fehlt",IF(LEN(G17)&gt;60,"Kurzinfo zu lang",""))))))</f>
        <v/>
      </c>
      <c r="V17" s="11"/>
    </row>
    <row r="18" customFormat="false" ht="15" hidden="false" customHeight="false" outlineLevel="0" collapsed="false">
      <c r="A18" s="11"/>
      <c r="B18" s="12"/>
      <c r="C18" s="6" t="str">
        <f aca="false">IF(B18="","",CHOOSE(WEEKDAY(B18,2),"Mo","Di","Mi","Do","Fr","Sa","So"))</f>
        <v/>
      </c>
      <c r="D18" s="16"/>
      <c r="E18" s="16"/>
      <c r="F18" s="11"/>
      <c r="G18" s="11"/>
      <c r="H18" s="7" t="str">
        <f aca="false">IF(G18="","",LEN(G18))</f>
        <v/>
      </c>
      <c r="I18" s="11"/>
      <c r="J18" s="6" t="str">
        <f aca="false">IF(I18="","",IF(COUNTIFS(Freigaben!$B$5:$B$58,I18,Freigaben!$M$5:$M$58,"freigegeben")&gt;0,"ja","nein"))</f>
        <v/>
      </c>
      <c r="K18" s="6" t="str">
        <f aca="false">IF(I18="","",IFERROR(IF(INDEX(Freigaben!$N$5:$N$58,MATCH(I18,Freigaben!$B$5:$B$58,0))="","ohne Ampel",INDEX(Freigaben!$N$5:$N$58,MATCH(I18,Freigaben!$B$5:$B$58,0))),"nicht in Freigaben"))</f>
        <v/>
      </c>
      <c r="L18" s="11"/>
      <c r="M18" s="12"/>
      <c r="N18" s="11"/>
      <c r="O18" s="11"/>
      <c r="P18" s="11"/>
      <c r="Q18" s="11"/>
      <c r="R18" s="11"/>
      <c r="S18" s="11"/>
      <c r="T18" s="6" t="str">
        <f aca="false">IF(F18="","",IF(AND(J18="ja",M18&lt;&gt;"",OR(K18="grün",K18="gelb"),LEN(G18)&lt;=60),"ja","nein"))</f>
        <v/>
      </c>
      <c r="U18" s="6" t="str">
        <f aca="false">IF(T18&lt;&gt;"nein","",IF(J18&lt;&gt;"ja","keine Freigabe",IF(M18="","nicht an der Quelle bestätigt",IF(K18="rot","Ampel rot — nicht öffentlich",IF(OR(K18="ohne Ampel",K18="nicht in Freigaben"),"Ampel fehlt",IF(LEN(G18)&gt;60,"Kurzinfo zu lang",""))))))</f>
        <v/>
      </c>
      <c r="V18" s="11"/>
    </row>
    <row r="19" customFormat="false" ht="15" hidden="false" customHeight="false" outlineLevel="0" collapsed="false">
      <c r="A19" s="11"/>
      <c r="B19" s="12"/>
      <c r="C19" s="6" t="str">
        <f aca="false">IF(B19="","",CHOOSE(WEEKDAY(B19,2),"Mo","Di","Mi","Do","Fr","Sa","So"))</f>
        <v/>
      </c>
      <c r="D19" s="16"/>
      <c r="E19" s="16"/>
      <c r="F19" s="11"/>
      <c r="G19" s="11"/>
      <c r="H19" s="7" t="str">
        <f aca="false">IF(G19="","",LEN(G19))</f>
        <v/>
      </c>
      <c r="I19" s="11"/>
      <c r="J19" s="6" t="str">
        <f aca="false">IF(I19="","",IF(COUNTIFS(Freigaben!$B$5:$B$58,I19,Freigaben!$M$5:$M$58,"freigegeben")&gt;0,"ja","nein"))</f>
        <v/>
      </c>
      <c r="K19" s="6" t="str">
        <f aca="false">IF(I19="","",IFERROR(IF(INDEX(Freigaben!$N$5:$N$58,MATCH(I19,Freigaben!$B$5:$B$58,0))="","ohne Ampel",INDEX(Freigaben!$N$5:$N$58,MATCH(I19,Freigaben!$B$5:$B$58,0))),"nicht in Freigaben"))</f>
        <v/>
      </c>
      <c r="L19" s="11"/>
      <c r="M19" s="12"/>
      <c r="N19" s="11"/>
      <c r="O19" s="11"/>
      <c r="P19" s="11"/>
      <c r="Q19" s="11"/>
      <c r="R19" s="11"/>
      <c r="S19" s="11"/>
      <c r="T19" s="6" t="str">
        <f aca="false">IF(F19="","",IF(AND(J19="ja",M19&lt;&gt;"",OR(K19="grün",K19="gelb"),LEN(G19)&lt;=60),"ja","nein"))</f>
        <v/>
      </c>
      <c r="U19" s="6" t="str">
        <f aca="false">IF(T19&lt;&gt;"nein","",IF(J19&lt;&gt;"ja","keine Freigabe",IF(M19="","nicht an der Quelle bestätigt",IF(K19="rot","Ampel rot — nicht öffentlich",IF(OR(K19="ohne Ampel",K19="nicht in Freigaben"),"Ampel fehlt",IF(LEN(G19)&gt;60,"Kurzinfo zu lang",""))))))</f>
        <v/>
      </c>
      <c r="V19" s="11"/>
    </row>
    <row r="20" customFormat="false" ht="15" hidden="false" customHeight="false" outlineLevel="0" collapsed="false">
      <c r="A20" s="11"/>
      <c r="B20" s="12"/>
      <c r="C20" s="6" t="str">
        <f aca="false">IF(B20="","",CHOOSE(WEEKDAY(B20,2),"Mo","Di","Mi","Do","Fr","Sa","So"))</f>
        <v/>
      </c>
      <c r="D20" s="16"/>
      <c r="E20" s="16"/>
      <c r="F20" s="11"/>
      <c r="G20" s="11"/>
      <c r="H20" s="7" t="str">
        <f aca="false">IF(G20="","",LEN(G20))</f>
        <v/>
      </c>
      <c r="I20" s="11"/>
      <c r="J20" s="6" t="str">
        <f aca="false">IF(I20="","",IF(COUNTIFS(Freigaben!$B$5:$B$58,I20,Freigaben!$M$5:$M$58,"freigegeben")&gt;0,"ja","nein"))</f>
        <v/>
      </c>
      <c r="K20" s="6" t="str">
        <f aca="false">IF(I20="","",IFERROR(IF(INDEX(Freigaben!$N$5:$N$58,MATCH(I20,Freigaben!$B$5:$B$58,0))="","ohne Ampel",INDEX(Freigaben!$N$5:$N$58,MATCH(I20,Freigaben!$B$5:$B$58,0))),"nicht in Freigaben"))</f>
        <v/>
      </c>
      <c r="L20" s="11"/>
      <c r="M20" s="12"/>
      <c r="N20" s="11"/>
      <c r="O20" s="11"/>
      <c r="P20" s="11"/>
      <c r="Q20" s="11"/>
      <c r="R20" s="11"/>
      <c r="S20" s="11"/>
      <c r="T20" s="6" t="str">
        <f aca="false">IF(F20="","",IF(AND(J20="ja",M20&lt;&gt;"",OR(K20="grün",K20="gelb"),LEN(G20)&lt;=60),"ja","nein"))</f>
        <v/>
      </c>
      <c r="U20" s="6" t="str">
        <f aca="false">IF(T20&lt;&gt;"nein","",IF(J20&lt;&gt;"ja","keine Freigabe",IF(M20="","nicht an der Quelle bestätigt",IF(K20="rot","Ampel rot — nicht öffentlich",IF(OR(K20="ohne Ampel",K20="nicht in Freigaben"),"Ampel fehlt",IF(LEN(G20)&gt;60,"Kurzinfo zu lang",""))))))</f>
        <v/>
      </c>
      <c r="V20" s="11"/>
    </row>
    <row r="21" customFormat="false" ht="15" hidden="false" customHeight="false" outlineLevel="0" collapsed="false">
      <c r="A21" s="11"/>
      <c r="B21" s="12"/>
      <c r="C21" s="6" t="str">
        <f aca="false">IF(B21="","",CHOOSE(WEEKDAY(B21,2),"Mo","Di","Mi","Do","Fr","Sa","So"))</f>
        <v/>
      </c>
      <c r="D21" s="16"/>
      <c r="E21" s="16"/>
      <c r="F21" s="11"/>
      <c r="G21" s="11"/>
      <c r="H21" s="7" t="str">
        <f aca="false">IF(G21="","",LEN(G21))</f>
        <v/>
      </c>
      <c r="I21" s="11"/>
      <c r="J21" s="6" t="str">
        <f aca="false">IF(I21="","",IF(COUNTIFS(Freigaben!$B$5:$B$58,I21,Freigaben!$M$5:$M$58,"freigegeben")&gt;0,"ja","nein"))</f>
        <v/>
      </c>
      <c r="K21" s="6" t="str">
        <f aca="false">IF(I21="","",IFERROR(IF(INDEX(Freigaben!$N$5:$N$58,MATCH(I21,Freigaben!$B$5:$B$58,0))="","ohne Ampel",INDEX(Freigaben!$N$5:$N$58,MATCH(I21,Freigaben!$B$5:$B$58,0))),"nicht in Freigaben"))</f>
        <v/>
      </c>
      <c r="L21" s="11"/>
      <c r="M21" s="12"/>
      <c r="N21" s="11"/>
      <c r="O21" s="11"/>
      <c r="P21" s="11"/>
      <c r="Q21" s="11"/>
      <c r="R21" s="11"/>
      <c r="S21" s="11"/>
      <c r="T21" s="6" t="str">
        <f aca="false">IF(F21="","",IF(AND(J21="ja",M21&lt;&gt;"",OR(K21="grün",K21="gelb"),LEN(G21)&lt;=60),"ja","nein"))</f>
        <v/>
      </c>
      <c r="U21" s="6" t="str">
        <f aca="false">IF(T21&lt;&gt;"nein","",IF(J21&lt;&gt;"ja","keine Freigabe",IF(M21="","nicht an der Quelle bestätigt",IF(K21="rot","Ampel rot — nicht öffentlich",IF(OR(K21="ohne Ampel",K21="nicht in Freigaben"),"Ampel fehlt",IF(LEN(G21)&gt;60,"Kurzinfo zu lang",""))))))</f>
        <v/>
      </c>
      <c r="V21" s="11"/>
    </row>
    <row r="22" customFormat="false" ht="15" hidden="false" customHeight="false" outlineLevel="0" collapsed="false">
      <c r="A22" s="11"/>
      <c r="B22" s="12"/>
      <c r="C22" s="6" t="str">
        <f aca="false">IF(B22="","",CHOOSE(WEEKDAY(B22,2),"Mo","Di","Mi","Do","Fr","Sa","So"))</f>
        <v/>
      </c>
      <c r="D22" s="16"/>
      <c r="E22" s="16"/>
      <c r="F22" s="11"/>
      <c r="G22" s="11"/>
      <c r="H22" s="7" t="str">
        <f aca="false">IF(G22="","",LEN(G22))</f>
        <v/>
      </c>
      <c r="I22" s="11"/>
      <c r="J22" s="6" t="str">
        <f aca="false">IF(I22="","",IF(COUNTIFS(Freigaben!$B$5:$B$58,I22,Freigaben!$M$5:$M$58,"freigegeben")&gt;0,"ja","nein"))</f>
        <v/>
      </c>
      <c r="K22" s="6" t="str">
        <f aca="false">IF(I22="","",IFERROR(IF(INDEX(Freigaben!$N$5:$N$58,MATCH(I22,Freigaben!$B$5:$B$58,0))="","ohne Ampel",INDEX(Freigaben!$N$5:$N$58,MATCH(I22,Freigaben!$B$5:$B$58,0))),"nicht in Freigaben"))</f>
        <v/>
      </c>
      <c r="L22" s="11"/>
      <c r="M22" s="12"/>
      <c r="N22" s="11"/>
      <c r="O22" s="11"/>
      <c r="P22" s="11"/>
      <c r="Q22" s="11"/>
      <c r="R22" s="11"/>
      <c r="S22" s="11"/>
      <c r="T22" s="6" t="str">
        <f aca="false">IF(F22="","",IF(AND(J22="ja",M22&lt;&gt;"",OR(K22="grün",K22="gelb"),LEN(G22)&lt;=60),"ja","nein"))</f>
        <v/>
      </c>
      <c r="U22" s="6" t="str">
        <f aca="false">IF(T22&lt;&gt;"nein","",IF(J22&lt;&gt;"ja","keine Freigabe",IF(M22="","nicht an der Quelle bestätigt",IF(K22="rot","Ampel rot — nicht öffentlich",IF(OR(K22="ohne Ampel",K22="nicht in Freigaben"),"Ampel fehlt",IF(LEN(G22)&gt;60,"Kurzinfo zu lang",""))))))</f>
        <v/>
      </c>
      <c r="V22" s="11"/>
    </row>
    <row r="23" customFormat="false" ht="15" hidden="false" customHeight="false" outlineLevel="0" collapsed="false">
      <c r="A23" s="11"/>
      <c r="B23" s="12"/>
      <c r="C23" s="6" t="str">
        <f aca="false">IF(B23="","",CHOOSE(WEEKDAY(B23,2),"Mo","Di","Mi","Do","Fr","Sa","So"))</f>
        <v/>
      </c>
      <c r="D23" s="16"/>
      <c r="E23" s="16"/>
      <c r="F23" s="11"/>
      <c r="G23" s="11"/>
      <c r="H23" s="7" t="str">
        <f aca="false">IF(G23="","",LEN(G23))</f>
        <v/>
      </c>
      <c r="I23" s="11"/>
      <c r="J23" s="6" t="str">
        <f aca="false">IF(I23="","",IF(COUNTIFS(Freigaben!$B$5:$B$58,I23,Freigaben!$M$5:$M$58,"freigegeben")&gt;0,"ja","nein"))</f>
        <v/>
      </c>
      <c r="K23" s="6" t="str">
        <f aca="false">IF(I23="","",IFERROR(IF(INDEX(Freigaben!$N$5:$N$58,MATCH(I23,Freigaben!$B$5:$B$58,0))="","ohne Ampel",INDEX(Freigaben!$N$5:$N$58,MATCH(I23,Freigaben!$B$5:$B$58,0))),"nicht in Freigaben"))</f>
        <v/>
      </c>
      <c r="L23" s="11"/>
      <c r="M23" s="12"/>
      <c r="N23" s="11"/>
      <c r="O23" s="11"/>
      <c r="P23" s="11"/>
      <c r="Q23" s="11"/>
      <c r="R23" s="11"/>
      <c r="S23" s="11"/>
      <c r="T23" s="6" t="str">
        <f aca="false">IF(F23="","",IF(AND(J23="ja",M23&lt;&gt;"",OR(K23="grün",K23="gelb"),LEN(G23)&lt;=60),"ja","nein"))</f>
        <v/>
      </c>
      <c r="U23" s="6" t="str">
        <f aca="false">IF(T23&lt;&gt;"nein","",IF(J23&lt;&gt;"ja","keine Freigabe",IF(M23="","nicht an der Quelle bestätigt",IF(K23="rot","Ampel rot — nicht öffentlich",IF(OR(K23="ohne Ampel",K23="nicht in Freigaben"),"Ampel fehlt",IF(LEN(G23)&gt;60,"Kurzinfo zu lang",""))))))</f>
        <v/>
      </c>
      <c r="V23" s="11"/>
    </row>
    <row r="24" customFormat="false" ht="15" hidden="false" customHeight="false" outlineLevel="0" collapsed="false">
      <c r="A24" s="11"/>
      <c r="B24" s="12"/>
      <c r="C24" s="6" t="str">
        <f aca="false">IF(B24="","",CHOOSE(WEEKDAY(B24,2),"Mo","Di","Mi","Do","Fr","Sa","So"))</f>
        <v/>
      </c>
      <c r="D24" s="16"/>
      <c r="E24" s="16"/>
      <c r="F24" s="11"/>
      <c r="G24" s="11"/>
      <c r="H24" s="7" t="str">
        <f aca="false">IF(G24="","",LEN(G24))</f>
        <v/>
      </c>
      <c r="I24" s="11"/>
      <c r="J24" s="6" t="str">
        <f aca="false">IF(I24="","",IF(COUNTIFS(Freigaben!$B$5:$B$58,I24,Freigaben!$M$5:$M$58,"freigegeben")&gt;0,"ja","nein"))</f>
        <v/>
      </c>
      <c r="K24" s="6" t="str">
        <f aca="false">IF(I24="","",IFERROR(IF(INDEX(Freigaben!$N$5:$N$58,MATCH(I24,Freigaben!$B$5:$B$58,0))="","ohne Ampel",INDEX(Freigaben!$N$5:$N$58,MATCH(I24,Freigaben!$B$5:$B$58,0))),"nicht in Freigaben"))</f>
        <v/>
      </c>
      <c r="L24" s="11"/>
      <c r="M24" s="12"/>
      <c r="N24" s="11"/>
      <c r="O24" s="11"/>
      <c r="P24" s="11"/>
      <c r="Q24" s="11"/>
      <c r="R24" s="11"/>
      <c r="S24" s="11"/>
      <c r="T24" s="6" t="str">
        <f aca="false">IF(F24="","",IF(AND(J24="ja",M24&lt;&gt;"",OR(K24="grün",K24="gelb"),LEN(G24)&lt;=60),"ja","nein"))</f>
        <v/>
      </c>
      <c r="U24" s="6" t="str">
        <f aca="false">IF(T24&lt;&gt;"nein","",IF(J24&lt;&gt;"ja","keine Freigabe",IF(M24="","nicht an der Quelle bestätigt",IF(K24="rot","Ampel rot — nicht öffentlich",IF(OR(K24="ohne Ampel",K24="nicht in Freigaben"),"Ampel fehlt",IF(LEN(G24)&gt;60,"Kurzinfo zu lang",""))))))</f>
        <v/>
      </c>
      <c r="V24" s="11"/>
    </row>
    <row r="25" customFormat="false" ht="15" hidden="false" customHeight="false" outlineLevel="0" collapsed="false">
      <c r="A25" s="11"/>
      <c r="B25" s="12"/>
      <c r="C25" s="6" t="str">
        <f aca="false">IF(B25="","",CHOOSE(WEEKDAY(B25,2),"Mo","Di","Mi","Do","Fr","Sa","So"))</f>
        <v/>
      </c>
      <c r="D25" s="16"/>
      <c r="E25" s="16"/>
      <c r="F25" s="11"/>
      <c r="G25" s="11"/>
      <c r="H25" s="7" t="str">
        <f aca="false">IF(G25="","",LEN(G25))</f>
        <v/>
      </c>
      <c r="I25" s="11"/>
      <c r="J25" s="6" t="str">
        <f aca="false">IF(I25="","",IF(COUNTIFS(Freigaben!$B$5:$B$58,I25,Freigaben!$M$5:$M$58,"freigegeben")&gt;0,"ja","nein"))</f>
        <v/>
      </c>
      <c r="K25" s="6" t="str">
        <f aca="false">IF(I25="","",IFERROR(IF(INDEX(Freigaben!$N$5:$N$58,MATCH(I25,Freigaben!$B$5:$B$58,0))="","ohne Ampel",INDEX(Freigaben!$N$5:$N$58,MATCH(I25,Freigaben!$B$5:$B$58,0))),"nicht in Freigaben"))</f>
        <v/>
      </c>
      <c r="L25" s="11"/>
      <c r="M25" s="12"/>
      <c r="N25" s="11"/>
      <c r="O25" s="11"/>
      <c r="P25" s="11"/>
      <c r="Q25" s="11"/>
      <c r="R25" s="11"/>
      <c r="S25" s="11"/>
      <c r="T25" s="6" t="str">
        <f aca="false">IF(F25="","",IF(AND(J25="ja",M25&lt;&gt;"",OR(K25="grün",K25="gelb"),LEN(G25)&lt;=60),"ja","nein"))</f>
        <v/>
      </c>
      <c r="U25" s="6" t="str">
        <f aca="false">IF(T25&lt;&gt;"nein","",IF(J25&lt;&gt;"ja","keine Freigabe",IF(M25="","nicht an der Quelle bestätigt",IF(K25="rot","Ampel rot — nicht öffentlich",IF(OR(K25="ohne Ampel",K25="nicht in Freigaben"),"Ampel fehlt",IF(LEN(G25)&gt;60,"Kurzinfo zu lang",""))))))</f>
        <v/>
      </c>
      <c r="V25" s="11"/>
    </row>
    <row r="26" customFormat="false" ht="15" hidden="false" customHeight="false" outlineLevel="0" collapsed="false">
      <c r="A26" s="11"/>
      <c r="B26" s="12"/>
      <c r="C26" s="6" t="str">
        <f aca="false">IF(B26="","",CHOOSE(WEEKDAY(B26,2),"Mo","Di","Mi","Do","Fr","Sa","So"))</f>
        <v/>
      </c>
      <c r="D26" s="16"/>
      <c r="E26" s="16"/>
      <c r="F26" s="11"/>
      <c r="G26" s="11"/>
      <c r="H26" s="7" t="str">
        <f aca="false">IF(G26="","",LEN(G26))</f>
        <v/>
      </c>
      <c r="I26" s="11"/>
      <c r="J26" s="6" t="str">
        <f aca="false">IF(I26="","",IF(COUNTIFS(Freigaben!$B$5:$B$58,I26,Freigaben!$M$5:$M$58,"freigegeben")&gt;0,"ja","nein"))</f>
        <v/>
      </c>
      <c r="K26" s="6" t="str">
        <f aca="false">IF(I26="","",IFERROR(IF(INDEX(Freigaben!$N$5:$N$58,MATCH(I26,Freigaben!$B$5:$B$58,0))="","ohne Ampel",INDEX(Freigaben!$N$5:$N$58,MATCH(I26,Freigaben!$B$5:$B$58,0))),"nicht in Freigaben"))</f>
        <v/>
      </c>
      <c r="L26" s="11"/>
      <c r="M26" s="12"/>
      <c r="N26" s="11"/>
      <c r="O26" s="11"/>
      <c r="P26" s="11"/>
      <c r="Q26" s="11"/>
      <c r="R26" s="11"/>
      <c r="S26" s="11"/>
      <c r="T26" s="6" t="str">
        <f aca="false">IF(F26="","",IF(AND(J26="ja",M26&lt;&gt;"",OR(K26="grün",K26="gelb"),LEN(G26)&lt;=60),"ja","nein"))</f>
        <v/>
      </c>
      <c r="U26" s="6" t="str">
        <f aca="false">IF(T26&lt;&gt;"nein","",IF(J26&lt;&gt;"ja","keine Freigabe",IF(M26="","nicht an der Quelle bestätigt",IF(K26="rot","Ampel rot — nicht öffentlich",IF(OR(K26="ohne Ampel",K26="nicht in Freigaben"),"Ampel fehlt",IF(LEN(G26)&gt;60,"Kurzinfo zu lang",""))))))</f>
        <v/>
      </c>
      <c r="V26" s="11"/>
    </row>
    <row r="27" customFormat="false" ht="15" hidden="false" customHeight="false" outlineLevel="0" collapsed="false">
      <c r="A27" s="11"/>
      <c r="B27" s="12"/>
      <c r="C27" s="6" t="str">
        <f aca="false">IF(B27="","",CHOOSE(WEEKDAY(B27,2),"Mo","Di","Mi","Do","Fr","Sa","So"))</f>
        <v/>
      </c>
      <c r="D27" s="16"/>
      <c r="E27" s="16"/>
      <c r="F27" s="11"/>
      <c r="G27" s="11"/>
      <c r="H27" s="7" t="str">
        <f aca="false">IF(G27="","",LEN(G27))</f>
        <v/>
      </c>
      <c r="I27" s="11"/>
      <c r="J27" s="6" t="str">
        <f aca="false">IF(I27="","",IF(COUNTIFS(Freigaben!$B$5:$B$58,I27,Freigaben!$M$5:$M$58,"freigegeben")&gt;0,"ja","nein"))</f>
        <v/>
      </c>
      <c r="K27" s="6" t="str">
        <f aca="false">IF(I27="","",IFERROR(IF(INDEX(Freigaben!$N$5:$N$58,MATCH(I27,Freigaben!$B$5:$B$58,0))="","ohne Ampel",INDEX(Freigaben!$N$5:$N$58,MATCH(I27,Freigaben!$B$5:$B$58,0))),"nicht in Freigaben"))</f>
        <v/>
      </c>
      <c r="L27" s="11"/>
      <c r="M27" s="12"/>
      <c r="N27" s="11"/>
      <c r="O27" s="11"/>
      <c r="P27" s="11"/>
      <c r="Q27" s="11"/>
      <c r="R27" s="11"/>
      <c r="S27" s="11"/>
      <c r="T27" s="6" t="str">
        <f aca="false">IF(F27="","",IF(AND(J27="ja",M27&lt;&gt;"",OR(K27="grün",K27="gelb"),LEN(G27)&lt;=60),"ja","nein"))</f>
        <v/>
      </c>
      <c r="U27" s="6" t="str">
        <f aca="false">IF(T27&lt;&gt;"nein","",IF(J27&lt;&gt;"ja","keine Freigabe",IF(M27="","nicht an der Quelle bestätigt",IF(K27="rot","Ampel rot — nicht öffentlich",IF(OR(K27="ohne Ampel",K27="nicht in Freigaben"),"Ampel fehlt",IF(LEN(G27)&gt;60,"Kurzinfo zu lang",""))))))</f>
        <v/>
      </c>
      <c r="V27" s="11"/>
    </row>
    <row r="28" customFormat="false" ht="15" hidden="false" customHeight="false" outlineLevel="0" collapsed="false">
      <c r="A28" s="11"/>
      <c r="B28" s="12"/>
      <c r="C28" s="6" t="str">
        <f aca="false">IF(B28="","",CHOOSE(WEEKDAY(B28,2),"Mo","Di","Mi","Do","Fr","Sa","So"))</f>
        <v/>
      </c>
      <c r="D28" s="16"/>
      <c r="E28" s="16"/>
      <c r="F28" s="11"/>
      <c r="G28" s="11"/>
      <c r="H28" s="7" t="str">
        <f aca="false">IF(G28="","",LEN(G28))</f>
        <v/>
      </c>
      <c r="I28" s="11"/>
      <c r="J28" s="6" t="str">
        <f aca="false">IF(I28="","",IF(COUNTIFS(Freigaben!$B$5:$B$58,I28,Freigaben!$M$5:$M$58,"freigegeben")&gt;0,"ja","nein"))</f>
        <v/>
      </c>
      <c r="K28" s="6" t="str">
        <f aca="false">IF(I28="","",IFERROR(IF(INDEX(Freigaben!$N$5:$N$58,MATCH(I28,Freigaben!$B$5:$B$58,0))="","ohne Ampel",INDEX(Freigaben!$N$5:$N$58,MATCH(I28,Freigaben!$B$5:$B$58,0))),"nicht in Freigaben"))</f>
        <v/>
      </c>
      <c r="L28" s="11"/>
      <c r="M28" s="12"/>
      <c r="N28" s="11"/>
      <c r="O28" s="11"/>
      <c r="P28" s="11"/>
      <c r="Q28" s="11"/>
      <c r="R28" s="11"/>
      <c r="S28" s="11"/>
      <c r="T28" s="6" t="str">
        <f aca="false">IF(F28="","",IF(AND(J28="ja",M28&lt;&gt;"",OR(K28="grün",K28="gelb"),LEN(G28)&lt;=60),"ja","nein"))</f>
        <v/>
      </c>
      <c r="U28" s="6" t="str">
        <f aca="false">IF(T28&lt;&gt;"nein","",IF(J28&lt;&gt;"ja","keine Freigabe",IF(M28="","nicht an der Quelle bestätigt",IF(K28="rot","Ampel rot — nicht öffentlich",IF(OR(K28="ohne Ampel",K28="nicht in Freigaben"),"Ampel fehlt",IF(LEN(G28)&gt;60,"Kurzinfo zu lang",""))))))</f>
        <v/>
      </c>
      <c r="V28" s="11"/>
    </row>
    <row r="29" customFormat="false" ht="15" hidden="false" customHeight="false" outlineLevel="0" collapsed="false">
      <c r="A29" s="11"/>
      <c r="B29" s="12"/>
      <c r="C29" s="6" t="str">
        <f aca="false">IF(B29="","",CHOOSE(WEEKDAY(B29,2),"Mo","Di","Mi","Do","Fr","Sa","So"))</f>
        <v/>
      </c>
      <c r="D29" s="16"/>
      <c r="E29" s="16"/>
      <c r="F29" s="11"/>
      <c r="G29" s="11"/>
      <c r="H29" s="7" t="str">
        <f aca="false">IF(G29="","",LEN(G29))</f>
        <v/>
      </c>
      <c r="I29" s="11"/>
      <c r="J29" s="6" t="str">
        <f aca="false">IF(I29="","",IF(COUNTIFS(Freigaben!$B$5:$B$58,I29,Freigaben!$M$5:$M$58,"freigegeben")&gt;0,"ja","nein"))</f>
        <v/>
      </c>
      <c r="K29" s="6" t="str">
        <f aca="false">IF(I29="","",IFERROR(IF(INDEX(Freigaben!$N$5:$N$58,MATCH(I29,Freigaben!$B$5:$B$58,0))="","ohne Ampel",INDEX(Freigaben!$N$5:$N$58,MATCH(I29,Freigaben!$B$5:$B$58,0))),"nicht in Freigaben"))</f>
        <v/>
      </c>
      <c r="L29" s="11"/>
      <c r="M29" s="12"/>
      <c r="N29" s="11"/>
      <c r="O29" s="11"/>
      <c r="P29" s="11"/>
      <c r="Q29" s="11"/>
      <c r="R29" s="11"/>
      <c r="S29" s="11"/>
      <c r="T29" s="6" t="str">
        <f aca="false">IF(F29="","",IF(AND(J29="ja",M29&lt;&gt;"",OR(K29="grün",K29="gelb"),LEN(G29)&lt;=60),"ja","nein"))</f>
        <v/>
      </c>
      <c r="U29" s="6" t="str">
        <f aca="false">IF(T29&lt;&gt;"nein","",IF(J29&lt;&gt;"ja","keine Freigabe",IF(M29="","nicht an der Quelle bestätigt",IF(K29="rot","Ampel rot — nicht öffentlich",IF(OR(K29="ohne Ampel",K29="nicht in Freigaben"),"Ampel fehlt",IF(LEN(G29)&gt;60,"Kurzinfo zu lang",""))))))</f>
        <v/>
      </c>
      <c r="V29" s="11"/>
    </row>
    <row r="30" customFormat="false" ht="15" hidden="false" customHeight="false" outlineLevel="0" collapsed="false">
      <c r="A30" s="11"/>
      <c r="B30" s="12"/>
      <c r="C30" s="6" t="str">
        <f aca="false">IF(B30="","",CHOOSE(WEEKDAY(B30,2),"Mo","Di","Mi","Do","Fr","Sa","So"))</f>
        <v/>
      </c>
      <c r="D30" s="16"/>
      <c r="E30" s="16"/>
      <c r="F30" s="11"/>
      <c r="G30" s="11"/>
      <c r="H30" s="7" t="str">
        <f aca="false">IF(G30="","",LEN(G30))</f>
        <v/>
      </c>
      <c r="I30" s="11"/>
      <c r="J30" s="6" t="str">
        <f aca="false">IF(I30="","",IF(COUNTIFS(Freigaben!$B$5:$B$58,I30,Freigaben!$M$5:$M$58,"freigegeben")&gt;0,"ja","nein"))</f>
        <v/>
      </c>
      <c r="K30" s="6" t="str">
        <f aca="false">IF(I30="","",IFERROR(IF(INDEX(Freigaben!$N$5:$N$58,MATCH(I30,Freigaben!$B$5:$B$58,0))="","ohne Ampel",INDEX(Freigaben!$N$5:$N$58,MATCH(I30,Freigaben!$B$5:$B$58,0))),"nicht in Freigaben"))</f>
        <v/>
      </c>
      <c r="L30" s="11"/>
      <c r="M30" s="12"/>
      <c r="N30" s="11"/>
      <c r="O30" s="11"/>
      <c r="P30" s="11"/>
      <c r="Q30" s="11"/>
      <c r="R30" s="11"/>
      <c r="S30" s="11"/>
      <c r="T30" s="6" t="str">
        <f aca="false">IF(F30="","",IF(AND(J30="ja",M30&lt;&gt;"",OR(K30="grün",K30="gelb"),LEN(G30)&lt;=60),"ja","nein"))</f>
        <v/>
      </c>
      <c r="U30" s="6" t="str">
        <f aca="false">IF(T30&lt;&gt;"nein","",IF(J30&lt;&gt;"ja","keine Freigabe",IF(M30="","nicht an der Quelle bestätigt",IF(K30="rot","Ampel rot — nicht öffentlich",IF(OR(K30="ohne Ampel",K30="nicht in Freigaben"),"Ampel fehlt",IF(LEN(G30)&gt;60,"Kurzinfo zu lang",""))))))</f>
        <v/>
      </c>
      <c r="V30" s="11"/>
    </row>
    <row r="31" customFormat="false" ht="15" hidden="false" customHeight="false" outlineLevel="0" collapsed="false">
      <c r="A31" s="11"/>
      <c r="B31" s="12"/>
      <c r="C31" s="6" t="str">
        <f aca="false">IF(B31="","",CHOOSE(WEEKDAY(B31,2),"Mo","Di","Mi","Do","Fr","Sa","So"))</f>
        <v/>
      </c>
      <c r="D31" s="16"/>
      <c r="E31" s="16"/>
      <c r="F31" s="11"/>
      <c r="G31" s="11"/>
      <c r="H31" s="7" t="str">
        <f aca="false">IF(G31="","",LEN(G31))</f>
        <v/>
      </c>
      <c r="I31" s="11"/>
      <c r="J31" s="6" t="str">
        <f aca="false">IF(I31="","",IF(COUNTIFS(Freigaben!$B$5:$B$58,I31,Freigaben!$M$5:$M$58,"freigegeben")&gt;0,"ja","nein"))</f>
        <v/>
      </c>
      <c r="K31" s="6" t="str">
        <f aca="false">IF(I31="","",IFERROR(IF(INDEX(Freigaben!$N$5:$N$58,MATCH(I31,Freigaben!$B$5:$B$58,0))="","ohne Ampel",INDEX(Freigaben!$N$5:$N$58,MATCH(I31,Freigaben!$B$5:$B$58,0))),"nicht in Freigaben"))</f>
        <v/>
      </c>
      <c r="L31" s="11"/>
      <c r="M31" s="12"/>
      <c r="N31" s="11"/>
      <c r="O31" s="11"/>
      <c r="P31" s="11"/>
      <c r="Q31" s="11"/>
      <c r="R31" s="11"/>
      <c r="S31" s="11"/>
      <c r="T31" s="6" t="str">
        <f aca="false">IF(F31="","",IF(AND(J31="ja",M31&lt;&gt;"",OR(K31="grün",K31="gelb"),LEN(G31)&lt;=60),"ja","nein"))</f>
        <v/>
      </c>
      <c r="U31" s="6" t="str">
        <f aca="false">IF(T31&lt;&gt;"nein","",IF(J31&lt;&gt;"ja","keine Freigabe",IF(M31="","nicht an der Quelle bestätigt",IF(K31="rot","Ampel rot — nicht öffentlich",IF(OR(K31="ohne Ampel",K31="nicht in Freigaben"),"Ampel fehlt",IF(LEN(G31)&gt;60,"Kurzinfo zu lang",""))))))</f>
        <v/>
      </c>
      <c r="V31" s="11"/>
    </row>
    <row r="32" customFormat="false" ht="15" hidden="false" customHeight="false" outlineLevel="0" collapsed="false">
      <c r="A32" s="11"/>
      <c r="B32" s="12"/>
      <c r="C32" s="6" t="str">
        <f aca="false">IF(B32="","",CHOOSE(WEEKDAY(B32,2),"Mo","Di","Mi","Do","Fr","Sa","So"))</f>
        <v/>
      </c>
      <c r="D32" s="16"/>
      <c r="E32" s="16"/>
      <c r="F32" s="11"/>
      <c r="G32" s="11"/>
      <c r="H32" s="7" t="str">
        <f aca="false">IF(G32="","",LEN(G32))</f>
        <v/>
      </c>
      <c r="I32" s="11"/>
      <c r="J32" s="6" t="str">
        <f aca="false">IF(I32="","",IF(COUNTIFS(Freigaben!$B$5:$B$58,I32,Freigaben!$M$5:$M$58,"freigegeben")&gt;0,"ja","nein"))</f>
        <v/>
      </c>
      <c r="K32" s="6" t="str">
        <f aca="false">IF(I32="","",IFERROR(IF(INDEX(Freigaben!$N$5:$N$58,MATCH(I32,Freigaben!$B$5:$B$58,0))="","ohne Ampel",INDEX(Freigaben!$N$5:$N$58,MATCH(I32,Freigaben!$B$5:$B$58,0))),"nicht in Freigaben"))</f>
        <v/>
      </c>
      <c r="L32" s="11"/>
      <c r="M32" s="12"/>
      <c r="N32" s="11"/>
      <c r="O32" s="11"/>
      <c r="P32" s="11"/>
      <c r="Q32" s="11"/>
      <c r="R32" s="11"/>
      <c r="S32" s="11"/>
      <c r="T32" s="6" t="str">
        <f aca="false">IF(F32="","",IF(AND(J32="ja",M32&lt;&gt;"",OR(K32="grün",K32="gelb"),LEN(G32)&lt;=60),"ja","nein"))</f>
        <v/>
      </c>
      <c r="U32" s="6" t="str">
        <f aca="false">IF(T32&lt;&gt;"nein","",IF(J32&lt;&gt;"ja","keine Freigabe",IF(M32="","nicht an der Quelle bestätigt",IF(K32="rot","Ampel rot — nicht öffentlich",IF(OR(K32="ohne Ampel",K32="nicht in Freigaben"),"Ampel fehlt",IF(LEN(G32)&gt;60,"Kurzinfo zu lang",""))))))</f>
        <v/>
      </c>
      <c r="V32" s="11"/>
    </row>
    <row r="33" customFormat="false" ht="15" hidden="false" customHeight="false" outlineLevel="0" collapsed="false">
      <c r="A33" s="11"/>
      <c r="B33" s="12"/>
      <c r="C33" s="6" t="str">
        <f aca="false">IF(B33="","",CHOOSE(WEEKDAY(B33,2),"Mo","Di","Mi","Do","Fr","Sa","So"))</f>
        <v/>
      </c>
      <c r="D33" s="16"/>
      <c r="E33" s="16"/>
      <c r="F33" s="11"/>
      <c r="G33" s="11"/>
      <c r="H33" s="7" t="str">
        <f aca="false">IF(G33="","",LEN(G33))</f>
        <v/>
      </c>
      <c r="I33" s="11"/>
      <c r="J33" s="6" t="str">
        <f aca="false">IF(I33="","",IF(COUNTIFS(Freigaben!$B$5:$B$58,I33,Freigaben!$M$5:$M$58,"freigegeben")&gt;0,"ja","nein"))</f>
        <v/>
      </c>
      <c r="K33" s="6" t="str">
        <f aca="false">IF(I33="","",IFERROR(IF(INDEX(Freigaben!$N$5:$N$58,MATCH(I33,Freigaben!$B$5:$B$58,0))="","ohne Ampel",INDEX(Freigaben!$N$5:$N$58,MATCH(I33,Freigaben!$B$5:$B$58,0))),"nicht in Freigaben"))</f>
        <v/>
      </c>
      <c r="L33" s="11"/>
      <c r="M33" s="12"/>
      <c r="N33" s="11"/>
      <c r="O33" s="11"/>
      <c r="P33" s="11"/>
      <c r="Q33" s="11"/>
      <c r="R33" s="11"/>
      <c r="S33" s="11"/>
      <c r="T33" s="6" t="str">
        <f aca="false">IF(F33="","",IF(AND(J33="ja",M33&lt;&gt;"",OR(K33="grün",K33="gelb"),LEN(G33)&lt;=60),"ja","nein"))</f>
        <v/>
      </c>
      <c r="U33" s="6" t="str">
        <f aca="false">IF(T33&lt;&gt;"nein","",IF(J33&lt;&gt;"ja","keine Freigabe",IF(M33="","nicht an der Quelle bestätigt",IF(K33="rot","Ampel rot — nicht öffentlich",IF(OR(K33="ohne Ampel",K33="nicht in Freigaben"),"Ampel fehlt",IF(LEN(G33)&gt;60,"Kurzinfo zu lang",""))))))</f>
        <v/>
      </c>
      <c r="V33" s="11"/>
    </row>
    <row r="34" customFormat="false" ht="15" hidden="false" customHeight="false" outlineLevel="0" collapsed="false">
      <c r="A34" s="11"/>
      <c r="B34" s="12"/>
      <c r="C34" s="6" t="str">
        <f aca="false">IF(B34="","",CHOOSE(WEEKDAY(B34,2),"Mo","Di","Mi","Do","Fr","Sa","So"))</f>
        <v/>
      </c>
      <c r="D34" s="16"/>
      <c r="E34" s="16"/>
      <c r="F34" s="11"/>
      <c r="G34" s="11"/>
      <c r="H34" s="7" t="str">
        <f aca="false">IF(G34="","",LEN(G34))</f>
        <v/>
      </c>
      <c r="I34" s="11"/>
      <c r="J34" s="6" t="str">
        <f aca="false">IF(I34="","",IF(COUNTIFS(Freigaben!$B$5:$B$58,I34,Freigaben!$M$5:$M$58,"freigegeben")&gt;0,"ja","nein"))</f>
        <v/>
      </c>
      <c r="K34" s="6" t="str">
        <f aca="false">IF(I34="","",IFERROR(IF(INDEX(Freigaben!$N$5:$N$58,MATCH(I34,Freigaben!$B$5:$B$58,0))="","ohne Ampel",INDEX(Freigaben!$N$5:$N$58,MATCH(I34,Freigaben!$B$5:$B$58,0))),"nicht in Freigaben"))</f>
        <v/>
      </c>
      <c r="L34" s="11"/>
      <c r="M34" s="12"/>
      <c r="N34" s="11"/>
      <c r="O34" s="11"/>
      <c r="P34" s="11"/>
      <c r="Q34" s="11"/>
      <c r="R34" s="11"/>
      <c r="S34" s="11"/>
      <c r="T34" s="6" t="str">
        <f aca="false">IF(F34="","",IF(AND(J34="ja",M34&lt;&gt;"",OR(K34="grün",K34="gelb"),LEN(G34)&lt;=60),"ja","nein"))</f>
        <v/>
      </c>
      <c r="U34" s="6" t="str">
        <f aca="false">IF(T34&lt;&gt;"nein","",IF(J34&lt;&gt;"ja","keine Freigabe",IF(M34="","nicht an der Quelle bestätigt",IF(K34="rot","Ampel rot — nicht öffentlich",IF(OR(K34="ohne Ampel",K34="nicht in Freigaben"),"Ampel fehlt",IF(LEN(G34)&gt;60,"Kurzinfo zu lang",""))))))</f>
        <v/>
      </c>
      <c r="V34" s="11"/>
    </row>
    <row r="35" customFormat="false" ht="15" hidden="false" customHeight="false" outlineLevel="0" collapsed="false">
      <c r="A35" s="11"/>
      <c r="B35" s="12"/>
      <c r="C35" s="6" t="str">
        <f aca="false">IF(B35="","",CHOOSE(WEEKDAY(B35,2),"Mo","Di","Mi","Do","Fr","Sa","So"))</f>
        <v/>
      </c>
      <c r="D35" s="16"/>
      <c r="E35" s="16"/>
      <c r="F35" s="11"/>
      <c r="G35" s="11"/>
      <c r="H35" s="7" t="str">
        <f aca="false">IF(G35="","",LEN(G35))</f>
        <v/>
      </c>
      <c r="I35" s="11"/>
      <c r="J35" s="6" t="str">
        <f aca="false">IF(I35="","",IF(COUNTIFS(Freigaben!$B$5:$B$58,I35,Freigaben!$M$5:$M$58,"freigegeben")&gt;0,"ja","nein"))</f>
        <v/>
      </c>
      <c r="K35" s="6" t="str">
        <f aca="false">IF(I35="","",IFERROR(IF(INDEX(Freigaben!$N$5:$N$58,MATCH(I35,Freigaben!$B$5:$B$58,0))="","ohne Ampel",INDEX(Freigaben!$N$5:$N$58,MATCH(I35,Freigaben!$B$5:$B$58,0))),"nicht in Freigaben"))</f>
        <v/>
      </c>
      <c r="L35" s="11"/>
      <c r="M35" s="12"/>
      <c r="N35" s="11"/>
      <c r="O35" s="11"/>
      <c r="P35" s="11"/>
      <c r="Q35" s="11"/>
      <c r="R35" s="11"/>
      <c r="S35" s="11"/>
      <c r="T35" s="6" t="str">
        <f aca="false">IF(F35="","",IF(AND(J35="ja",M35&lt;&gt;"",OR(K35="grün",K35="gelb"),LEN(G35)&lt;=60),"ja","nein"))</f>
        <v/>
      </c>
      <c r="U35" s="6" t="str">
        <f aca="false">IF(T35&lt;&gt;"nein","",IF(J35&lt;&gt;"ja","keine Freigabe",IF(M35="","nicht an der Quelle bestätigt",IF(K35="rot","Ampel rot — nicht öffentlich",IF(OR(K35="ohne Ampel",K35="nicht in Freigaben"),"Ampel fehlt",IF(LEN(G35)&gt;60,"Kurzinfo zu lang",""))))))</f>
        <v/>
      </c>
      <c r="V35" s="11"/>
    </row>
    <row r="36" customFormat="false" ht="15" hidden="false" customHeight="false" outlineLevel="0" collapsed="false">
      <c r="A36" s="11"/>
      <c r="B36" s="12"/>
      <c r="C36" s="6" t="str">
        <f aca="false">IF(B36="","",CHOOSE(WEEKDAY(B36,2),"Mo","Di","Mi","Do","Fr","Sa","So"))</f>
        <v/>
      </c>
      <c r="D36" s="16"/>
      <c r="E36" s="16"/>
      <c r="F36" s="11"/>
      <c r="G36" s="11"/>
      <c r="H36" s="7" t="str">
        <f aca="false">IF(G36="","",LEN(G36))</f>
        <v/>
      </c>
      <c r="I36" s="11"/>
      <c r="J36" s="6" t="str">
        <f aca="false">IF(I36="","",IF(COUNTIFS(Freigaben!$B$5:$B$58,I36,Freigaben!$M$5:$M$58,"freigegeben")&gt;0,"ja","nein"))</f>
        <v/>
      </c>
      <c r="K36" s="6" t="str">
        <f aca="false">IF(I36="","",IFERROR(IF(INDEX(Freigaben!$N$5:$N$58,MATCH(I36,Freigaben!$B$5:$B$58,0))="","ohne Ampel",INDEX(Freigaben!$N$5:$N$58,MATCH(I36,Freigaben!$B$5:$B$58,0))),"nicht in Freigaben"))</f>
        <v/>
      </c>
      <c r="L36" s="11"/>
      <c r="M36" s="12"/>
      <c r="N36" s="11"/>
      <c r="O36" s="11"/>
      <c r="P36" s="11"/>
      <c r="Q36" s="11"/>
      <c r="R36" s="11"/>
      <c r="S36" s="11"/>
      <c r="T36" s="6" t="str">
        <f aca="false">IF(F36="","",IF(AND(J36="ja",M36&lt;&gt;"",OR(K36="grün",K36="gelb"),LEN(G36)&lt;=60),"ja","nein"))</f>
        <v/>
      </c>
      <c r="U36" s="6" t="str">
        <f aca="false">IF(T36&lt;&gt;"nein","",IF(J36&lt;&gt;"ja","keine Freigabe",IF(M36="","nicht an der Quelle bestätigt",IF(K36="rot","Ampel rot — nicht öffentlich",IF(OR(K36="ohne Ampel",K36="nicht in Freigaben"),"Ampel fehlt",IF(LEN(G36)&gt;60,"Kurzinfo zu lang",""))))))</f>
        <v/>
      </c>
      <c r="V36" s="11"/>
    </row>
    <row r="37" customFormat="false" ht="15" hidden="false" customHeight="false" outlineLevel="0" collapsed="false">
      <c r="A37" s="11"/>
      <c r="B37" s="12"/>
      <c r="C37" s="6" t="str">
        <f aca="false">IF(B37="","",CHOOSE(WEEKDAY(B37,2),"Mo","Di","Mi","Do","Fr","Sa","So"))</f>
        <v/>
      </c>
      <c r="D37" s="16"/>
      <c r="E37" s="16"/>
      <c r="F37" s="11"/>
      <c r="G37" s="11"/>
      <c r="H37" s="7" t="str">
        <f aca="false">IF(G37="","",LEN(G37))</f>
        <v/>
      </c>
      <c r="I37" s="11"/>
      <c r="J37" s="6" t="str">
        <f aca="false">IF(I37="","",IF(COUNTIFS(Freigaben!$B$5:$B$58,I37,Freigaben!$M$5:$M$58,"freigegeben")&gt;0,"ja","nein"))</f>
        <v/>
      </c>
      <c r="K37" s="6" t="str">
        <f aca="false">IF(I37="","",IFERROR(IF(INDEX(Freigaben!$N$5:$N$58,MATCH(I37,Freigaben!$B$5:$B$58,0))="","ohne Ampel",INDEX(Freigaben!$N$5:$N$58,MATCH(I37,Freigaben!$B$5:$B$58,0))),"nicht in Freigaben"))</f>
        <v/>
      </c>
      <c r="L37" s="11"/>
      <c r="M37" s="12"/>
      <c r="N37" s="11"/>
      <c r="O37" s="11"/>
      <c r="P37" s="11"/>
      <c r="Q37" s="11"/>
      <c r="R37" s="11"/>
      <c r="S37" s="11"/>
      <c r="T37" s="6" t="str">
        <f aca="false">IF(F37="","",IF(AND(J37="ja",M37&lt;&gt;"",OR(K37="grün",K37="gelb"),LEN(G37)&lt;=60),"ja","nein"))</f>
        <v/>
      </c>
      <c r="U37" s="6" t="str">
        <f aca="false">IF(T37&lt;&gt;"nein","",IF(J37&lt;&gt;"ja","keine Freigabe",IF(M37="","nicht an der Quelle bestätigt",IF(K37="rot","Ampel rot — nicht öffentlich",IF(OR(K37="ohne Ampel",K37="nicht in Freigaben"),"Ampel fehlt",IF(LEN(G37)&gt;60,"Kurzinfo zu lang",""))))))</f>
        <v/>
      </c>
      <c r="V37" s="11"/>
    </row>
    <row r="38" customFormat="false" ht="15" hidden="false" customHeight="false" outlineLevel="0" collapsed="false">
      <c r="A38" s="11"/>
      <c r="B38" s="12"/>
      <c r="C38" s="6" t="str">
        <f aca="false">IF(B38="","",CHOOSE(WEEKDAY(B38,2),"Mo","Di","Mi","Do","Fr","Sa","So"))</f>
        <v/>
      </c>
      <c r="D38" s="16"/>
      <c r="E38" s="16"/>
      <c r="F38" s="11"/>
      <c r="G38" s="11"/>
      <c r="H38" s="7" t="str">
        <f aca="false">IF(G38="","",LEN(G38))</f>
        <v/>
      </c>
      <c r="I38" s="11"/>
      <c r="J38" s="6" t="str">
        <f aca="false">IF(I38="","",IF(COUNTIFS(Freigaben!$B$5:$B$58,I38,Freigaben!$M$5:$M$58,"freigegeben")&gt;0,"ja","nein"))</f>
        <v/>
      </c>
      <c r="K38" s="6" t="str">
        <f aca="false">IF(I38="","",IFERROR(IF(INDEX(Freigaben!$N$5:$N$58,MATCH(I38,Freigaben!$B$5:$B$58,0))="","ohne Ampel",INDEX(Freigaben!$N$5:$N$58,MATCH(I38,Freigaben!$B$5:$B$58,0))),"nicht in Freigaben"))</f>
        <v/>
      </c>
      <c r="L38" s="11"/>
      <c r="M38" s="12"/>
      <c r="N38" s="11"/>
      <c r="O38" s="11"/>
      <c r="P38" s="11"/>
      <c r="Q38" s="11"/>
      <c r="R38" s="11"/>
      <c r="S38" s="11"/>
      <c r="T38" s="6" t="str">
        <f aca="false">IF(F38="","",IF(AND(J38="ja",M38&lt;&gt;"",OR(K38="grün",K38="gelb"),LEN(G38)&lt;=60),"ja","nein"))</f>
        <v/>
      </c>
      <c r="U38" s="6" t="str">
        <f aca="false">IF(T38&lt;&gt;"nein","",IF(J38&lt;&gt;"ja","keine Freigabe",IF(M38="","nicht an der Quelle bestätigt",IF(K38="rot","Ampel rot — nicht öffentlich",IF(OR(K38="ohne Ampel",K38="nicht in Freigaben"),"Ampel fehlt",IF(LEN(G38)&gt;60,"Kurzinfo zu lang",""))))))</f>
        <v/>
      </c>
      <c r="V38" s="11"/>
    </row>
    <row r="39" customFormat="false" ht="15" hidden="false" customHeight="false" outlineLevel="0" collapsed="false">
      <c r="A39" s="11"/>
      <c r="B39" s="12"/>
      <c r="C39" s="6" t="str">
        <f aca="false">IF(B39="","",CHOOSE(WEEKDAY(B39,2),"Mo","Di","Mi","Do","Fr","Sa","So"))</f>
        <v/>
      </c>
      <c r="D39" s="16"/>
      <c r="E39" s="16"/>
      <c r="F39" s="11"/>
      <c r="G39" s="11"/>
      <c r="H39" s="7" t="str">
        <f aca="false">IF(G39="","",LEN(G39))</f>
        <v/>
      </c>
      <c r="I39" s="11"/>
      <c r="J39" s="6" t="str">
        <f aca="false">IF(I39="","",IF(COUNTIFS(Freigaben!$B$5:$B$58,I39,Freigaben!$M$5:$M$58,"freigegeben")&gt;0,"ja","nein"))</f>
        <v/>
      </c>
      <c r="K39" s="6" t="str">
        <f aca="false">IF(I39="","",IFERROR(IF(INDEX(Freigaben!$N$5:$N$58,MATCH(I39,Freigaben!$B$5:$B$58,0))="","ohne Ampel",INDEX(Freigaben!$N$5:$N$58,MATCH(I39,Freigaben!$B$5:$B$58,0))),"nicht in Freigaben"))</f>
        <v/>
      </c>
      <c r="L39" s="11"/>
      <c r="M39" s="12"/>
      <c r="N39" s="11"/>
      <c r="O39" s="11"/>
      <c r="P39" s="11"/>
      <c r="Q39" s="11"/>
      <c r="R39" s="11"/>
      <c r="S39" s="11"/>
      <c r="T39" s="6" t="str">
        <f aca="false">IF(F39="","",IF(AND(J39="ja",M39&lt;&gt;"",OR(K39="grün",K39="gelb"),LEN(G39)&lt;=60),"ja","nein"))</f>
        <v/>
      </c>
      <c r="U39" s="6" t="str">
        <f aca="false">IF(T39&lt;&gt;"nein","",IF(J39&lt;&gt;"ja","keine Freigabe",IF(M39="","nicht an der Quelle bestätigt",IF(K39="rot","Ampel rot — nicht öffentlich",IF(OR(K39="ohne Ampel",K39="nicht in Freigaben"),"Ampel fehlt",IF(LEN(G39)&gt;60,"Kurzinfo zu lang",""))))))</f>
        <v/>
      </c>
      <c r="V39" s="11"/>
    </row>
    <row r="40" customFormat="false" ht="15" hidden="false" customHeight="false" outlineLevel="0" collapsed="false">
      <c r="A40" s="11"/>
      <c r="B40" s="12"/>
      <c r="C40" s="6" t="str">
        <f aca="false">IF(B40="","",CHOOSE(WEEKDAY(B40,2),"Mo","Di","Mi","Do","Fr","Sa","So"))</f>
        <v/>
      </c>
      <c r="D40" s="16"/>
      <c r="E40" s="16"/>
      <c r="F40" s="11"/>
      <c r="G40" s="11"/>
      <c r="H40" s="7" t="str">
        <f aca="false">IF(G40="","",LEN(G40))</f>
        <v/>
      </c>
      <c r="I40" s="11"/>
      <c r="J40" s="6" t="str">
        <f aca="false">IF(I40="","",IF(COUNTIFS(Freigaben!$B$5:$B$58,I40,Freigaben!$M$5:$M$58,"freigegeben")&gt;0,"ja","nein"))</f>
        <v/>
      </c>
      <c r="K40" s="6" t="str">
        <f aca="false">IF(I40="","",IFERROR(IF(INDEX(Freigaben!$N$5:$N$58,MATCH(I40,Freigaben!$B$5:$B$58,0))="","ohne Ampel",INDEX(Freigaben!$N$5:$N$58,MATCH(I40,Freigaben!$B$5:$B$58,0))),"nicht in Freigaben"))</f>
        <v/>
      </c>
      <c r="L40" s="11"/>
      <c r="M40" s="12"/>
      <c r="N40" s="11"/>
      <c r="O40" s="11"/>
      <c r="P40" s="11"/>
      <c r="Q40" s="11"/>
      <c r="R40" s="11"/>
      <c r="S40" s="11"/>
      <c r="T40" s="6" t="str">
        <f aca="false">IF(F40="","",IF(AND(J40="ja",M40&lt;&gt;"",OR(K40="grün",K40="gelb"),LEN(G40)&lt;=60),"ja","nein"))</f>
        <v/>
      </c>
      <c r="U40" s="6" t="str">
        <f aca="false">IF(T40&lt;&gt;"nein","",IF(J40&lt;&gt;"ja","keine Freigabe",IF(M40="","nicht an der Quelle bestätigt",IF(K40="rot","Ampel rot — nicht öffentlich",IF(OR(K40="ohne Ampel",K40="nicht in Freigaben"),"Ampel fehlt",IF(LEN(G40)&gt;60,"Kurzinfo zu lang",""))))))</f>
        <v/>
      </c>
      <c r="V40" s="11"/>
    </row>
    <row r="41" customFormat="false" ht="15" hidden="false" customHeight="false" outlineLevel="0" collapsed="false">
      <c r="A41" s="11"/>
      <c r="B41" s="12"/>
      <c r="C41" s="6" t="str">
        <f aca="false">IF(B41="","",CHOOSE(WEEKDAY(B41,2),"Mo","Di","Mi","Do","Fr","Sa","So"))</f>
        <v/>
      </c>
      <c r="D41" s="16"/>
      <c r="E41" s="16"/>
      <c r="F41" s="11"/>
      <c r="G41" s="11"/>
      <c r="H41" s="7" t="str">
        <f aca="false">IF(G41="","",LEN(G41))</f>
        <v/>
      </c>
      <c r="I41" s="11"/>
      <c r="J41" s="6" t="str">
        <f aca="false">IF(I41="","",IF(COUNTIFS(Freigaben!$B$5:$B$58,I41,Freigaben!$M$5:$M$58,"freigegeben")&gt;0,"ja","nein"))</f>
        <v/>
      </c>
      <c r="K41" s="6" t="str">
        <f aca="false">IF(I41="","",IFERROR(IF(INDEX(Freigaben!$N$5:$N$58,MATCH(I41,Freigaben!$B$5:$B$58,0))="","ohne Ampel",INDEX(Freigaben!$N$5:$N$58,MATCH(I41,Freigaben!$B$5:$B$58,0))),"nicht in Freigaben"))</f>
        <v/>
      </c>
      <c r="L41" s="11"/>
      <c r="M41" s="12"/>
      <c r="N41" s="11"/>
      <c r="O41" s="11"/>
      <c r="P41" s="11"/>
      <c r="Q41" s="11"/>
      <c r="R41" s="11"/>
      <c r="S41" s="11"/>
      <c r="T41" s="6" t="str">
        <f aca="false">IF(F41="","",IF(AND(J41="ja",M41&lt;&gt;"",OR(K41="grün",K41="gelb"),LEN(G41)&lt;=60),"ja","nein"))</f>
        <v/>
      </c>
      <c r="U41" s="6" t="str">
        <f aca="false">IF(T41&lt;&gt;"nein","",IF(J41&lt;&gt;"ja","keine Freigabe",IF(M41="","nicht an der Quelle bestätigt",IF(K41="rot","Ampel rot — nicht öffentlich",IF(OR(K41="ohne Ampel",K41="nicht in Freigaben"),"Ampel fehlt",IF(LEN(G41)&gt;60,"Kurzinfo zu lang",""))))))</f>
        <v/>
      </c>
      <c r="V41" s="11"/>
    </row>
    <row r="42" customFormat="false" ht="15" hidden="false" customHeight="false" outlineLevel="0" collapsed="false">
      <c r="A42" s="11"/>
      <c r="B42" s="12"/>
      <c r="C42" s="6" t="str">
        <f aca="false">IF(B42="","",CHOOSE(WEEKDAY(B42,2),"Mo","Di","Mi","Do","Fr","Sa","So"))</f>
        <v/>
      </c>
      <c r="D42" s="16"/>
      <c r="E42" s="16"/>
      <c r="F42" s="11"/>
      <c r="G42" s="11"/>
      <c r="H42" s="7" t="str">
        <f aca="false">IF(G42="","",LEN(G42))</f>
        <v/>
      </c>
      <c r="I42" s="11"/>
      <c r="J42" s="6" t="str">
        <f aca="false">IF(I42="","",IF(COUNTIFS(Freigaben!$B$5:$B$58,I42,Freigaben!$M$5:$M$58,"freigegeben")&gt;0,"ja","nein"))</f>
        <v/>
      </c>
      <c r="K42" s="6" t="str">
        <f aca="false">IF(I42="","",IFERROR(IF(INDEX(Freigaben!$N$5:$N$58,MATCH(I42,Freigaben!$B$5:$B$58,0))="","ohne Ampel",INDEX(Freigaben!$N$5:$N$58,MATCH(I42,Freigaben!$B$5:$B$58,0))),"nicht in Freigaben"))</f>
        <v/>
      </c>
      <c r="L42" s="11"/>
      <c r="M42" s="12"/>
      <c r="N42" s="11"/>
      <c r="O42" s="11"/>
      <c r="P42" s="11"/>
      <c r="Q42" s="11"/>
      <c r="R42" s="11"/>
      <c r="S42" s="11"/>
      <c r="T42" s="6" t="str">
        <f aca="false">IF(F42="","",IF(AND(J42="ja",M42&lt;&gt;"",OR(K42="grün",K42="gelb"),LEN(G42)&lt;=60),"ja","nein"))</f>
        <v/>
      </c>
      <c r="U42" s="6" t="str">
        <f aca="false">IF(T42&lt;&gt;"nein","",IF(J42&lt;&gt;"ja","keine Freigabe",IF(M42="","nicht an der Quelle bestätigt",IF(K42="rot","Ampel rot — nicht öffentlich",IF(OR(K42="ohne Ampel",K42="nicht in Freigaben"),"Ampel fehlt",IF(LEN(G42)&gt;60,"Kurzinfo zu lang",""))))))</f>
        <v/>
      </c>
      <c r="V42" s="11"/>
    </row>
    <row r="43" customFormat="false" ht="15" hidden="false" customHeight="false" outlineLevel="0" collapsed="false">
      <c r="A43" s="11"/>
      <c r="B43" s="12"/>
      <c r="C43" s="6" t="str">
        <f aca="false">IF(B43="","",CHOOSE(WEEKDAY(B43,2),"Mo","Di","Mi","Do","Fr","Sa","So"))</f>
        <v/>
      </c>
      <c r="D43" s="16"/>
      <c r="E43" s="16"/>
      <c r="F43" s="11"/>
      <c r="G43" s="11"/>
      <c r="H43" s="7" t="str">
        <f aca="false">IF(G43="","",LEN(G43))</f>
        <v/>
      </c>
      <c r="I43" s="11"/>
      <c r="J43" s="6" t="str">
        <f aca="false">IF(I43="","",IF(COUNTIFS(Freigaben!$B$5:$B$58,I43,Freigaben!$M$5:$M$58,"freigegeben")&gt;0,"ja","nein"))</f>
        <v/>
      </c>
      <c r="K43" s="6" t="str">
        <f aca="false">IF(I43="","",IFERROR(IF(INDEX(Freigaben!$N$5:$N$58,MATCH(I43,Freigaben!$B$5:$B$58,0))="","ohne Ampel",INDEX(Freigaben!$N$5:$N$58,MATCH(I43,Freigaben!$B$5:$B$58,0))),"nicht in Freigaben"))</f>
        <v/>
      </c>
      <c r="L43" s="11"/>
      <c r="M43" s="12"/>
      <c r="N43" s="11"/>
      <c r="O43" s="11"/>
      <c r="P43" s="11"/>
      <c r="Q43" s="11"/>
      <c r="R43" s="11"/>
      <c r="S43" s="11"/>
      <c r="T43" s="6" t="str">
        <f aca="false">IF(F43="","",IF(AND(J43="ja",M43&lt;&gt;"",OR(K43="grün",K43="gelb"),LEN(G43)&lt;=60),"ja","nein"))</f>
        <v/>
      </c>
      <c r="U43" s="6" t="str">
        <f aca="false">IF(T43&lt;&gt;"nein","",IF(J43&lt;&gt;"ja","keine Freigabe",IF(M43="","nicht an der Quelle bestätigt",IF(K43="rot","Ampel rot — nicht öffentlich",IF(OR(K43="ohne Ampel",K43="nicht in Freigaben"),"Ampel fehlt",IF(LEN(G43)&gt;60,"Kurzinfo zu lang",""))))))</f>
        <v/>
      </c>
      <c r="V43" s="11"/>
    </row>
    <row r="44" customFormat="false" ht="15" hidden="false" customHeight="false" outlineLevel="0" collapsed="false">
      <c r="A44" s="11"/>
      <c r="B44" s="12"/>
      <c r="C44" s="6" t="str">
        <f aca="false">IF(B44="","",CHOOSE(WEEKDAY(B44,2),"Mo","Di","Mi","Do","Fr","Sa","So"))</f>
        <v/>
      </c>
      <c r="D44" s="16"/>
      <c r="E44" s="16"/>
      <c r="F44" s="11"/>
      <c r="G44" s="11"/>
      <c r="H44" s="7" t="str">
        <f aca="false">IF(G44="","",LEN(G44))</f>
        <v/>
      </c>
      <c r="I44" s="11"/>
      <c r="J44" s="6" t="str">
        <f aca="false">IF(I44="","",IF(COUNTIFS(Freigaben!$B$5:$B$58,I44,Freigaben!$M$5:$M$58,"freigegeben")&gt;0,"ja","nein"))</f>
        <v/>
      </c>
      <c r="K44" s="6" t="str">
        <f aca="false">IF(I44="","",IFERROR(IF(INDEX(Freigaben!$N$5:$N$58,MATCH(I44,Freigaben!$B$5:$B$58,0))="","ohne Ampel",INDEX(Freigaben!$N$5:$N$58,MATCH(I44,Freigaben!$B$5:$B$58,0))),"nicht in Freigaben"))</f>
        <v/>
      </c>
      <c r="L44" s="11"/>
      <c r="M44" s="12"/>
      <c r="N44" s="11"/>
      <c r="O44" s="11"/>
      <c r="P44" s="11"/>
      <c r="Q44" s="11"/>
      <c r="R44" s="11"/>
      <c r="S44" s="11"/>
      <c r="T44" s="6" t="str">
        <f aca="false">IF(F44="","",IF(AND(J44="ja",M44&lt;&gt;"",OR(K44="grün",K44="gelb"),LEN(G44)&lt;=60),"ja","nein"))</f>
        <v/>
      </c>
      <c r="U44" s="6" t="str">
        <f aca="false">IF(T44&lt;&gt;"nein","",IF(J44&lt;&gt;"ja","keine Freigabe",IF(M44="","nicht an der Quelle bestätigt",IF(K44="rot","Ampel rot — nicht öffentlich",IF(OR(K44="ohne Ampel",K44="nicht in Freigaben"),"Ampel fehlt",IF(LEN(G44)&gt;60,"Kurzinfo zu lang",""))))))</f>
        <v/>
      </c>
      <c r="V44" s="11"/>
    </row>
    <row r="45" customFormat="false" ht="15" hidden="false" customHeight="false" outlineLevel="0" collapsed="false">
      <c r="A45" s="11"/>
      <c r="B45" s="12"/>
      <c r="C45" s="6" t="str">
        <f aca="false">IF(B45="","",CHOOSE(WEEKDAY(B45,2),"Mo","Di","Mi","Do","Fr","Sa","So"))</f>
        <v/>
      </c>
      <c r="D45" s="16"/>
      <c r="E45" s="16"/>
      <c r="F45" s="11"/>
      <c r="G45" s="11"/>
      <c r="H45" s="7" t="str">
        <f aca="false">IF(G45="","",LEN(G45))</f>
        <v/>
      </c>
      <c r="I45" s="11"/>
      <c r="J45" s="6" t="str">
        <f aca="false">IF(I45="","",IF(COUNTIFS(Freigaben!$B$5:$B$58,I45,Freigaben!$M$5:$M$58,"freigegeben")&gt;0,"ja","nein"))</f>
        <v/>
      </c>
      <c r="K45" s="6" t="str">
        <f aca="false">IF(I45="","",IFERROR(IF(INDEX(Freigaben!$N$5:$N$58,MATCH(I45,Freigaben!$B$5:$B$58,0))="","ohne Ampel",INDEX(Freigaben!$N$5:$N$58,MATCH(I45,Freigaben!$B$5:$B$58,0))),"nicht in Freigaben"))</f>
        <v/>
      </c>
      <c r="L45" s="11"/>
      <c r="M45" s="12"/>
      <c r="N45" s="11"/>
      <c r="O45" s="11"/>
      <c r="P45" s="11"/>
      <c r="Q45" s="11"/>
      <c r="R45" s="11"/>
      <c r="S45" s="11"/>
      <c r="T45" s="6" t="str">
        <f aca="false">IF(F45="","",IF(AND(J45="ja",M45&lt;&gt;"",OR(K45="grün",K45="gelb"),LEN(G45)&lt;=60),"ja","nein"))</f>
        <v/>
      </c>
      <c r="U45" s="6" t="str">
        <f aca="false">IF(T45&lt;&gt;"nein","",IF(J45&lt;&gt;"ja","keine Freigabe",IF(M45="","nicht an der Quelle bestätigt",IF(K45="rot","Ampel rot — nicht öffentlich",IF(OR(K45="ohne Ampel",K45="nicht in Freigaben"),"Ampel fehlt",IF(LEN(G45)&gt;60,"Kurzinfo zu lang",""))))))</f>
        <v/>
      </c>
      <c r="V45" s="11"/>
    </row>
    <row r="46" customFormat="false" ht="15" hidden="false" customHeight="false" outlineLevel="0" collapsed="false">
      <c r="A46" s="11"/>
      <c r="B46" s="12"/>
      <c r="C46" s="6" t="str">
        <f aca="false">IF(B46="","",CHOOSE(WEEKDAY(B46,2),"Mo","Di","Mi","Do","Fr","Sa","So"))</f>
        <v/>
      </c>
      <c r="D46" s="16"/>
      <c r="E46" s="16"/>
      <c r="F46" s="11"/>
      <c r="G46" s="11"/>
      <c r="H46" s="7" t="str">
        <f aca="false">IF(G46="","",LEN(G46))</f>
        <v/>
      </c>
      <c r="I46" s="11"/>
      <c r="J46" s="6" t="str">
        <f aca="false">IF(I46="","",IF(COUNTIFS(Freigaben!$B$5:$B$58,I46,Freigaben!$M$5:$M$58,"freigegeben")&gt;0,"ja","nein"))</f>
        <v/>
      </c>
      <c r="K46" s="6" t="str">
        <f aca="false">IF(I46="","",IFERROR(IF(INDEX(Freigaben!$N$5:$N$58,MATCH(I46,Freigaben!$B$5:$B$58,0))="","ohne Ampel",INDEX(Freigaben!$N$5:$N$58,MATCH(I46,Freigaben!$B$5:$B$58,0))),"nicht in Freigaben"))</f>
        <v/>
      </c>
      <c r="L46" s="11"/>
      <c r="M46" s="12"/>
      <c r="N46" s="11"/>
      <c r="O46" s="11"/>
      <c r="P46" s="11"/>
      <c r="Q46" s="11"/>
      <c r="R46" s="11"/>
      <c r="S46" s="11"/>
      <c r="T46" s="6" t="str">
        <f aca="false">IF(F46="","",IF(AND(J46="ja",M46&lt;&gt;"",OR(K46="grün",K46="gelb"),LEN(G46)&lt;=60),"ja","nein"))</f>
        <v/>
      </c>
      <c r="U46" s="6" t="str">
        <f aca="false">IF(T46&lt;&gt;"nein","",IF(J46&lt;&gt;"ja","keine Freigabe",IF(M46="","nicht an der Quelle bestätigt",IF(K46="rot","Ampel rot — nicht öffentlich",IF(OR(K46="ohne Ampel",K46="nicht in Freigaben"),"Ampel fehlt",IF(LEN(G46)&gt;60,"Kurzinfo zu lang",""))))))</f>
        <v/>
      </c>
      <c r="V46" s="11"/>
    </row>
    <row r="47" customFormat="false" ht="15" hidden="false" customHeight="false" outlineLevel="0" collapsed="false">
      <c r="A47" s="11"/>
      <c r="B47" s="12"/>
      <c r="C47" s="6" t="str">
        <f aca="false">IF(B47="","",CHOOSE(WEEKDAY(B47,2),"Mo","Di","Mi","Do","Fr","Sa","So"))</f>
        <v/>
      </c>
      <c r="D47" s="16"/>
      <c r="E47" s="16"/>
      <c r="F47" s="11"/>
      <c r="G47" s="11"/>
      <c r="H47" s="7" t="str">
        <f aca="false">IF(G47="","",LEN(G47))</f>
        <v/>
      </c>
      <c r="I47" s="11"/>
      <c r="J47" s="6" t="str">
        <f aca="false">IF(I47="","",IF(COUNTIFS(Freigaben!$B$5:$B$58,I47,Freigaben!$M$5:$M$58,"freigegeben")&gt;0,"ja","nein"))</f>
        <v/>
      </c>
      <c r="K47" s="6" t="str">
        <f aca="false">IF(I47="","",IFERROR(IF(INDEX(Freigaben!$N$5:$N$58,MATCH(I47,Freigaben!$B$5:$B$58,0))="","ohne Ampel",INDEX(Freigaben!$N$5:$N$58,MATCH(I47,Freigaben!$B$5:$B$58,0))),"nicht in Freigaben"))</f>
        <v/>
      </c>
      <c r="L47" s="11"/>
      <c r="M47" s="12"/>
      <c r="N47" s="11"/>
      <c r="O47" s="11"/>
      <c r="P47" s="11"/>
      <c r="Q47" s="11"/>
      <c r="R47" s="11"/>
      <c r="S47" s="11"/>
      <c r="T47" s="6" t="str">
        <f aca="false">IF(F47="","",IF(AND(J47="ja",M47&lt;&gt;"",OR(K47="grün",K47="gelb"),LEN(G47)&lt;=60),"ja","nein"))</f>
        <v/>
      </c>
      <c r="U47" s="6" t="str">
        <f aca="false">IF(T47&lt;&gt;"nein","",IF(J47&lt;&gt;"ja","keine Freigabe",IF(M47="","nicht an der Quelle bestätigt",IF(K47="rot","Ampel rot — nicht öffentlich",IF(OR(K47="ohne Ampel",K47="nicht in Freigaben"),"Ampel fehlt",IF(LEN(G47)&gt;60,"Kurzinfo zu lang",""))))))</f>
        <v/>
      </c>
      <c r="V47" s="11"/>
    </row>
    <row r="48" customFormat="false" ht="15" hidden="false" customHeight="false" outlineLevel="0" collapsed="false">
      <c r="A48" s="11"/>
      <c r="B48" s="12"/>
      <c r="C48" s="6" t="str">
        <f aca="false">IF(B48="","",CHOOSE(WEEKDAY(B48,2),"Mo","Di","Mi","Do","Fr","Sa","So"))</f>
        <v/>
      </c>
      <c r="D48" s="16"/>
      <c r="E48" s="16"/>
      <c r="F48" s="11"/>
      <c r="G48" s="11"/>
      <c r="H48" s="7" t="str">
        <f aca="false">IF(G48="","",LEN(G48))</f>
        <v/>
      </c>
      <c r="I48" s="11"/>
      <c r="J48" s="6" t="str">
        <f aca="false">IF(I48="","",IF(COUNTIFS(Freigaben!$B$5:$B$58,I48,Freigaben!$M$5:$M$58,"freigegeben")&gt;0,"ja","nein"))</f>
        <v/>
      </c>
      <c r="K48" s="6" t="str">
        <f aca="false">IF(I48="","",IFERROR(IF(INDEX(Freigaben!$N$5:$N$58,MATCH(I48,Freigaben!$B$5:$B$58,0))="","ohne Ampel",INDEX(Freigaben!$N$5:$N$58,MATCH(I48,Freigaben!$B$5:$B$58,0))),"nicht in Freigaben"))</f>
        <v/>
      </c>
      <c r="L48" s="11"/>
      <c r="M48" s="12"/>
      <c r="N48" s="11"/>
      <c r="O48" s="11"/>
      <c r="P48" s="11"/>
      <c r="Q48" s="11"/>
      <c r="R48" s="11"/>
      <c r="S48" s="11"/>
      <c r="T48" s="6" t="str">
        <f aca="false">IF(F48="","",IF(AND(J48="ja",M48&lt;&gt;"",OR(K48="grün",K48="gelb"),LEN(G48)&lt;=60),"ja","nein"))</f>
        <v/>
      </c>
      <c r="U48" s="6" t="str">
        <f aca="false">IF(T48&lt;&gt;"nein","",IF(J48&lt;&gt;"ja","keine Freigabe",IF(M48="","nicht an der Quelle bestätigt",IF(K48="rot","Ampel rot — nicht öffentlich",IF(OR(K48="ohne Ampel",K48="nicht in Freigaben"),"Ampel fehlt",IF(LEN(G48)&gt;60,"Kurzinfo zu lang",""))))))</f>
        <v/>
      </c>
      <c r="V48" s="11"/>
    </row>
    <row r="49" customFormat="false" ht="15" hidden="false" customHeight="false" outlineLevel="0" collapsed="false">
      <c r="A49" s="11"/>
      <c r="B49" s="12"/>
      <c r="C49" s="6" t="str">
        <f aca="false">IF(B49="","",CHOOSE(WEEKDAY(B49,2),"Mo","Di","Mi","Do","Fr","Sa","So"))</f>
        <v/>
      </c>
      <c r="D49" s="16"/>
      <c r="E49" s="16"/>
      <c r="F49" s="11"/>
      <c r="G49" s="11"/>
      <c r="H49" s="7" t="str">
        <f aca="false">IF(G49="","",LEN(G49))</f>
        <v/>
      </c>
      <c r="I49" s="11"/>
      <c r="J49" s="6" t="str">
        <f aca="false">IF(I49="","",IF(COUNTIFS(Freigaben!$B$5:$B$58,I49,Freigaben!$M$5:$M$58,"freigegeben")&gt;0,"ja","nein"))</f>
        <v/>
      </c>
      <c r="K49" s="6" t="str">
        <f aca="false">IF(I49="","",IFERROR(IF(INDEX(Freigaben!$N$5:$N$58,MATCH(I49,Freigaben!$B$5:$B$58,0))="","ohne Ampel",INDEX(Freigaben!$N$5:$N$58,MATCH(I49,Freigaben!$B$5:$B$58,0))),"nicht in Freigaben"))</f>
        <v/>
      </c>
      <c r="L49" s="11"/>
      <c r="M49" s="12"/>
      <c r="N49" s="11"/>
      <c r="O49" s="11"/>
      <c r="P49" s="11"/>
      <c r="Q49" s="11"/>
      <c r="R49" s="11"/>
      <c r="S49" s="11"/>
      <c r="T49" s="6" t="str">
        <f aca="false">IF(F49="","",IF(AND(J49="ja",M49&lt;&gt;"",OR(K49="grün",K49="gelb"),LEN(G49)&lt;=60),"ja","nein"))</f>
        <v/>
      </c>
      <c r="U49" s="6" t="str">
        <f aca="false">IF(T49&lt;&gt;"nein","",IF(J49&lt;&gt;"ja","keine Freigabe",IF(M49="","nicht an der Quelle bestätigt",IF(K49="rot","Ampel rot — nicht öffentlich",IF(OR(K49="ohne Ampel",K49="nicht in Freigaben"),"Ampel fehlt",IF(LEN(G49)&gt;60,"Kurzinfo zu lang",""))))))</f>
        <v/>
      </c>
      <c r="V49" s="11"/>
    </row>
    <row r="50" customFormat="false" ht="15" hidden="false" customHeight="false" outlineLevel="0" collapsed="false">
      <c r="A50" s="11"/>
      <c r="B50" s="12"/>
      <c r="C50" s="6" t="str">
        <f aca="false">IF(B50="","",CHOOSE(WEEKDAY(B50,2),"Mo","Di","Mi","Do","Fr","Sa","So"))</f>
        <v/>
      </c>
      <c r="D50" s="16"/>
      <c r="E50" s="16"/>
      <c r="F50" s="11"/>
      <c r="G50" s="11"/>
      <c r="H50" s="7" t="str">
        <f aca="false">IF(G50="","",LEN(G50))</f>
        <v/>
      </c>
      <c r="I50" s="11"/>
      <c r="J50" s="6" t="str">
        <f aca="false">IF(I50="","",IF(COUNTIFS(Freigaben!$B$5:$B$58,I50,Freigaben!$M$5:$M$58,"freigegeben")&gt;0,"ja","nein"))</f>
        <v/>
      </c>
      <c r="K50" s="6" t="str">
        <f aca="false">IF(I50="","",IFERROR(IF(INDEX(Freigaben!$N$5:$N$58,MATCH(I50,Freigaben!$B$5:$B$58,0))="","ohne Ampel",INDEX(Freigaben!$N$5:$N$58,MATCH(I50,Freigaben!$B$5:$B$58,0))),"nicht in Freigaben"))</f>
        <v/>
      </c>
      <c r="L50" s="11"/>
      <c r="M50" s="12"/>
      <c r="N50" s="11"/>
      <c r="O50" s="11"/>
      <c r="P50" s="11"/>
      <c r="Q50" s="11"/>
      <c r="R50" s="11"/>
      <c r="S50" s="11"/>
      <c r="T50" s="6" t="str">
        <f aca="false">IF(F50="","",IF(AND(J50="ja",M50&lt;&gt;"",OR(K50="grün",K50="gelb"),LEN(G50)&lt;=60),"ja","nein"))</f>
        <v/>
      </c>
      <c r="U50" s="6" t="str">
        <f aca="false">IF(T50&lt;&gt;"nein","",IF(J50&lt;&gt;"ja","keine Freigabe",IF(M50="","nicht an der Quelle bestätigt",IF(K50="rot","Ampel rot — nicht öffentlich",IF(OR(K50="ohne Ampel",K50="nicht in Freigaben"),"Ampel fehlt",IF(LEN(G50)&gt;60,"Kurzinfo zu lang",""))))))</f>
        <v/>
      </c>
      <c r="V50" s="11"/>
    </row>
    <row r="51" customFormat="false" ht="15" hidden="false" customHeight="false" outlineLevel="0" collapsed="false">
      <c r="A51" s="11"/>
      <c r="B51" s="12"/>
      <c r="C51" s="6" t="str">
        <f aca="false">IF(B51="","",CHOOSE(WEEKDAY(B51,2),"Mo","Di","Mi","Do","Fr","Sa","So"))</f>
        <v/>
      </c>
      <c r="D51" s="16"/>
      <c r="E51" s="16"/>
      <c r="F51" s="11"/>
      <c r="G51" s="11"/>
      <c r="H51" s="7" t="str">
        <f aca="false">IF(G51="","",LEN(G51))</f>
        <v/>
      </c>
      <c r="I51" s="11"/>
      <c r="J51" s="6" t="str">
        <f aca="false">IF(I51="","",IF(COUNTIFS(Freigaben!$B$5:$B$58,I51,Freigaben!$M$5:$M$58,"freigegeben")&gt;0,"ja","nein"))</f>
        <v/>
      </c>
      <c r="K51" s="6" t="str">
        <f aca="false">IF(I51="","",IFERROR(IF(INDEX(Freigaben!$N$5:$N$58,MATCH(I51,Freigaben!$B$5:$B$58,0))="","ohne Ampel",INDEX(Freigaben!$N$5:$N$58,MATCH(I51,Freigaben!$B$5:$B$58,0))),"nicht in Freigaben"))</f>
        <v/>
      </c>
      <c r="L51" s="11"/>
      <c r="M51" s="12"/>
      <c r="N51" s="11"/>
      <c r="O51" s="11"/>
      <c r="P51" s="11"/>
      <c r="Q51" s="11"/>
      <c r="R51" s="11"/>
      <c r="S51" s="11"/>
      <c r="T51" s="6" t="str">
        <f aca="false">IF(F51="","",IF(AND(J51="ja",M51&lt;&gt;"",OR(K51="grün",K51="gelb"),LEN(G51)&lt;=60),"ja","nein"))</f>
        <v/>
      </c>
      <c r="U51" s="6" t="str">
        <f aca="false">IF(T51&lt;&gt;"nein","",IF(J51&lt;&gt;"ja","keine Freigabe",IF(M51="","nicht an der Quelle bestätigt",IF(K51="rot","Ampel rot — nicht öffentlich",IF(OR(K51="ohne Ampel",K51="nicht in Freigaben"),"Ampel fehlt",IF(LEN(G51)&gt;60,"Kurzinfo zu lang",""))))))</f>
        <v/>
      </c>
      <c r="V51" s="11"/>
    </row>
    <row r="52" customFormat="false" ht="15" hidden="false" customHeight="false" outlineLevel="0" collapsed="false">
      <c r="A52" s="11"/>
      <c r="B52" s="12"/>
      <c r="C52" s="6" t="str">
        <f aca="false">IF(B52="","",CHOOSE(WEEKDAY(B52,2),"Mo","Di","Mi","Do","Fr","Sa","So"))</f>
        <v/>
      </c>
      <c r="D52" s="16"/>
      <c r="E52" s="16"/>
      <c r="F52" s="11"/>
      <c r="G52" s="11"/>
      <c r="H52" s="7" t="str">
        <f aca="false">IF(G52="","",LEN(G52))</f>
        <v/>
      </c>
      <c r="I52" s="11"/>
      <c r="J52" s="6" t="str">
        <f aca="false">IF(I52="","",IF(COUNTIFS(Freigaben!$B$5:$B$58,I52,Freigaben!$M$5:$M$58,"freigegeben")&gt;0,"ja","nein"))</f>
        <v/>
      </c>
      <c r="K52" s="6" t="str">
        <f aca="false">IF(I52="","",IFERROR(IF(INDEX(Freigaben!$N$5:$N$58,MATCH(I52,Freigaben!$B$5:$B$58,0))="","ohne Ampel",INDEX(Freigaben!$N$5:$N$58,MATCH(I52,Freigaben!$B$5:$B$58,0))),"nicht in Freigaben"))</f>
        <v/>
      </c>
      <c r="L52" s="11"/>
      <c r="M52" s="12"/>
      <c r="N52" s="11"/>
      <c r="O52" s="11"/>
      <c r="P52" s="11"/>
      <c r="Q52" s="11"/>
      <c r="R52" s="11"/>
      <c r="S52" s="11"/>
      <c r="T52" s="6" t="str">
        <f aca="false">IF(F52="","",IF(AND(J52="ja",M52&lt;&gt;"",OR(K52="grün",K52="gelb"),LEN(G52)&lt;=60),"ja","nein"))</f>
        <v/>
      </c>
      <c r="U52" s="6" t="str">
        <f aca="false">IF(T52&lt;&gt;"nein","",IF(J52&lt;&gt;"ja","keine Freigabe",IF(M52="","nicht an der Quelle bestätigt",IF(K52="rot","Ampel rot — nicht öffentlich",IF(OR(K52="ohne Ampel",K52="nicht in Freigaben"),"Ampel fehlt",IF(LEN(G52)&gt;60,"Kurzinfo zu lang",""))))))</f>
        <v/>
      </c>
      <c r="V52" s="11"/>
    </row>
    <row r="53" customFormat="false" ht="15" hidden="false" customHeight="false" outlineLevel="0" collapsed="false">
      <c r="A53" s="11"/>
      <c r="B53" s="12"/>
      <c r="C53" s="6" t="str">
        <f aca="false">IF(B53="","",CHOOSE(WEEKDAY(B53,2),"Mo","Di","Mi","Do","Fr","Sa","So"))</f>
        <v/>
      </c>
      <c r="D53" s="16"/>
      <c r="E53" s="16"/>
      <c r="F53" s="11"/>
      <c r="G53" s="11"/>
      <c r="H53" s="7" t="str">
        <f aca="false">IF(G53="","",LEN(G53))</f>
        <v/>
      </c>
      <c r="I53" s="11"/>
      <c r="J53" s="6" t="str">
        <f aca="false">IF(I53="","",IF(COUNTIFS(Freigaben!$B$5:$B$58,I53,Freigaben!$M$5:$M$58,"freigegeben")&gt;0,"ja","nein"))</f>
        <v/>
      </c>
      <c r="K53" s="6" t="str">
        <f aca="false">IF(I53="","",IFERROR(IF(INDEX(Freigaben!$N$5:$N$58,MATCH(I53,Freigaben!$B$5:$B$58,0))="","ohne Ampel",INDEX(Freigaben!$N$5:$N$58,MATCH(I53,Freigaben!$B$5:$B$58,0))),"nicht in Freigaben"))</f>
        <v/>
      </c>
      <c r="L53" s="11"/>
      <c r="M53" s="12"/>
      <c r="N53" s="11"/>
      <c r="O53" s="11"/>
      <c r="P53" s="11"/>
      <c r="Q53" s="11"/>
      <c r="R53" s="11"/>
      <c r="S53" s="11"/>
      <c r="T53" s="6" t="str">
        <f aca="false">IF(F53="","",IF(AND(J53="ja",M53&lt;&gt;"",OR(K53="grün",K53="gelb"),LEN(G53)&lt;=60),"ja","nein"))</f>
        <v/>
      </c>
      <c r="U53" s="6" t="str">
        <f aca="false">IF(T53&lt;&gt;"nein","",IF(J53&lt;&gt;"ja","keine Freigabe",IF(M53="","nicht an der Quelle bestätigt",IF(K53="rot","Ampel rot — nicht öffentlich",IF(OR(K53="ohne Ampel",K53="nicht in Freigaben"),"Ampel fehlt",IF(LEN(G53)&gt;60,"Kurzinfo zu lang",""))))))</f>
        <v/>
      </c>
      <c r="V53" s="11"/>
    </row>
    <row r="54" customFormat="false" ht="15" hidden="false" customHeight="false" outlineLevel="0" collapsed="false">
      <c r="A54" s="11"/>
      <c r="B54" s="12"/>
      <c r="C54" s="6" t="str">
        <f aca="false">IF(B54="","",CHOOSE(WEEKDAY(B54,2),"Mo","Di","Mi","Do","Fr","Sa","So"))</f>
        <v/>
      </c>
      <c r="D54" s="16"/>
      <c r="E54" s="16"/>
      <c r="F54" s="11"/>
      <c r="G54" s="11"/>
      <c r="H54" s="7" t="str">
        <f aca="false">IF(G54="","",LEN(G54))</f>
        <v/>
      </c>
      <c r="I54" s="11"/>
      <c r="J54" s="6" t="str">
        <f aca="false">IF(I54="","",IF(COUNTIFS(Freigaben!$B$5:$B$58,I54,Freigaben!$M$5:$M$58,"freigegeben")&gt;0,"ja","nein"))</f>
        <v/>
      </c>
      <c r="K54" s="6" t="str">
        <f aca="false">IF(I54="","",IFERROR(IF(INDEX(Freigaben!$N$5:$N$58,MATCH(I54,Freigaben!$B$5:$B$58,0))="","ohne Ampel",INDEX(Freigaben!$N$5:$N$58,MATCH(I54,Freigaben!$B$5:$B$58,0))),"nicht in Freigaben"))</f>
        <v/>
      </c>
      <c r="L54" s="11"/>
      <c r="M54" s="12"/>
      <c r="N54" s="11"/>
      <c r="O54" s="11"/>
      <c r="P54" s="11"/>
      <c r="Q54" s="11"/>
      <c r="R54" s="11"/>
      <c r="S54" s="11"/>
      <c r="T54" s="6" t="str">
        <f aca="false">IF(F54="","",IF(AND(J54="ja",M54&lt;&gt;"",OR(K54="grün",K54="gelb"),LEN(G54)&lt;=60),"ja","nein"))</f>
        <v/>
      </c>
      <c r="U54" s="6" t="str">
        <f aca="false">IF(T54&lt;&gt;"nein","",IF(J54&lt;&gt;"ja","keine Freigabe",IF(M54="","nicht an der Quelle bestätigt",IF(K54="rot","Ampel rot — nicht öffentlich",IF(OR(K54="ohne Ampel",K54="nicht in Freigaben"),"Ampel fehlt",IF(LEN(G54)&gt;60,"Kurzinfo zu lang",""))))))</f>
        <v/>
      </c>
      <c r="V54" s="11"/>
    </row>
    <row r="55" customFormat="false" ht="15" hidden="false" customHeight="false" outlineLevel="0" collapsed="false">
      <c r="A55" s="11"/>
      <c r="B55" s="12"/>
      <c r="C55" s="6" t="str">
        <f aca="false">IF(B55="","",CHOOSE(WEEKDAY(B55,2),"Mo","Di","Mi","Do","Fr","Sa","So"))</f>
        <v/>
      </c>
      <c r="D55" s="16"/>
      <c r="E55" s="16"/>
      <c r="F55" s="11"/>
      <c r="G55" s="11"/>
      <c r="H55" s="7" t="str">
        <f aca="false">IF(G55="","",LEN(G55))</f>
        <v/>
      </c>
      <c r="I55" s="11"/>
      <c r="J55" s="6" t="str">
        <f aca="false">IF(I55="","",IF(COUNTIFS(Freigaben!$B$5:$B$58,I55,Freigaben!$M$5:$M$58,"freigegeben")&gt;0,"ja","nein"))</f>
        <v/>
      </c>
      <c r="K55" s="6" t="str">
        <f aca="false">IF(I55="","",IFERROR(IF(INDEX(Freigaben!$N$5:$N$58,MATCH(I55,Freigaben!$B$5:$B$58,0))="","ohne Ampel",INDEX(Freigaben!$N$5:$N$58,MATCH(I55,Freigaben!$B$5:$B$58,0))),"nicht in Freigaben"))</f>
        <v/>
      </c>
      <c r="L55" s="11"/>
      <c r="M55" s="12"/>
      <c r="N55" s="11"/>
      <c r="O55" s="11"/>
      <c r="P55" s="11"/>
      <c r="Q55" s="11"/>
      <c r="R55" s="11"/>
      <c r="S55" s="11"/>
      <c r="T55" s="6" t="str">
        <f aca="false">IF(F55="","",IF(AND(J55="ja",M55&lt;&gt;"",OR(K55="grün",K55="gelb"),LEN(G55)&lt;=60),"ja","nein"))</f>
        <v/>
      </c>
      <c r="U55" s="6" t="str">
        <f aca="false">IF(T55&lt;&gt;"nein","",IF(J55&lt;&gt;"ja","keine Freigabe",IF(M55="","nicht an der Quelle bestätigt",IF(K55="rot","Ampel rot — nicht öffentlich",IF(OR(K55="ohne Ampel",K55="nicht in Freigaben"),"Ampel fehlt",IF(LEN(G55)&gt;60,"Kurzinfo zu lang",""))))))</f>
        <v/>
      </c>
      <c r="V55" s="11"/>
    </row>
    <row r="56" customFormat="false" ht="15" hidden="false" customHeight="false" outlineLevel="0" collapsed="false">
      <c r="A56" s="11"/>
      <c r="B56" s="12"/>
      <c r="C56" s="6" t="str">
        <f aca="false">IF(B56="","",CHOOSE(WEEKDAY(B56,2),"Mo","Di","Mi","Do","Fr","Sa","So"))</f>
        <v/>
      </c>
      <c r="D56" s="16"/>
      <c r="E56" s="16"/>
      <c r="F56" s="11"/>
      <c r="G56" s="11"/>
      <c r="H56" s="7" t="str">
        <f aca="false">IF(G56="","",LEN(G56))</f>
        <v/>
      </c>
      <c r="I56" s="11"/>
      <c r="J56" s="6" t="str">
        <f aca="false">IF(I56="","",IF(COUNTIFS(Freigaben!$B$5:$B$58,I56,Freigaben!$M$5:$M$58,"freigegeben")&gt;0,"ja","nein"))</f>
        <v/>
      </c>
      <c r="K56" s="6" t="str">
        <f aca="false">IF(I56="","",IFERROR(IF(INDEX(Freigaben!$N$5:$N$58,MATCH(I56,Freigaben!$B$5:$B$58,0))="","ohne Ampel",INDEX(Freigaben!$N$5:$N$58,MATCH(I56,Freigaben!$B$5:$B$58,0))),"nicht in Freigaben"))</f>
        <v/>
      </c>
      <c r="L56" s="11"/>
      <c r="M56" s="12"/>
      <c r="N56" s="11"/>
      <c r="O56" s="11"/>
      <c r="P56" s="11"/>
      <c r="Q56" s="11"/>
      <c r="R56" s="11"/>
      <c r="S56" s="11"/>
      <c r="T56" s="6" t="str">
        <f aca="false">IF(F56="","",IF(AND(J56="ja",M56&lt;&gt;"",OR(K56="grün",K56="gelb"),LEN(G56)&lt;=60),"ja","nein"))</f>
        <v/>
      </c>
      <c r="U56" s="6" t="str">
        <f aca="false">IF(T56&lt;&gt;"nein","",IF(J56&lt;&gt;"ja","keine Freigabe",IF(M56="","nicht an der Quelle bestätigt",IF(K56="rot","Ampel rot — nicht öffentlich",IF(OR(K56="ohne Ampel",K56="nicht in Freigaben"),"Ampel fehlt",IF(LEN(G56)&gt;60,"Kurzinfo zu lang",""))))))</f>
        <v/>
      </c>
      <c r="V56" s="11"/>
    </row>
    <row r="57" customFormat="false" ht="15" hidden="false" customHeight="false" outlineLevel="0" collapsed="false">
      <c r="A57" s="11"/>
      <c r="B57" s="12"/>
      <c r="C57" s="6" t="str">
        <f aca="false">IF(B57="","",CHOOSE(WEEKDAY(B57,2),"Mo","Di","Mi","Do","Fr","Sa","So"))</f>
        <v/>
      </c>
      <c r="D57" s="16"/>
      <c r="E57" s="16"/>
      <c r="F57" s="11"/>
      <c r="G57" s="11"/>
      <c r="H57" s="7" t="str">
        <f aca="false">IF(G57="","",LEN(G57))</f>
        <v/>
      </c>
      <c r="I57" s="11"/>
      <c r="J57" s="6" t="str">
        <f aca="false">IF(I57="","",IF(COUNTIFS(Freigaben!$B$5:$B$58,I57,Freigaben!$M$5:$M$58,"freigegeben")&gt;0,"ja","nein"))</f>
        <v/>
      </c>
      <c r="K57" s="6" t="str">
        <f aca="false">IF(I57="","",IFERROR(IF(INDEX(Freigaben!$N$5:$N$58,MATCH(I57,Freigaben!$B$5:$B$58,0))="","ohne Ampel",INDEX(Freigaben!$N$5:$N$58,MATCH(I57,Freigaben!$B$5:$B$58,0))),"nicht in Freigaben"))</f>
        <v/>
      </c>
      <c r="L57" s="11"/>
      <c r="M57" s="12"/>
      <c r="N57" s="11"/>
      <c r="O57" s="11"/>
      <c r="P57" s="11"/>
      <c r="Q57" s="11"/>
      <c r="R57" s="11"/>
      <c r="S57" s="11"/>
      <c r="T57" s="6" t="str">
        <f aca="false">IF(F57="","",IF(AND(J57="ja",M57&lt;&gt;"",OR(K57="grün",K57="gelb"),LEN(G57)&lt;=60),"ja","nein"))</f>
        <v/>
      </c>
      <c r="U57" s="6" t="str">
        <f aca="false">IF(T57&lt;&gt;"nein","",IF(J57&lt;&gt;"ja","keine Freigabe",IF(M57="","nicht an der Quelle bestätigt",IF(K57="rot","Ampel rot — nicht öffentlich",IF(OR(K57="ohne Ampel",K57="nicht in Freigaben"),"Ampel fehlt",IF(LEN(G57)&gt;60,"Kurzinfo zu lang",""))))))</f>
        <v/>
      </c>
      <c r="V57" s="11"/>
    </row>
    <row r="58" customFormat="false" ht="15" hidden="false" customHeight="false" outlineLevel="0" collapsed="false">
      <c r="A58" s="11"/>
      <c r="B58" s="12"/>
      <c r="C58" s="6" t="str">
        <f aca="false">IF(B58="","",CHOOSE(WEEKDAY(B58,2),"Mo","Di","Mi","Do","Fr","Sa","So"))</f>
        <v/>
      </c>
      <c r="D58" s="16"/>
      <c r="E58" s="16"/>
      <c r="F58" s="11"/>
      <c r="G58" s="11"/>
      <c r="H58" s="7" t="str">
        <f aca="false">IF(G58="","",LEN(G58))</f>
        <v/>
      </c>
      <c r="I58" s="11"/>
      <c r="J58" s="6" t="str">
        <f aca="false">IF(I58="","",IF(COUNTIFS(Freigaben!$B$5:$B$58,I58,Freigaben!$M$5:$M$58,"freigegeben")&gt;0,"ja","nein"))</f>
        <v/>
      </c>
      <c r="K58" s="6" t="str">
        <f aca="false">IF(I58="","",IFERROR(IF(INDEX(Freigaben!$N$5:$N$58,MATCH(I58,Freigaben!$B$5:$B$58,0))="","ohne Ampel",INDEX(Freigaben!$N$5:$N$58,MATCH(I58,Freigaben!$B$5:$B$58,0))),"nicht in Freigaben"))</f>
        <v/>
      </c>
      <c r="L58" s="11"/>
      <c r="M58" s="12"/>
      <c r="N58" s="11"/>
      <c r="O58" s="11"/>
      <c r="P58" s="11"/>
      <c r="Q58" s="11"/>
      <c r="R58" s="11"/>
      <c r="S58" s="11"/>
      <c r="T58" s="6" t="str">
        <f aca="false">IF(F58="","",IF(AND(J58="ja",M58&lt;&gt;"",OR(K58="grün",K58="gelb"),LEN(G58)&lt;=60),"ja","nein"))</f>
        <v/>
      </c>
      <c r="U58" s="6" t="str">
        <f aca="false">IF(T58&lt;&gt;"nein","",IF(J58&lt;&gt;"ja","keine Freigabe",IF(M58="","nicht an der Quelle bestätigt",IF(K58="rot","Ampel rot — nicht öffentlich",IF(OR(K58="ohne Ampel",K58="nicht in Freigaben"),"Ampel fehlt",IF(LEN(G58)&gt;60,"Kurzinfo zu lang",""))))))</f>
        <v/>
      </c>
      <c r="V58" s="11"/>
    </row>
    <row r="59" customFormat="false" ht="15" hidden="false" customHeight="false" outlineLevel="0" collapsed="false">
      <c r="A59" s="11"/>
      <c r="B59" s="12"/>
      <c r="C59" s="6" t="str">
        <f aca="false">IF(B59="","",CHOOSE(WEEKDAY(B59,2),"Mo","Di","Mi","Do","Fr","Sa","So"))</f>
        <v/>
      </c>
      <c r="D59" s="16"/>
      <c r="E59" s="16"/>
      <c r="F59" s="11"/>
      <c r="G59" s="11"/>
      <c r="H59" s="7" t="str">
        <f aca="false">IF(G59="","",LEN(G59))</f>
        <v/>
      </c>
      <c r="I59" s="11"/>
      <c r="J59" s="6" t="str">
        <f aca="false">IF(I59="","",IF(COUNTIFS(Freigaben!$B$5:$B$58,I59,Freigaben!$M$5:$M$58,"freigegeben")&gt;0,"ja","nein"))</f>
        <v/>
      </c>
      <c r="K59" s="6" t="str">
        <f aca="false">IF(I59="","",IFERROR(IF(INDEX(Freigaben!$N$5:$N$58,MATCH(I59,Freigaben!$B$5:$B$58,0))="","ohne Ampel",INDEX(Freigaben!$N$5:$N$58,MATCH(I59,Freigaben!$B$5:$B$58,0))),"nicht in Freigaben"))</f>
        <v/>
      </c>
      <c r="L59" s="11"/>
      <c r="M59" s="12"/>
      <c r="N59" s="11"/>
      <c r="O59" s="11"/>
      <c r="P59" s="11"/>
      <c r="Q59" s="11"/>
      <c r="R59" s="11"/>
      <c r="S59" s="11"/>
      <c r="T59" s="6" t="str">
        <f aca="false">IF(F59="","",IF(AND(J59="ja",M59&lt;&gt;"",OR(K59="grün",K59="gelb"),LEN(G59)&lt;=60),"ja","nein"))</f>
        <v/>
      </c>
      <c r="U59" s="6" t="str">
        <f aca="false">IF(T59&lt;&gt;"nein","",IF(J59&lt;&gt;"ja","keine Freigabe",IF(M59="","nicht an der Quelle bestätigt",IF(K59="rot","Ampel rot — nicht öffentlich",IF(OR(K59="ohne Ampel",K59="nicht in Freigaben"),"Ampel fehlt",IF(LEN(G59)&gt;60,"Kurzinfo zu lang",""))))))</f>
        <v/>
      </c>
      <c r="V59" s="11"/>
    </row>
    <row r="60" customFormat="false" ht="15" hidden="false" customHeight="false" outlineLevel="0" collapsed="false">
      <c r="A60" s="11"/>
      <c r="B60" s="12"/>
      <c r="C60" s="6" t="str">
        <f aca="false">IF(B60="","",CHOOSE(WEEKDAY(B60,2),"Mo","Di","Mi","Do","Fr","Sa","So"))</f>
        <v/>
      </c>
      <c r="D60" s="16"/>
      <c r="E60" s="16"/>
      <c r="F60" s="11"/>
      <c r="G60" s="11"/>
      <c r="H60" s="7" t="str">
        <f aca="false">IF(G60="","",LEN(G60))</f>
        <v/>
      </c>
      <c r="I60" s="11"/>
      <c r="J60" s="6" t="str">
        <f aca="false">IF(I60="","",IF(COUNTIFS(Freigaben!$B$5:$B$58,I60,Freigaben!$M$5:$M$58,"freigegeben")&gt;0,"ja","nein"))</f>
        <v/>
      </c>
      <c r="K60" s="6" t="str">
        <f aca="false">IF(I60="","",IFERROR(IF(INDEX(Freigaben!$N$5:$N$58,MATCH(I60,Freigaben!$B$5:$B$58,0))="","ohne Ampel",INDEX(Freigaben!$N$5:$N$58,MATCH(I60,Freigaben!$B$5:$B$58,0))),"nicht in Freigaben"))</f>
        <v/>
      </c>
      <c r="L60" s="11"/>
      <c r="M60" s="12"/>
      <c r="N60" s="11"/>
      <c r="O60" s="11"/>
      <c r="P60" s="11"/>
      <c r="Q60" s="11"/>
      <c r="R60" s="11"/>
      <c r="S60" s="11"/>
      <c r="T60" s="6" t="str">
        <f aca="false">IF(F60="","",IF(AND(J60="ja",M60&lt;&gt;"",OR(K60="grün",K60="gelb"),LEN(G60)&lt;=60),"ja","nein"))</f>
        <v/>
      </c>
      <c r="U60" s="6" t="str">
        <f aca="false">IF(T60&lt;&gt;"nein","",IF(J60&lt;&gt;"ja","keine Freigabe",IF(M60="","nicht an der Quelle bestätigt",IF(K60="rot","Ampel rot — nicht öffentlich",IF(OR(K60="ohne Ampel",K60="nicht in Freigaben"),"Ampel fehlt",IF(LEN(G60)&gt;60,"Kurzinfo zu lang",""))))))</f>
        <v/>
      </c>
      <c r="V60" s="11"/>
    </row>
    <row r="61" customFormat="false" ht="15" hidden="false" customHeight="false" outlineLevel="0" collapsed="false">
      <c r="A61" s="11"/>
      <c r="B61" s="12"/>
      <c r="C61" s="6" t="str">
        <f aca="false">IF(B61="","",CHOOSE(WEEKDAY(B61,2),"Mo","Di","Mi","Do","Fr","Sa","So"))</f>
        <v/>
      </c>
      <c r="D61" s="16"/>
      <c r="E61" s="16"/>
      <c r="F61" s="11"/>
      <c r="G61" s="11"/>
      <c r="H61" s="7" t="str">
        <f aca="false">IF(G61="","",LEN(G61))</f>
        <v/>
      </c>
      <c r="I61" s="11"/>
      <c r="J61" s="6" t="str">
        <f aca="false">IF(I61="","",IF(COUNTIFS(Freigaben!$B$5:$B$58,I61,Freigaben!$M$5:$M$58,"freigegeben")&gt;0,"ja","nein"))</f>
        <v/>
      </c>
      <c r="K61" s="6" t="str">
        <f aca="false">IF(I61="","",IFERROR(IF(INDEX(Freigaben!$N$5:$N$58,MATCH(I61,Freigaben!$B$5:$B$58,0))="","ohne Ampel",INDEX(Freigaben!$N$5:$N$58,MATCH(I61,Freigaben!$B$5:$B$58,0))),"nicht in Freigaben"))</f>
        <v/>
      </c>
      <c r="L61" s="11"/>
      <c r="M61" s="12"/>
      <c r="N61" s="11"/>
      <c r="O61" s="11"/>
      <c r="P61" s="11"/>
      <c r="Q61" s="11"/>
      <c r="R61" s="11"/>
      <c r="S61" s="11"/>
      <c r="T61" s="6" t="str">
        <f aca="false">IF(F61="","",IF(AND(J61="ja",M61&lt;&gt;"",OR(K61="grün",K61="gelb"),LEN(G61)&lt;=60),"ja","nein"))</f>
        <v/>
      </c>
      <c r="U61" s="6" t="str">
        <f aca="false">IF(T61&lt;&gt;"nein","",IF(J61&lt;&gt;"ja","keine Freigabe",IF(M61="","nicht an der Quelle bestätigt",IF(K61="rot","Ampel rot — nicht öffentlich",IF(OR(K61="ohne Ampel",K61="nicht in Freigaben"),"Ampel fehlt",IF(LEN(G61)&gt;60,"Kurzinfo zu lang",""))))))</f>
        <v/>
      </c>
      <c r="V61" s="11"/>
    </row>
    <row r="62" customFormat="false" ht="15" hidden="false" customHeight="false" outlineLevel="0" collapsed="false">
      <c r="A62" s="11"/>
      <c r="B62" s="12"/>
      <c r="C62" s="6" t="str">
        <f aca="false">IF(B62="","",CHOOSE(WEEKDAY(B62,2),"Mo","Di","Mi","Do","Fr","Sa","So"))</f>
        <v/>
      </c>
      <c r="D62" s="16"/>
      <c r="E62" s="16"/>
      <c r="F62" s="11"/>
      <c r="G62" s="11"/>
      <c r="H62" s="7" t="str">
        <f aca="false">IF(G62="","",LEN(G62))</f>
        <v/>
      </c>
      <c r="I62" s="11"/>
      <c r="J62" s="6" t="str">
        <f aca="false">IF(I62="","",IF(COUNTIFS(Freigaben!$B$5:$B$58,I62,Freigaben!$M$5:$M$58,"freigegeben")&gt;0,"ja","nein"))</f>
        <v/>
      </c>
      <c r="K62" s="6" t="str">
        <f aca="false">IF(I62="","",IFERROR(IF(INDEX(Freigaben!$N$5:$N$58,MATCH(I62,Freigaben!$B$5:$B$58,0))="","ohne Ampel",INDEX(Freigaben!$N$5:$N$58,MATCH(I62,Freigaben!$B$5:$B$58,0))),"nicht in Freigaben"))</f>
        <v/>
      </c>
      <c r="L62" s="11"/>
      <c r="M62" s="12"/>
      <c r="N62" s="11"/>
      <c r="O62" s="11"/>
      <c r="P62" s="11"/>
      <c r="Q62" s="11"/>
      <c r="R62" s="11"/>
      <c r="S62" s="11"/>
      <c r="T62" s="6" t="str">
        <f aca="false">IF(F62="","",IF(AND(J62="ja",M62&lt;&gt;"",OR(K62="grün",K62="gelb"),LEN(G62)&lt;=60),"ja","nein"))</f>
        <v/>
      </c>
      <c r="U62" s="6" t="str">
        <f aca="false">IF(T62&lt;&gt;"nein","",IF(J62&lt;&gt;"ja","keine Freigabe",IF(M62="","nicht an der Quelle bestätigt",IF(K62="rot","Ampel rot — nicht öffentlich",IF(OR(K62="ohne Ampel",K62="nicht in Freigaben"),"Ampel fehlt",IF(LEN(G62)&gt;60,"Kurzinfo zu lang",""))))))</f>
        <v/>
      </c>
      <c r="V62" s="11"/>
    </row>
    <row r="63" customFormat="false" ht="15" hidden="false" customHeight="false" outlineLevel="0" collapsed="false">
      <c r="A63" s="11"/>
      <c r="B63" s="12"/>
      <c r="C63" s="6" t="str">
        <f aca="false">IF(B63="","",CHOOSE(WEEKDAY(B63,2),"Mo","Di","Mi","Do","Fr","Sa","So"))</f>
        <v/>
      </c>
      <c r="D63" s="16"/>
      <c r="E63" s="16"/>
      <c r="F63" s="11"/>
      <c r="G63" s="11"/>
      <c r="H63" s="7" t="str">
        <f aca="false">IF(G63="","",LEN(G63))</f>
        <v/>
      </c>
      <c r="I63" s="11"/>
      <c r="J63" s="6" t="str">
        <f aca="false">IF(I63="","",IF(COUNTIFS(Freigaben!$B$5:$B$58,I63,Freigaben!$M$5:$M$58,"freigegeben")&gt;0,"ja","nein"))</f>
        <v/>
      </c>
      <c r="K63" s="6" t="str">
        <f aca="false">IF(I63="","",IFERROR(IF(INDEX(Freigaben!$N$5:$N$58,MATCH(I63,Freigaben!$B$5:$B$58,0))="","ohne Ampel",INDEX(Freigaben!$N$5:$N$58,MATCH(I63,Freigaben!$B$5:$B$58,0))),"nicht in Freigaben"))</f>
        <v/>
      </c>
      <c r="L63" s="11"/>
      <c r="M63" s="12"/>
      <c r="N63" s="11"/>
      <c r="O63" s="11"/>
      <c r="P63" s="11"/>
      <c r="Q63" s="11"/>
      <c r="R63" s="11"/>
      <c r="S63" s="11"/>
      <c r="T63" s="6" t="str">
        <f aca="false">IF(F63="","",IF(AND(J63="ja",M63&lt;&gt;"",OR(K63="grün",K63="gelb"),LEN(G63)&lt;=60),"ja","nein"))</f>
        <v/>
      </c>
      <c r="U63" s="6" t="str">
        <f aca="false">IF(T63&lt;&gt;"nein","",IF(J63&lt;&gt;"ja","keine Freigabe",IF(M63="","nicht an der Quelle bestätigt",IF(K63="rot","Ampel rot — nicht öffentlich",IF(OR(K63="ohne Ampel",K63="nicht in Freigaben"),"Ampel fehlt",IF(LEN(G63)&gt;60,"Kurzinfo zu lang",""))))))</f>
        <v/>
      </c>
      <c r="V63" s="11"/>
    </row>
    <row r="64" customFormat="false" ht="15" hidden="false" customHeight="false" outlineLevel="0" collapsed="false">
      <c r="A64" s="11"/>
      <c r="B64" s="12"/>
      <c r="C64" s="6" t="str">
        <f aca="false">IF(B64="","",CHOOSE(WEEKDAY(B64,2),"Mo","Di","Mi","Do","Fr","Sa","So"))</f>
        <v/>
      </c>
      <c r="D64" s="16"/>
      <c r="E64" s="16"/>
      <c r="F64" s="11"/>
      <c r="G64" s="11"/>
      <c r="H64" s="7" t="str">
        <f aca="false">IF(G64="","",LEN(G64))</f>
        <v/>
      </c>
      <c r="I64" s="11"/>
      <c r="J64" s="6" t="str">
        <f aca="false">IF(I64="","",IF(COUNTIFS(Freigaben!$B$5:$B$58,I64,Freigaben!$M$5:$M$58,"freigegeben")&gt;0,"ja","nein"))</f>
        <v/>
      </c>
      <c r="K64" s="6" t="str">
        <f aca="false">IF(I64="","",IFERROR(IF(INDEX(Freigaben!$N$5:$N$58,MATCH(I64,Freigaben!$B$5:$B$58,0))="","ohne Ampel",INDEX(Freigaben!$N$5:$N$58,MATCH(I64,Freigaben!$B$5:$B$58,0))),"nicht in Freigaben"))</f>
        <v/>
      </c>
      <c r="L64" s="11"/>
      <c r="M64" s="12"/>
      <c r="N64" s="11"/>
      <c r="O64" s="11"/>
      <c r="P64" s="11"/>
      <c r="Q64" s="11"/>
      <c r="R64" s="11"/>
      <c r="S64" s="11"/>
      <c r="T64" s="6" t="str">
        <f aca="false">IF(F64="","",IF(AND(J64="ja",M64&lt;&gt;"",OR(K64="grün",K64="gelb"),LEN(G64)&lt;=60),"ja","nein"))</f>
        <v/>
      </c>
      <c r="U64" s="6" t="str">
        <f aca="false">IF(T64&lt;&gt;"nein","",IF(J64&lt;&gt;"ja","keine Freigabe",IF(M64="","nicht an der Quelle bestätigt",IF(K64="rot","Ampel rot — nicht öffentlich",IF(OR(K64="ohne Ampel",K64="nicht in Freigaben"),"Ampel fehlt",IF(LEN(G64)&gt;60,"Kurzinfo zu lang",""))))))</f>
        <v/>
      </c>
      <c r="V64" s="11"/>
    </row>
    <row r="65" customFormat="false" ht="15" hidden="false" customHeight="false" outlineLevel="0" collapsed="false">
      <c r="A65" s="11"/>
      <c r="B65" s="12"/>
      <c r="C65" s="6" t="str">
        <f aca="false">IF(B65="","",CHOOSE(WEEKDAY(B65,2),"Mo","Di","Mi","Do","Fr","Sa","So"))</f>
        <v/>
      </c>
      <c r="D65" s="16"/>
      <c r="E65" s="16"/>
      <c r="F65" s="11"/>
      <c r="G65" s="11"/>
      <c r="H65" s="7" t="str">
        <f aca="false">IF(G65="","",LEN(G65))</f>
        <v/>
      </c>
      <c r="I65" s="11"/>
      <c r="J65" s="6" t="str">
        <f aca="false">IF(I65="","",IF(COUNTIFS(Freigaben!$B$5:$B$58,I65,Freigaben!$M$5:$M$58,"freigegeben")&gt;0,"ja","nein"))</f>
        <v/>
      </c>
      <c r="K65" s="6" t="str">
        <f aca="false">IF(I65="","",IFERROR(IF(INDEX(Freigaben!$N$5:$N$58,MATCH(I65,Freigaben!$B$5:$B$58,0))="","ohne Ampel",INDEX(Freigaben!$N$5:$N$58,MATCH(I65,Freigaben!$B$5:$B$58,0))),"nicht in Freigaben"))</f>
        <v/>
      </c>
      <c r="L65" s="11"/>
      <c r="M65" s="12"/>
      <c r="N65" s="11"/>
      <c r="O65" s="11"/>
      <c r="P65" s="11"/>
      <c r="Q65" s="11"/>
      <c r="R65" s="11"/>
      <c r="S65" s="11"/>
      <c r="T65" s="6" t="str">
        <f aca="false">IF(F65="","",IF(AND(J65="ja",M65&lt;&gt;"",OR(K65="grün",K65="gelb"),LEN(G65)&lt;=60),"ja","nein"))</f>
        <v/>
      </c>
      <c r="U65" s="6" t="str">
        <f aca="false">IF(T65&lt;&gt;"nein","",IF(J65&lt;&gt;"ja","keine Freigabe",IF(M65="","nicht an der Quelle bestätigt",IF(K65="rot","Ampel rot — nicht öffentlich",IF(OR(K65="ohne Ampel",K65="nicht in Freigaben"),"Ampel fehlt",IF(LEN(G65)&gt;60,"Kurzinfo zu lang",""))))))</f>
        <v/>
      </c>
      <c r="V65" s="11"/>
    </row>
    <row r="66" customFormat="false" ht="15" hidden="false" customHeight="false" outlineLevel="0" collapsed="false">
      <c r="A66" s="11"/>
      <c r="B66" s="12"/>
      <c r="C66" s="6" t="str">
        <f aca="false">IF(B66="","",CHOOSE(WEEKDAY(B66,2),"Mo","Di","Mi","Do","Fr","Sa","So"))</f>
        <v/>
      </c>
      <c r="D66" s="16"/>
      <c r="E66" s="16"/>
      <c r="F66" s="11"/>
      <c r="G66" s="11"/>
      <c r="H66" s="7" t="str">
        <f aca="false">IF(G66="","",LEN(G66))</f>
        <v/>
      </c>
      <c r="I66" s="11"/>
      <c r="J66" s="6" t="str">
        <f aca="false">IF(I66="","",IF(COUNTIFS(Freigaben!$B$5:$B$58,I66,Freigaben!$M$5:$M$58,"freigegeben")&gt;0,"ja","nein"))</f>
        <v/>
      </c>
      <c r="K66" s="6" t="str">
        <f aca="false">IF(I66="","",IFERROR(IF(INDEX(Freigaben!$N$5:$N$58,MATCH(I66,Freigaben!$B$5:$B$58,0))="","ohne Ampel",INDEX(Freigaben!$N$5:$N$58,MATCH(I66,Freigaben!$B$5:$B$58,0))),"nicht in Freigaben"))</f>
        <v/>
      </c>
      <c r="L66" s="11"/>
      <c r="M66" s="12"/>
      <c r="N66" s="11"/>
      <c r="O66" s="11"/>
      <c r="P66" s="11"/>
      <c r="Q66" s="11"/>
      <c r="R66" s="11"/>
      <c r="S66" s="11"/>
      <c r="T66" s="6" t="str">
        <f aca="false">IF(F66="","",IF(AND(J66="ja",M66&lt;&gt;"",OR(K66="grün",K66="gelb"),LEN(G66)&lt;=60),"ja","nein"))</f>
        <v/>
      </c>
      <c r="U66" s="6" t="str">
        <f aca="false">IF(T66&lt;&gt;"nein","",IF(J66&lt;&gt;"ja","keine Freigabe",IF(M66="","nicht an der Quelle bestätigt",IF(K66="rot","Ampel rot — nicht öffentlich",IF(OR(K66="ohne Ampel",K66="nicht in Freigaben"),"Ampel fehlt",IF(LEN(G66)&gt;60,"Kurzinfo zu lang",""))))))</f>
        <v/>
      </c>
      <c r="V66" s="11"/>
    </row>
    <row r="67" customFormat="false" ht="15" hidden="false" customHeight="false" outlineLevel="0" collapsed="false">
      <c r="A67" s="11"/>
      <c r="B67" s="12"/>
      <c r="C67" s="6" t="str">
        <f aca="false">IF(B67="","",CHOOSE(WEEKDAY(B67,2),"Mo","Di","Mi","Do","Fr","Sa","So"))</f>
        <v/>
      </c>
      <c r="D67" s="16"/>
      <c r="E67" s="16"/>
      <c r="F67" s="11"/>
      <c r="G67" s="11"/>
      <c r="H67" s="7" t="str">
        <f aca="false">IF(G67="","",LEN(G67))</f>
        <v/>
      </c>
      <c r="I67" s="11"/>
      <c r="J67" s="6" t="str">
        <f aca="false">IF(I67="","",IF(COUNTIFS(Freigaben!$B$5:$B$58,I67,Freigaben!$M$5:$M$58,"freigegeben")&gt;0,"ja","nein"))</f>
        <v/>
      </c>
      <c r="K67" s="6" t="str">
        <f aca="false">IF(I67="","",IFERROR(IF(INDEX(Freigaben!$N$5:$N$58,MATCH(I67,Freigaben!$B$5:$B$58,0))="","ohne Ampel",INDEX(Freigaben!$N$5:$N$58,MATCH(I67,Freigaben!$B$5:$B$58,0))),"nicht in Freigaben"))</f>
        <v/>
      </c>
      <c r="L67" s="11"/>
      <c r="M67" s="12"/>
      <c r="N67" s="11"/>
      <c r="O67" s="11"/>
      <c r="P67" s="11"/>
      <c r="Q67" s="11"/>
      <c r="R67" s="11"/>
      <c r="S67" s="11"/>
      <c r="T67" s="6" t="str">
        <f aca="false">IF(F67="","",IF(AND(J67="ja",M67&lt;&gt;"",OR(K67="grün",K67="gelb"),LEN(G67)&lt;=60),"ja","nein"))</f>
        <v/>
      </c>
      <c r="U67" s="6" t="str">
        <f aca="false">IF(T67&lt;&gt;"nein","",IF(J67&lt;&gt;"ja","keine Freigabe",IF(M67="","nicht an der Quelle bestätigt",IF(K67="rot","Ampel rot — nicht öffentlich",IF(OR(K67="ohne Ampel",K67="nicht in Freigaben"),"Ampel fehlt",IF(LEN(G67)&gt;60,"Kurzinfo zu lang",""))))))</f>
        <v/>
      </c>
      <c r="V67" s="11"/>
    </row>
    <row r="68" customFormat="false" ht="15" hidden="false" customHeight="false" outlineLevel="0" collapsed="false">
      <c r="A68" s="11"/>
      <c r="B68" s="12"/>
      <c r="C68" s="6" t="str">
        <f aca="false">IF(B68="","",CHOOSE(WEEKDAY(B68,2),"Mo","Di","Mi","Do","Fr","Sa","So"))</f>
        <v/>
      </c>
      <c r="D68" s="16"/>
      <c r="E68" s="16"/>
      <c r="F68" s="11"/>
      <c r="G68" s="11"/>
      <c r="H68" s="7" t="str">
        <f aca="false">IF(G68="","",LEN(G68))</f>
        <v/>
      </c>
      <c r="I68" s="11"/>
      <c r="J68" s="6" t="str">
        <f aca="false">IF(I68="","",IF(COUNTIFS(Freigaben!$B$5:$B$58,I68,Freigaben!$M$5:$M$58,"freigegeben")&gt;0,"ja","nein"))</f>
        <v/>
      </c>
      <c r="K68" s="6" t="str">
        <f aca="false">IF(I68="","",IFERROR(IF(INDEX(Freigaben!$N$5:$N$58,MATCH(I68,Freigaben!$B$5:$B$58,0))="","ohne Ampel",INDEX(Freigaben!$N$5:$N$58,MATCH(I68,Freigaben!$B$5:$B$58,0))),"nicht in Freigaben"))</f>
        <v/>
      </c>
      <c r="L68" s="11"/>
      <c r="M68" s="12"/>
      <c r="N68" s="11"/>
      <c r="O68" s="11"/>
      <c r="P68" s="11"/>
      <c r="Q68" s="11"/>
      <c r="R68" s="11"/>
      <c r="S68" s="11"/>
      <c r="T68" s="6" t="str">
        <f aca="false">IF(F68="","",IF(AND(J68="ja",M68&lt;&gt;"",OR(K68="grün",K68="gelb"),LEN(G68)&lt;=60),"ja","nein"))</f>
        <v/>
      </c>
      <c r="U68" s="6" t="str">
        <f aca="false">IF(T68&lt;&gt;"nein","",IF(J68&lt;&gt;"ja","keine Freigabe",IF(M68="","nicht an der Quelle bestätigt",IF(K68="rot","Ampel rot — nicht öffentlich",IF(OR(K68="ohne Ampel",K68="nicht in Freigaben"),"Ampel fehlt",IF(LEN(G68)&gt;60,"Kurzinfo zu lang",""))))))</f>
        <v/>
      </c>
      <c r="V68" s="11"/>
    </row>
    <row r="69" customFormat="false" ht="15" hidden="false" customHeight="false" outlineLevel="0" collapsed="false">
      <c r="A69" s="11"/>
      <c r="B69" s="12"/>
      <c r="C69" s="6" t="str">
        <f aca="false">IF(B69="","",CHOOSE(WEEKDAY(B69,2),"Mo","Di","Mi","Do","Fr","Sa","So"))</f>
        <v/>
      </c>
      <c r="D69" s="16"/>
      <c r="E69" s="16"/>
      <c r="F69" s="11"/>
      <c r="G69" s="11"/>
      <c r="H69" s="7" t="str">
        <f aca="false">IF(G69="","",LEN(G69))</f>
        <v/>
      </c>
      <c r="I69" s="11"/>
      <c r="J69" s="6" t="str">
        <f aca="false">IF(I69="","",IF(COUNTIFS(Freigaben!$B$5:$B$58,I69,Freigaben!$M$5:$M$58,"freigegeben")&gt;0,"ja","nein"))</f>
        <v/>
      </c>
      <c r="K69" s="6" t="str">
        <f aca="false">IF(I69="","",IFERROR(IF(INDEX(Freigaben!$N$5:$N$58,MATCH(I69,Freigaben!$B$5:$B$58,0))="","ohne Ampel",INDEX(Freigaben!$N$5:$N$58,MATCH(I69,Freigaben!$B$5:$B$58,0))),"nicht in Freigaben"))</f>
        <v/>
      </c>
      <c r="L69" s="11"/>
      <c r="M69" s="12"/>
      <c r="N69" s="11"/>
      <c r="O69" s="11"/>
      <c r="P69" s="11"/>
      <c r="Q69" s="11"/>
      <c r="R69" s="11"/>
      <c r="S69" s="11"/>
      <c r="T69" s="6" t="str">
        <f aca="false">IF(F69="","",IF(AND(J69="ja",M69&lt;&gt;"",OR(K69="grün",K69="gelb"),LEN(G69)&lt;=60),"ja","nein"))</f>
        <v/>
      </c>
      <c r="U69" s="6" t="str">
        <f aca="false">IF(T69&lt;&gt;"nein","",IF(J69&lt;&gt;"ja","keine Freigabe",IF(M69="","nicht an der Quelle bestätigt",IF(K69="rot","Ampel rot — nicht öffentlich",IF(OR(K69="ohne Ampel",K69="nicht in Freigaben"),"Ampel fehlt",IF(LEN(G69)&gt;60,"Kurzinfo zu lang",""))))))</f>
        <v/>
      </c>
      <c r="V69" s="11"/>
    </row>
    <row r="70" customFormat="false" ht="15" hidden="false" customHeight="false" outlineLevel="0" collapsed="false">
      <c r="A70" s="11"/>
      <c r="B70" s="12"/>
      <c r="C70" s="6" t="str">
        <f aca="false">IF(B70="","",CHOOSE(WEEKDAY(B70,2),"Mo","Di","Mi","Do","Fr","Sa","So"))</f>
        <v/>
      </c>
      <c r="D70" s="16"/>
      <c r="E70" s="16"/>
      <c r="F70" s="11"/>
      <c r="G70" s="11"/>
      <c r="H70" s="7" t="str">
        <f aca="false">IF(G70="","",LEN(G70))</f>
        <v/>
      </c>
      <c r="I70" s="11"/>
      <c r="J70" s="6" t="str">
        <f aca="false">IF(I70="","",IF(COUNTIFS(Freigaben!$B$5:$B$58,I70,Freigaben!$M$5:$M$58,"freigegeben")&gt;0,"ja","nein"))</f>
        <v/>
      </c>
      <c r="K70" s="6" t="str">
        <f aca="false">IF(I70="","",IFERROR(IF(INDEX(Freigaben!$N$5:$N$58,MATCH(I70,Freigaben!$B$5:$B$58,0))="","ohne Ampel",INDEX(Freigaben!$N$5:$N$58,MATCH(I70,Freigaben!$B$5:$B$58,0))),"nicht in Freigaben"))</f>
        <v/>
      </c>
      <c r="L70" s="11"/>
      <c r="M70" s="12"/>
      <c r="N70" s="11"/>
      <c r="O70" s="11"/>
      <c r="P70" s="11"/>
      <c r="Q70" s="11"/>
      <c r="R70" s="11"/>
      <c r="S70" s="11"/>
      <c r="T70" s="6" t="str">
        <f aca="false">IF(F70="","",IF(AND(J70="ja",M70&lt;&gt;"",OR(K70="grün",K70="gelb"),LEN(G70)&lt;=60),"ja","nein"))</f>
        <v/>
      </c>
      <c r="U70" s="6" t="str">
        <f aca="false">IF(T70&lt;&gt;"nein","",IF(J70&lt;&gt;"ja","keine Freigabe",IF(M70="","nicht an der Quelle bestätigt",IF(K70="rot","Ampel rot — nicht öffentlich",IF(OR(K70="ohne Ampel",K70="nicht in Freigaben"),"Ampel fehlt",IF(LEN(G70)&gt;60,"Kurzinfo zu lang",""))))))</f>
        <v/>
      </c>
      <c r="V70" s="11"/>
    </row>
    <row r="71" customFormat="false" ht="15" hidden="false" customHeight="false" outlineLevel="0" collapsed="false">
      <c r="A71" s="11"/>
      <c r="B71" s="12"/>
      <c r="C71" s="6" t="str">
        <f aca="false">IF(B71="","",CHOOSE(WEEKDAY(B71,2),"Mo","Di","Mi","Do","Fr","Sa","So"))</f>
        <v/>
      </c>
      <c r="D71" s="16"/>
      <c r="E71" s="16"/>
      <c r="F71" s="11"/>
      <c r="G71" s="11"/>
      <c r="H71" s="7" t="str">
        <f aca="false">IF(G71="","",LEN(G71))</f>
        <v/>
      </c>
      <c r="I71" s="11"/>
      <c r="J71" s="6" t="str">
        <f aca="false">IF(I71="","",IF(COUNTIFS(Freigaben!$B$5:$B$58,I71,Freigaben!$M$5:$M$58,"freigegeben")&gt;0,"ja","nein"))</f>
        <v/>
      </c>
      <c r="K71" s="6" t="str">
        <f aca="false">IF(I71="","",IFERROR(IF(INDEX(Freigaben!$N$5:$N$58,MATCH(I71,Freigaben!$B$5:$B$58,0))="","ohne Ampel",INDEX(Freigaben!$N$5:$N$58,MATCH(I71,Freigaben!$B$5:$B$58,0))),"nicht in Freigaben"))</f>
        <v/>
      </c>
      <c r="L71" s="11"/>
      <c r="M71" s="12"/>
      <c r="N71" s="11"/>
      <c r="O71" s="11"/>
      <c r="P71" s="11"/>
      <c r="Q71" s="11"/>
      <c r="R71" s="11"/>
      <c r="S71" s="11"/>
      <c r="T71" s="6" t="str">
        <f aca="false">IF(F71="","",IF(AND(J71="ja",M71&lt;&gt;"",OR(K71="grün",K71="gelb"),LEN(G71)&lt;=60),"ja","nein"))</f>
        <v/>
      </c>
      <c r="U71" s="6" t="str">
        <f aca="false">IF(T71&lt;&gt;"nein","",IF(J71&lt;&gt;"ja","keine Freigabe",IF(M71="","nicht an der Quelle bestätigt",IF(K71="rot","Ampel rot — nicht öffentlich",IF(OR(K71="ohne Ampel",K71="nicht in Freigaben"),"Ampel fehlt",IF(LEN(G71)&gt;60,"Kurzinfo zu lang",""))))))</f>
        <v/>
      </c>
      <c r="V71" s="11"/>
    </row>
    <row r="72" customFormat="false" ht="15" hidden="false" customHeight="false" outlineLevel="0" collapsed="false">
      <c r="A72" s="11"/>
      <c r="B72" s="12"/>
      <c r="C72" s="6" t="str">
        <f aca="false">IF(B72="","",CHOOSE(WEEKDAY(B72,2),"Mo","Di","Mi","Do","Fr","Sa","So"))</f>
        <v/>
      </c>
      <c r="D72" s="16"/>
      <c r="E72" s="16"/>
      <c r="F72" s="11"/>
      <c r="G72" s="11"/>
      <c r="H72" s="7" t="str">
        <f aca="false">IF(G72="","",LEN(G72))</f>
        <v/>
      </c>
      <c r="I72" s="11"/>
      <c r="J72" s="6" t="str">
        <f aca="false">IF(I72="","",IF(COUNTIFS(Freigaben!$B$5:$B$58,I72,Freigaben!$M$5:$M$58,"freigegeben")&gt;0,"ja","nein"))</f>
        <v/>
      </c>
      <c r="K72" s="6" t="str">
        <f aca="false">IF(I72="","",IFERROR(IF(INDEX(Freigaben!$N$5:$N$58,MATCH(I72,Freigaben!$B$5:$B$58,0))="","ohne Ampel",INDEX(Freigaben!$N$5:$N$58,MATCH(I72,Freigaben!$B$5:$B$58,0))),"nicht in Freigaben"))</f>
        <v/>
      </c>
      <c r="L72" s="11"/>
      <c r="M72" s="12"/>
      <c r="N72" s="11"/>
      <c r="O72" s="11"/>
      <c r="P72" s="11"/>
      <c r="Q72" s="11"/>
      <c r="R72" s="11"/>
      <c r="S72" s="11"/>
      <c r="T72" s="6" t="str">
        <f aca="false">IF(F72="","",IF(AND(J72="ja",M72&lt;&gt;"",OR(K72="grün",K72="gelb"),LEN(G72)&lt;=60),"ja","nein"))</f>
        <v/>
      </c>
      <c r="U72" s="6" t="str">
        <f aca="false">IF(T72&lt;&gt;"nein","",IF(J72&lt;&gt;"ja","keine Freigabe",IF(M72="","nicht an der Quelle bestätigt",IF(K72="rot","Ampel rot — nicht öffentlich",IF(OR(K72="ohne Ampel",K72="nicht in Freigaben"),"Ampel fehlt",IF(LEN(G72)&gt;60,"Kurzinfo zu lang",""))))))</f>
        <v/>
      </c>
      <c r="V72" s="11"/>
    </row>
    <row r="73" customFormat="false" ht="15" hidden="false" customHeight="false" outlineLevel="0" collapsed="false">
      <c r="A73" s="11"/>
      <c r="B73" s="12"/>
      <c r="C73" s="6" t="str">
        <f aca="false">IF(B73="","",CHOOSE(WEEKDAY(B73,2),"Mo","Di","Mi","Do","Fr","Sa","So"))</f>
        <v/>
      </c>
      <c r="D73" s="16"/>
      <c r="E73" s="16"/>
      <c r="F73" s="11"/>
      <c r="G73" s="11"/>
      <c r="H73" s="7" t="str">
        <f aca="false">IF(G73="","",LEN(G73))</f>
        <v/>
      </c>
      <c r="I73" s="11"/>
      <c r="J73" s="6" t="str">
        <f aca="false">IF(I73="","",IF(COUNTIFS(Freigaben!$B$5:$B$58,I73,Freigaben!$M$5:$M$58,"freigegeben")&gt;0,"ja","nein"))</f>
        <v/>
      </c>
      <c r="K73" s="6" t="str">
        <f aca="false">IF(I73="","",IFERROR(IF(INDEX(Freigaben!$N$5:$N$58,MATCH(I73,Freigaben!$B$5:$B$58,0))="","ohne Ampel",INDEX(Freigaben!$N$5:$N$58,MATCH(I73,Freigaben!$B$5:$B$58,0))),"nicht in Freigaben"))</f>
        <v/>
      </c>
      <c r="L73" s="11"/>
      <c r="M73" s="12"/>
      <c r="N73" s="11"/>
      <c r="O73" s="11"/>
      <c r="P73" s="11"/>
      <c r="Q73" s="11"/>
      <c r="R73" s="11"/>
      <c r="S73" s="11"/>
      <c r="T73" s="6" t="str">
        <f aca="false">IF(F73="","",IF(AND(J73="ja",M73&lt;&gt;"",OR(K73="grün",K73="gelb"),LEN(G73)&lt;=60),"ja","nein"))</f>
        <v/>
      </c>
      <c r="U73" s="6" t="str">
        <f aca="false">IF(T73&lt;&gt;"nein","",IF(J73&lt;&gt;"ja","keine Freigabe",IF(M73="","nicht an der Quelle bestätigt",IF(K73="rot","Ampel rot — nicht öffentlich",IF(OR(K73="ohne Ampel",K73="nicht in Freigaben"),"Ampel fehlt",IF(LEN(G73)&gt;60,"Kurzinfo zu lang",""))))))</f>
        <v/>
      </c>
      <c r="V73" s="11"/>
    </row>
    <row r="74" customFormat="false" ht="15" hidden="false" customHeight="false" outlineLevel="0" collapsed="false">
      <c r="A74" s="11"/>
      <c r="B74" s="12"/>
      <c r="C74" s="6" t="str">
        <f aca="false">IF(B74="","",CHOOSE(WEEKDAY(B74,2),"Mo","Di","Mi","Do","Fr","Sa","So"))</f>
        <v/>
      </c>
      <c r="D74" s="16"/>
      <c r="E74" s="16"/>
      <c r="F74" s="11"/>
      <c r="G74" s="11"/>
      <c r="H74" s="7" t="str">
        <f aca="false">IF(G74="","",LEN(G74))</f>
        <v/>
      </c>
      <c r="I74" s="11"/>
      <c r="J74" s="6" t="str">
        <f aca="false">IF(I74="","",IF(COUNTIFS(Freigaben!$B$5:$B$58,I74,Freigaben!$M$5:$M$58,"freigegeben")&gt;0,"ja","nein"))</f>
        <v/>
      </c>
      <c r="K74" s="6" t="str">
        <f aca="false">IF(I74="","",IFERROR(IF(INDEX(Freigaben!$N$5:$N$58,MATCH(I74,Freigaben!$B$5:$B$58,0))="","ohne Ampel",INDEX(Freigaben!$N$5:$N$58,MATCH(I74,Freigaben!$B$5:$B$58,0))),"nicht in Freigaben"))</f>
        <v/>
      </c>
      <c r="L74" s="11"/>
      <c r="M74" s="12"/>
      <c r="N74" s="11"/>
      <c r="O74" s="11"/>
      <c r="P74" s="11"/>
      <c r="Q74" s="11"/>
      <c r="R74" s="11"/>
      <c r="S74" s="11"/>
      <c r="T74" s="6" t="str">
        <f aca="false">IF(F74="","",IF(AND(J74="ja",M74&lt;&gt;"",OR(K74="grün",K74="gelb"),LEN(G74)&lt;=60),"ja","nein"))</f>
        <v/>
      </c>
      <c r="U74" s="6" t="str">
        <f aca="false">IF(T74&lt;&gt;"nein","",IF(J74&lt;&gt;"ja","keine Freigabe",IF(M74="","nicht an der Quelle bestätigt",IF(K74="rot","Ampel rot — nicht öffentlich",IF(OR(K74="ohne Ampel",K74="nicht in Freigaben"),"Ampel fehlt",IF(LEN(G74)&gt;60,"Kurzinfo zu lang",""))))))</f>
        <v/>
      </c>
      <c r="V74" s="11"/>
    </row>
    <row r="75" customFormat="false" ht="15" hidden="false" customHeight="false" outlineLevel="0" collapsed="false">
      <c r="A75" s="11"/>
      <c r="B75" s="12"/>
      <c r="C75" s="6" t="str">
        <f aca="false">IF(B75="","",CHOOSE(WEEKDAY(B75,2),"Mo","Di","Mi","Do","Fr","Sa","So"))</f>
        <v/>
      </c>
      <c r="D75" s="16"/>
      <c r="E75" s="16"/>
      <c r="F75" s="11"/>
      <c r="G75" s="11"/>
      <c r="H75" s="7" t="str">
        <f aca="false">IF(G75="","",LEN(G75))</f>
        <v/>
      </c>
      <c r="I75" s="11"/>
      <c r="J75" s="6" t="str">
        <f aca="false">IF(I75="","",IF(COUNTIFS(Freigaben!$B$5:$B$58,I75,Freigaben!$M$5:$M$58,"freigegeben")&gt;0,"ja","nein"))</f>
        <v/>
      </c>
      <c r="K75" s="6" t="str">
        <f aca="false">IF(I75="","",IFERROR(IF(INDEX(Freigaben!$N$5:$N$58,MATCH(I75,Freigaben!$B$5:$B$58,0))="","ohne Ampel",INDEX(Freigaben!$N$5:$N$58,MATCH(I75,Freigaben!$B$5:$B$58,0))),"nicht in Freigaben"))</f>
        <v/>
      </c>
      <c r="L75" s="11"/>
      <c r="M75" s="12"/>
      <c r="N75" s="11"/>
      <c r="O75" s="11"/>
      <c r="P75" s="11"/>
      <c r="Q75" s="11"/>
      <c r="R75" s="11"/>
      <c r="S75" s="11"/>
      <c r="T75" s="6" t="str">
        <f aca="false">IF(F75="","",IF(AND(J75="ja",M75&lt;&gt;"",OR(K75="grün",K75="gelb"),LEN(G75)&lt;=60),"ja","nein"))</f>
        <v/>
      </c>
      <c r="U75" s="6" t="str">
        <f aca="false">IF(T75&lt;&gt;"nein","",IF(J75&lt;&gt;"ja","keine Freigabe",IF(M75="","nicht an der Quelle bestätigt",IF(K75="rot","Ampel rot — nicht öffentlich",IF(OR(K75="ohne Ampel",K75="nicht in Freigaben"),"Ampel fehlt",IF(LEN(G75)&gt;60,"Kurzinfo zu lang",""))))))</f>
        <v/>
      </c>
      <c r="V75" s="11"/>
    </row>
    <row r="76" customFormat="false" ht="15" hidden="false" customHeight="false" outlineLevel="0" collapsed="false">
      <c r="A76" s="11"/>
      <c r="B76" s="12"/>
      <c r="C76" s="6" t="str">
        <f aca="false">IF(B76="","",CHOOSE(WEEKDAY(B76,2),"Mo","Di","Mi","Do","Fr","Sa","So"))</f>
        <v/>
      </c>
      <c r="D76" s="16"/>
      <c r="E76" s="16"/>
      <c r="F76" s="11"/>
      <c r="G76" s="11"/>
      <c r="H76" s="7" t="str">
        <f aca="false">IF(G76="","",LEN(G76))</f>
        <v/>
      </c>
      <c r="I76" s="11"/>
      <c r="J76" s="6" t="str">
        <f aca="false">IF(I76="","",IF(COUNTIFS(Freigaben!$B$5:$B$58,I76,Freigaben!$M$5:$M$58,"freigegeben")&gt;0,"ja","nein"))</f>
        <v/>
      </c>
      <c r="K76" s="6" t="str">
        <f aca="false">IF(I76="","",IFERROR(IF(INDEX(Freigaben!$N$5:$N$58,MATCH(I76,Freigaben!$B$5:$B$58,0))="","ohne Ampel",INDEX(Freigaben!$N$5:$N$58,MATCH(I76,Freigaben!$B$5:$B$58,0))),"nicht in Freigaben"))</f>
        <v/>
      </c>
      <c r="L76" s="11"/>
      <c r="M76" s="12"/>
      <c r="N76" s="11"/>
      <c r="O76" s="11"/>
      <c r="P76" s="11"/>
      <c r="Q76" s="11"/>
      <c r="R76" s="11"/>
      <c r="S76" s="11"/>
      <c r="T76" s="6" t="str">
        <f aca="false">IF(F76="","",IF(AND(J76="ja",M76&lt;&gt;"",OR(K76="grün",K76="gelb"),LEN(G76)&lt;=60),"ja","nein"))</f>
        <v/>
      </c>
      <c r="U76" s="6" t="str">
        <f aca="false">IF(T76&lt;&gt;"nein","",IF(J76&lt;&gt;"ja","keine Freigabe",IF(M76="","nicht an der Quelle bestätigt",IF(K76="rot","Ampel rot — nicht öffentlich",IF(OR(K76="ohne Ampel",K76="nicht in Freigaben"),"Ampel fehlt",IF(LEN(G76)&gt;60,"Kurzinfo zu lang",""))))))</f>
        <v/>
      </c>
      <c r="V76" s="11"/>
    </row>
    <row r="77" customFormat="false" ht="15" hidden="false" customHeight="false" outlineLevel="0" collapsed="false">
      <c r="A77" s="11"/>
      <c r="B77" s="12"/>
      <c r="C77" s="6" t="str">
        <f aca="false">IF(B77="","",CHOOSE(WEEKDAY(B77,2),"Mo","Di","Mi","Do","Fr","Sa","So"))</f>
        <v/>
      </c>
      <c r="D77" s="16"/>
      <c r="E77" s="16"/>
      <c r="F77" s="11"/>
      <c r="G77" s="11"/>
      <c r="H77" s="7" t="str">
        <f aca="false">IF(G77="","",LEN(G77))</f>
        <v/>
      </c>
      <c r="I77" s="11"/>
      <c r="J77" s="6" t="str">
        <f aca="false">IF(I77="","",IF(COUNTIFS(Freigaben!$B$5:$B$58,I77,Freigaben!$M$5:$M$58,"freigegeben")&gt;0,"ja","nein"))</f>
        <v/>
      </c>
      <c r="K77" s="6" t="str">
        <f aca="false">IF(I77="","",IFERROR(IF(INDEX(Freigaben!$N$5:$N$58,MATCH(I77,Freigaben!$B$5:$B$58,0))="","ohne Ampel",INDEX(Freigaben!$N$5:$N$58,MATCH(I77,Freigaben!$B$5:$B$58,0))),"nicht in Freigaben"))</f>
        <v/>
      </c>
      <c r="L77" s="11"/>
      <c r="M77" s="12"/>
      <c r="N77" s="11"/>
      <c r="O77" s="11"/>
      <c r="P77" s="11"/>
      <c r="Q77" s="11"/>
      <c r="R77" s="11"/>
      <c r="S77" s="11"/>
      <c r="T77" s="6" t="str">
        <f aca="false">IF(F77="","",IF(AND(J77="ja",M77&lt;&gt;"",OR(K77="grün",K77="gelb"),LEN(G77)&lt;=60),"ja","nein"))</f>
        <v/>
      </c>
      <c r="U77" s="6" t="str">
        <f aca="false">IF(T77&lt;&gt;"nein","",IF(J77&lt;&gt;"ja","keine Freigabe",IF(M77="","nicht an der Quelle bestätigt",IF(K77="rot","Ampel rot — nicht öffentlich",IF(OR(K77="ohne Ampel",K77="nicht in Freigaben"),"Ampel fehlt",IF(LEN(G77)&gt;60,"Kurzinfo zu lang",""))))))</f>
        <v/>
      </c>
      <c r="V77" s="11"/>
    </row>
    <row r="78" customFormat="false" ht="15" hidden="false" customHeight="false" outlineLevel="0" collapsed="false">
      <c r="A78" s="11"/>
      <c r="B78" s="12"/>
      <c r="C78" s="6" t="str">
        <f aca="false">IF(B78="","",CHOOSE(WEEKDAY(B78,2),"Mo","Di","Mi","Do","Fr","Sa","So"))</f>
        <v/>
      </c>
      <c r="D78" s="16"/>
      <c r="E78" s="16"/>
      <c r="F78" s="11"/>
      <c r="G78" s="11"/>
      <c r="H78" s="7" t="str">
        <f aca="false">IF(G78="","",LEN(G78))</f>
        <v/>
      </c>
      <c r="I78" s="11"/>
      <c r="J78" s="6" t="str">
        <f aca="false">IF(I78="","",IF(COUNTIFS(Freigaben!$B$5:$B$58,I78,Freigaben!$M$5:$M$58,"freigegeben")&gt;0,"ja","nein"))</f>
        <v/>
      </c>
      <c r="K78" s="6" t="str">
        <f aca="false">IF(I78="","",IFERROR(IF(INDEX(Freigaben!$N$5:$N$58,MATCH(I78,Freigaben!$B$5:$B$58,0))="","ohne Ampel",INDEX(Freigaben!$N$5:$N$58,MATCH(I78,Freigaben!$B$5:$B$58,0))),"nicht in Freigaben"))</f>
        <v/>
      </c>
      <c r="L78" s="11"/>
      <c r="M78" s="12"/>
      <c r="N78" s="11"/>
      <c r="O78" s="11"/>
      <c r="P78" s="11"/>
      <c r="Q78" s="11"/>
      <c r="R78" s="11"/>
      <c r="S78" s="11"/>
      <c r="T78" s="6" t="str">
        <f aca="false">IF(F78="","",IF(AND(J78="ja",M78&lt;&gt;"",OR(K78="grün",K78="gelb"),LEN(G78)&lt;=60),"ja","nein"))</f>
        <v/>
      </c>
      <c r="U78" s="6" t="str">
        <f aca="false">IF(T78&lt;&gt;"nein","",IF(J78&lt;&gt;"ja","keine Freigabe",IF(M78="","nicht an der Quelle bestätigt",IF(K78="rot","Ampel rot — nicht öffentlich",IF(OR(K78="ohne Ampel",K78="nicht in Freigaben"),"Ampel fehlt",IF(LEN(G78)&gt;60,"Kurzinfo zu lang",""))))))</f>
        <v/>
      </c>
      <c r="V78" s="11"/>
    </row>
    <row r="79" customFormat="false" ht="15" hidden="false" customHeight="false" outlineLevel="0" collapsed="false">
      <c r="A79" s="11"/>
      <c r="B79" s="12"/>
      <c r="C79" s="6" t="str">
        <f aca="false">IF(B79="","",CHOOSE(WEEKDAY(B79,2),"Mo","Di","Mi","Do","Fr","Sa","So"))</f>
        <v/>
      </c>
      <c r="D79" s="16"/>
      <c r="E79" s="16"/>
      <c r="F79" s="11"/>
      <c r="G79" s="11"/>
      <c r="H79" s="7" t="str">
        <f aca="false">IF(G79="","",LEN(G79))</f>
        <v/>
      </c>
      <c r="I79" s="11"/>
      <c r="J79" s="6" t="str">
        <f aca="false">IF(I79="","",IF(COUNTIFS(Freigaben!$B$5:$B$58,I79,Freigaben!$M$5:$M$58,"freigegeben")&gt;0,"ja","nein"))</f>
        <v/>
      </c>
      <c r="K79" s="6" t="str">
        <f aca="false">IF(I79="","",IFERROR(IF(INDEX(Freigaben!$N$5:$N$58,MATCH(I79,Freigaben!$B$5:$B$58,0))="","ohne Ampel",INDEX(Freigaben!$N$5:$N$58,MATCH(I79,Freigaben!$B$5:$B$58,0))),"nicht in Freigaben"))</f>
        <v/>
      </c>
      <c r="L79" s="11"/>
      <c r="M79" s="12"/>
      <c r="N79" s="11"/>
      <c r="O79" s="11"/>
      <c r="P79" s="11"/>
      <c r="Q79" s="11"/>
      <c r="R79" s="11"/>
      <c r="S79" s="11"/>
      <c r="T79" s="6" t="str">
        <f aca="false">IF(F79="","",IF(AND(J79="ja",M79&lt;&gt;"",OR(K79="grün",K79="gelb"),LEN(G79)&lt;=60),"ja","nein"))</f>
        <v/>
      </c>
      <c r="U79" s="6" t="str">
        <f aca="false">IF(T79&lt;&gt;"nein","",IF(J79&lt;&gt;"ja","keine Freigabe",IF(M79="","nicht an der Quelle bestätigt",IF(K79="rot","Ampel rot — nicht öffentlich",IF(OR(K79="ohne Ampel",K79="nicht in Freigaben"),"Ampel fehlt",IF(LEN(G79)&gt;60,"Kurzinfo zu lang",""))))))</f>
        <v/>
      </c>
      <c r="V79" s="11"/>
    </row>
    <row r="80" customFormat="false" ht="15" hidden="false" customHeight="false" outlineLevel="0" collapsed="false">
      <c r="A80" s="11"/>
      <c r="B80" s="12"/>
      <c r="C80" s="6" t="str">
        <f aca="false">IF(B80="","",CHOOSE(WEEKDAY(B80,2),"Mo","Di","Mi","Do","Fr","Sa","So"))</f>
        <v/>
      </c>
      <c r="D80" s="16"/>
      <c r="E80" s="16"/>
      <c r="F80" s="11"/>
      <c r="G80" s="11"/>
      <c r="H80" s="7" t="str">
        <f aca="false">IF(G80="","",LEN(G80))</f>
        <v/>
      </c>
      <c r="I80" s="11"/>
      <c r="J80" s="6" t="str">
        <f aca="false">IF(I80="","",IF(COUNTIFS(Freigaben!$B$5:$B$58,I80,Freigaben!$M$5:$M$58,"freigegeben")&gt;0,"ja","nein"))</f>
        <v/>
      </c>
      <c r="K80" s="6" t="str">
        <f aca="false">IF(I80="","",IFERROR(IF(INDEX(Freigaben!$N$5:$N$58,MATCH(I80,Freigaben!$B$5:$B$58,0))="","ohne Ampel",INDEX(Freigaben!$N$5:$N$58,MATCH(I80,Freigaben!$B$5:$B$58,0))),"nicht in Freigaben"))</f>
        <v/>
      </c>
      <c r="L80" s="11"/>
      <c r="M80" s="12"/>
      <c r="N80" s="11"/>
      <c r="O80" s="11"/>
      <c r="P80" s="11"/>
      <c r="Q80" s="11"/>
      <c r="R80" s="11"/>
      <c r="S80" s="11"/>
      <c r="T80" s="6" t="str">
        <f aca="false">IF(F80="","",IF(AND(J80="ja",M80&lt;&gt;"",OR(K80="grün",K80="gelb"),LEN(G80)&lt;=60),"ja","nein"))</f>
        <v/>
      </c>
      <c r="U80" s="6" t="str">
        <f aca="false">IF(T80&lt;&gt;"nein","",IF(J80&lt;&gt;"ja","keine Freigabe",IF(M80="","nicht an der Quelle bestätigt",IF(K80="rot","Ampel rot — nicht öffentlich",IF(OR(K80="ohne Ampel",K80="nicht in Freigaben"),"Ampel fehlt",IF(LEN(G80)&gt;60,"Kurzinfo zu lang",""))))))</f>
        <v/>
      </c>
      <c r="V80" s="11"/>
    </row>
    <row r="81" customFormat="false" ht="15" hidden="false" customHeight="false" outlineLevel="0" collapsed="false">
      <c r="A81" s="11"/>
      <c r="B81" s="12"/>
      <c r="C81" s="6" t="str">
        <f aca="false">IF(B81="","",CHOOSE(WEEKDAY(B81,2),"Mo","Di","Mi","Do","Fr","Sa","So"))</f>
        <v/>
      </c>
      <c r="D81" s="16"/>
      <c r="E81" s="16"/>
      <c r="F81" s="11"/>
      <c r="G81" s="11"/>
      <c r="H81" s="7" t="str">
        <f aca="false">IF(G81="","",LEN(G81))</f>
        <v/>
      </c>
      <c r="I81" s="11"/>
      <c r="J81" s="6" t="str">
        <f aca="false">IF(I81="","",IF(COUNTIFS(Freigaben!$B$5:$B$58,I81,Freigaben!$M$5:$M$58,"freigegeben")&gt;0,"ja","nein"))</f>
        <v/>
      </c>
      <c r="K81" s="6" t="str">
        <f aca="false">IF(I81="","",IFERROR(IF(INDEX(Freigaben!$N$5:$N$58,MATCH(I81,Freigaben!$B$5:$B$58,0))="","ohne Ampel",INDEX(Freigaben!$N$5:$N$58,MATCH(I81,Freigaben!$B$5:$B$58,0))),"nicht in Freigaben"))</f>
        <v/>
      </c>
      <c r="L81" s="11"/>
      <c r="M81" s="12"/>
      <c r="N81" s="11"/>
      <c r="O81" s="11"/>
      <c r="P81" s="11"/>
      <c r="Q81" s="11"/>
      <c r="R81" s="11"/>
      <c r="S81" s="11"/>
      <c r="T81" s="6" t="str">
        <f aca="false">IF(F81="","",IF(AND(J81="ja",M81&lt;&gt;"",OR(K81="grün",K81="gelb"),LEN(G81)&lt;=60),"ja","nein"))</f>
        <v/>
      </c>
      <c r="U81" s="6" t="str">
        <f aca="false">IF(T81&lt;&gt;"nein","",IF(J81&lt;&gt;"ja","keine Freigabe",IF(M81="","nicht an der Quelle bestätigt",IF(K81="rot","Ampel rot — nicht öffentlich",IF(OR(K81="ohne Ampel",K81="nicht in Freigaben"),"Ampel fehlt",IF(LEN(G81)&gt;60,"Kurzinfo zu lang",""))))))</f>
        <v/>
      </c>
      <c r="V81" s="11"/>
    </row>
    <row r="82" customFormat="false" ht="15" hidden="false" customHeight="false" outlineLevel="0" collapsed="false">
      <c r="A82" s="11"/>
      <c r="B82" s="12"/>
      <c r="C82" s="6" t="str">
        <f aca="false">IF(B82="","",CHOOSE(WEEKDAY(B82,2),"Mo","Di","Mi","Do","Fr","Sa","So"))</f>
        <v/>
      </c>
      <c r="D82" s="16"/>
      <c r="E82" s="16"/>
      <c r="F82" s="11"/>
      <c r="G82" s="11"/>
      <c r="H82" s="7" t="str">
        <f aca="false">IF(G82="","",LEN(G82))</f>
        <v/>
      </c>
      <c r="I82" s="11"/>
      <c r="J82" s="6" t="str">
        <f aca="false">IF(I82="","",IF(COUNTIFS(Freigaben!$B$5:$B$58,I82,Freigaben!$M$5:$M$58,"freigegeben")&gt;0,"ja","nein"))</f>
        <v/>
      </c>
      <c r="K82" s="6" t="str">
        <f aca="false">IF(I82="","",IFERROR(IF(INDEX(Freigaben!$N$5:$N$58,MATCH(I82,Freigaben!$B$5:$B$58,0))="","ohne Ampel",INDEX(Freigaben!$N$5:$N$58,MATCH(I82,Freigaben!$B$5:$B$58,0))),"nicht in Freigaben"))</f>
        <v/>
      </c>
      <c r="L82" s="11"/>
      <c r="M82" s="12"/>
      <c r="N82" s="11"/>
      <c r="O82" s="11"/>
      <c r="P82" s="11"/>
      <c r="Q82" s="11"/>
      <c r="R82" s="11"/>
      <c r="S82" s="11"/>
      <c r="T82" s="6" t="str">
        <f aca="false">IF(F82="","",IF(AND(J82="ja",M82&lt;&gt;"",OR(K82="grün",K82="gelb"),LEN(G82)&lt;=60),"ja","nein"))</f>
        <v/>
      </c>
      <c r="U82" s="6" t="str">
        <f aca="false">IF(T82&lt;&gt;"nein","",IF(J82&lt;&gt;"ja","keine Freigabe",IF(M82="","nicht an der Quelle bestätigt",IF(K82="rot","Ampel rot — nicht öffentlich",IF(OR(K82="ohne Ampel",K82="nicht in Freigaben"),"Ampel fehlt",IF(LEN(G82)&gt;60,"Kurzinfo zu lang",""))))))</f>
        <v/>
      </c>
      <c r="V82" s="11"/>
    </row>
    <row r="83" customFormat="false" ht="15" hidden="false" customHeight="false" outlineLevel="0" collapsed="false">
      <c r="A83" s="11"/>
      <c r="B83" s="12"/>
      <c r="C83" s="6" t="str">
        <f aca="false">IF(B83="","",CHOOSE(WEEKDAY(B83,2),"Mo","Di","Mi","Do","Fr","Sa","So"))</f>
        <v/>
      </c>
      <c r="D83" s="16"/>
      <c r="E83" s="16"/>
      <c r="F83" s="11"/>
      <c r="G83" s="11"/>
      <c r="H83" s="7" t="str">
        <f aca="false">IF(G83="","",LEN(G83))</f>
        <v/>
      </c>
      <c r="I83" s="11"/>
      <c r="J83" s="6" t="str">
        <f aca="false">IF(I83="","",IF(COUNTIFS(Freigaben!$B$5:$B$58,I83,Freigaben!$M$5:$M$58,"freigegeben")&gt;0,"ja","nein"))</f>
        <v/>
      </c>
      <c r="K83" s="6" t="str">
        <f aca="false">IF(I83="","",IFERROR(IF(INDEX(Freigaben!$N$5:$N$58,MATCH(I83,Freigaben!$B$5:$B$58,0))="","ohne Ampel",INDEX(Freigaben!$N$5:$N$58,MATCH(I83,Freigaben!$B$5:$B$58,0))),"nicht in Freigaben"))</f>
        <v/>
      </c>
      <c r="L83" s="11"/>
      <c r="M83" s="12"/>
      <c r="N83" s="11"/>
      <c r="O83" s="11"/>
      <c r="P83" s="11"/>
      <c r="Q83" s="11"/>
      <c r="R83" s="11"/>
      <c r="S83" s="11"/>
      <c r="T83" s="6" t="str">
        <f aca="false">IF(F83="","",IF(AND(J83="ja",M83&lt;&gt;"",OR(K83="grün",K83="gelb"),LEN(G83)&lt;=60),"ja","nein"))</f>
        <v/>
      </c>
      <c r="U83" s="6" t="str">
        <f aca="false">IF(T83&lt;&gt;"nein","",IF(J83&lt;&gt;"ja","keine Freigabe",IF(M83="","nicht an der Quelle bestätigt",IF(K83="rot","Ampel rot — nicht öffentlich",IF(OR(K83="ohne Ampel",K83="nicht in Freigaben"),"Ampel fehlt",IF(LEN(G83)&gt;60,"Kurzinfo zu lang",""))))))</f>
        <v/>
      </c>
      <c r="V83" s="11"/>
    </row>
    <row r="84" customFormat="false" ht="15" hidden="false" customHeight="false" outlineLevel="0" collapsed="false">
      <c r="A84" s="11"/>
      <c r="B84" s="12"/>
      <c r="C84" s="6" t="str">
        <f aca="false">IF(B84="","",CHOOSE(WEEKDAY(B84,2),"Mo","Di","Mi","Do","Fr","Sa","So"))</f>
        <v/>
      </c>
      <c r="D84" s="16"/>
      <c r="E84" s="16"/>
      <c r="F84" s="11"/>
      <c r="G84" s="11"/>
      <c r="H84" s="7" t="str">
        <f aca="false">IF(G84="","",LEN(G84))</f>
        <v/>
      </c>
      <c r="I84" s="11"/>
      <c r="J84" s="6" t="str">
        <f aca="false">IF(I84="","",IF(COUNTIFS(Freigaben!$B$5:$B$58,I84,Freigaben!$M$5:$M$58,"freigegeben")&gt;0,"ja","nein"))</f>
        <v/>
      </c>
      <c r="K84" s="6" t="str">
        <f aca="false">IF(I84="","",IFERROR(IF(INDEX(Freigaben!$N$5:$N$58,MATCH(I84,Freigaben!$B$5:$B$58,0))="","ohne Ampel",INDEX(Freigaben!$N$5:$N$58,MATCH(I84,Freigaben!$B$5:$B$58,0))),"nicht in Freigaben"))</f>
        <v/>
      </c>
      <c r="L84" s="11"/>
      <c r="M84" s="12"/>
      <c r="N84" s="11"/>
      <c r="O84" s="11"/>
      <c r="P84" s="11"/>
      <c r="Q84" s="11"/>
      <c r="R84" s="11"/>
      <c r="S84" s="11"/>
      <c r="T84" s="6" t="str">
        <f aca="false">IF(F84="","",IF(AND(J84="ja",M84&lt;&gt;"",OR(K84="grün",K84="gelb"),LEN(G84)&lt;=60),"ja","nein"))</f>
        <v/>
      </c>
      <c r="U84" s="6" t="str">
        <f aca="false">IF(T84&lt;&gt;"nein","",IF(J84&lt;&gt;"ja","keine Freigabe",IF(M84="","nicht an der Quelle bestätigt",IF(K84="rot","Ampel rot — nicht öffentlich",IF(OR(K84="ohne Ampel",K84="nicht in Freigaben"),"Ampel fehlt",IF(LEN(G84)&gt;60,"Kurzinfo zu lang",""))))))</f>
        <v/>
      </c>
      <c r="V84" s="11"/>
    </row>
    <row r="85" customFormat="false" ht="15" hidden="false" customHeight="false" outlineLevel="0" collapsed="false">
      <c r="A85" s="11"/>
      <c r="B85" s="12"/>
      <c r="C85" s="6" t="str">
        <f aca="false">IF(B85="","",CHOOSE(WEEKDAY(B85,2),"Mo","Di","Mi","Do","Fr","Sa","So"))</f>
        <v/>
      </c>
      <c r="D85" s="16"/>
      <c r="E85" s="16"/>
      <c r="F85" s="11"/>
      <c r="G85" s="11"/>
      <c r="H85" s="7" t="str">
        <f aca="false">IF(G85="","",LEN(G85))</f>
        <v/>
      </c>
      <c r="I85" s="11"/>
      <c r="J85" s="6" t="str">
        <f aca="false">IF(I85="","",IF(COUNTIFS(Freigaben!$B$5:$B$58,I85,Freigaben!$M$5:$M$58,"freigegeben")&gt;0,"ja","nein"))</f>
        <v/>
      </c>
      <c r="K85" s="6" t="str">
        <f aca="false">IF(I85="","",IFERROR(IF(INDEX(Freigaben!$N$5:$N$58,MATCH(I85,Freigaben!$B$5:$B$58,0))="","ohne Ampel",INDEX(Freigaben!$N$5:$N$58,MATCH(I85,Freigaben!$B$5:$B$58,0))),"nicht in Freigaben"))</f>
        <v/>
      </c>
      <c r="L85" s="11"/>
      <c r="M85" s="12"/>
      <c r="N85" s="11"/>
      <c r="O85" s="11"/>
      <c r="P85" s="11"/>
      <c r="Q85" s="11"/>
      <c r="R85" s="11"/>
      <c r="S85" s="11"/>
      <c r="T85" s="6" t="str">
        <f aca="false">IF(F85="","",IF(AND(J85="ja",M85&lt;&gt;"",OR(K85="grün",K85="gelb"),LEN(G85)&lt;=60),"ja","nein"))</f>
        <v/>
      </c>
      <c r="U85" s="6" t="str">
        <f aca="false">IF(T85&lt;&gt;"nein","",IF(J85&lt;&gt;"ja","keine Freigabe",IF(M85="","nicht an der Quelle bestätigt",IF(K85="rot","Ampel rot — nicht öffentlich",IF(OR(K85="ohne Ampel",K85="nicht in Freigaben"),"Ampel fehlt",IF(LEN(G85)&gt;60,"Kurzinfo zu lang",""))))))</f>
        <v/>
      </c>
      <c r="V85" s="11"/>
    </row>
    <row r="86" customFormat="false" ht="15" hidden="false" customHeight="false" outlineLevel="0" collapsed="false">
      <c r="A86" s="11"/>
      <c r="B86" s="12"/>
      <c r="C86" s="6" t="str">
        <f aca="false">IF(B86="","",CHOOSE(WEEKDAY(B86,2),"Mo","Di","Mi","Do","Fr","Sa","So"))</f>
        <v/>
      </c>
      <c r="D86" s="16"/>
      <c r="E86" s="16"/>
      <c r="F86" s="11"/>
      <c r="G86" s="11"/>
      <c r="H86" s="7" t="str">
        <f aca="false">IF(G86="","",LEN(G86))</f>
        <v/>
      </c>
      <c r="I86" s="11"/>
      <c r="J86" s="6" t="str">
        <f aca="false">IF(I86="","",IF(COUNTIFS(Freigaben!$B$5:$B$58,I86,Freigaben!$M$5:$M$58,"freigegeben")&gt;0,"ja","nein"))</f>
        <v/>
      </c>
      <c r="K86" s="6" t="str">
        <f aca="false">IF(I86="","",IFERROR(IF(INDEX(Freigaben!$N$5:$N$58,MATCH(I86,Freigaben!$B$5:$B$58,0))="","ohne Ampel",INDEX(Freigaben!$N$5:$N$58,MATCH(I86,Freigaben!$B$5:$B$58,0))),"nicht in Freigaben"))</f>
        <v/>
      </c>
      <c r="L86" s="11"/>
      <c r="M86" s="12"/>
      <c r="N86" s="11"/>
      <c r="O86" s="11"/>
      <c r="P86" s="11"/>
      <c r="Q86" s="11"/>
      <c r="R86" s="11"/>
      <c r="S86" s="11"/>
      <c r="T86" s="6" t="str">
        <f aca="false">IF(F86="","",IF(AND(J86="ja",M86&lt;&gt;"",OR(K86="grün",K86="gelb"),LEN(G86)&lt;=60),"ja","nein"))</f>
        <v/>
      </c>
      <c r="U86" s="6" t="str">
        <f aca="false">IF(T86&lt;&gt;"nein","",IF(J86&lt;&gt;"ja","keine Freigabe",IF(M86="","nicht an der Quelle bestätigt",IF(K86="rot","Ampel rot — nicht öffentlich",IF(OR(K86="ohne Ampel",K86="nicht in Freigaben"),"Ampel fehlt",IF(LEN(G86)&gt;60,"Kurzinfo zu lang",""))))))</f>
        <v/>
      </c>
      <c r="V86" s="11"/>
    </row>
    <row r="87" customFormat="false" ht="15" hidden="false" customHeight="false" outlineLevel="0" collapsed="false">
      <c r="A87" s="11"/>
      <c r="B87" s="12"/>
      <c r="C87" s="6" t="str">
        <f aca="false">IF(B87="","",CHOOSE(WEEKDAY(B87,2),"Mo","Di","Mi","Do","Fr","Sa","So"))</f>
        <v/>
      </c>
      <c r="D87" s="16"/>
      <c r="E87" s="16"/>
      <c r="F87" s="11"/>
      <c r="G87" s="11"/>
      <c r="H87" s="7" t="str">
        <f aca="false">IF(G87="","",LEN(G87))</f>
        <v/>
      </c>
      <c r="I87" s="11"/>
      <c r="J87" s="6" t="str">
        <f aca="false">IF(I87="","",IF(COUNTIFS(Freigaben!$B$5:$B$58,I87,Freigaben!$M$5:$M$58,"freigegeben")&gt;0,"ja","nein"))</f>
        <v/>
      </c>
      <c r="K87" s="6" t="str">
        <f aca="false">IF(I87="","",IFERROR(IF(INDEX(Freigaben!$N$5:$N$58,MATCH(I87,Freigaben!$B$5:$B$58,0))="","ohne Ampel",INDEX(Freigaben!$N$5:$N$58,MATCH(I87,Freigaben!$B$5:$B$58,0))),"nicht in Freigaben"))</f>
        <v/>
      </c>
      <c r="L87" s="11"/>
      <c r="M87" s="12"/>
      <c r="N87" s="11"/>
      <c r="O87" s="11"/>
      <c r="P87" s="11"/>
      <c r="Q87" s="11"/>
      <c r="R87" s="11"/>
      <c r="S87" s="11"/>
      <c r="T87" s="6" t="str">
        <f aca="false">IF(F87="","",IF(AND(J87="ja",M87&lt;&gt;"",OR(K87="grün",K87="gelb"),LEN(G87)&lt;=60),"ja","nein"))</f>
        <v/>
      </c>
      <c r="U87" s="6" t="str">
        <f aca="false">IF(T87&lt;&gt;"nein","",IF(J87&lt;&gt;"ja","keine Freigabe",IF(M87="","nicht an der Quelle bestätigt",IF(K87="rot","Ampel rot — nicht öffentlich",IF(OR(K87="ohne Ampel",K87="nicht in Freigaben"),"Ampel fehlt",IF(LEN(G87)&gt;60,"Kurzinfo zu lang",""))))))</f>
        <v/>
      </c>
      <c r="V87" s="11"/>
    </row>
    <row r="88" customFormat="false" ht="15" hidden="false" customHeight="false" outlineLevel="0" collapsed="false">
      <c r="A88" s="11"/>
      <c r="B88" s="12"/>
      <c r="C88" s="6" t="str">
        <f aca="false">IF(B88="","",CHOOSE(WEEKDAY(B88,2),"Mo","Di","Mi","Do","Fr","Sa","So"))</f>
        <v/>
      </c>
      <c r="D88" s="16"/>
      <c r="E88" s="16"/>
      <c r="F88" s="11"/>
      <c r="G88" s="11"/>
      <c r="H88" s="7" t="str">
        <f aca="false">IF(G88="","",LEN(G88))</f>
        <v/>
      </c>
      <c r="I88" s="11"/>
      <c r="J88" s="6" t="str">
        <f aca="false">IF(I88="","",IF(COUNTIFS(Freigaben!$B$5:$B$58,I88,Freigaben!$M$5:$M$58,"freigegeben")&gt;0,"ja","nein"))</f>
        <v/>
      </c>
      <c r="K88" s="6" t="str">
        <f aca="false">IF(I88="","",IFERROR(IF(INDEX(Freigaben!$N$5:$N$58,MATCH(I88,Freigaben!$B$5:$B$58,0))="","ohne Ampel",INDEX(Freigaben!$N$5:$N$58,MATCH(I88,Freigaben!$B$5:$B$58,0))),"nicht in Freigaben"))</f>
        <v/>
      </c>
      <c r="L88" s="11"/>
      <c r="M88" s="12"/>
      <c r="N88" s="11"/>
      <c r="O88" s="11"/>
      <c r="P88" s="11"/>
      <c r="Q88" s="11"/>
      <c r="R88" s="11"/>
      <c r="S88" s="11"/>
      <c r="T88" s="6" t="str">
        <f aca="false">IF(F88="","",IF(AND(J88="ja",M88&lt;&gt;"",OR(K88="grün",K88="gelb"),LEN(G88)&lt;=60),"ja","nein"))</f>
        <v/>
      </c>
      <c r="U88" s="6" t="str">
        <f aca="false">IF(T88&lt;&gt;"nein","",IF(J88&lt;&gt;"ja","keine Freigabe",IF(M88="","nicht an der Quelle bestätigt",IF(K88="rot","Ampel rot — nicht öffentlich",IF(OR(K88="ohne Ampel",K88="nicht in Freigaben"),"Ampel fehlt",IF(LEN(G88)&gt;60,"Kurzinfo zu lang",""))))))</f>
        <v/>
      </c>
      <c r="V88" s="11"/>
    </row>
    <row r="89" customFormat="false" ht="15" hidden="false" customHeight="false" outlineLevel="0" collapsed="false">
      <c r="A89" s="11"/>
      <c r="B89" s="12"/>
      <c r="C89" s="6" t="str">
        <f aca="false">IF(B89="","",CHOOSE(WEEKDAY(B89,2),"Mo","Di","Mi","Do","Fr","Sa","So"))</f>
        <v/>
      </c>
      <c r="D89" s="16"/>
      <c r="E89" s="16"/>
      <c r="F89" s="11"/>
      <c r="G89" s="11"/>
      <c r="H89" s="7" t="str">
        <f aca="false">IF(G89="","",LEN(G89))</f>
        <v/>
      </c>
      <c r="I89" s="11"/>
      <c r="J89" s="6" t="str">
        <f aca="false">IF(I89="","",IF(COUNTIFS(Freigaben!$B$5:$B$58,I89,Freigaben!$M$5:$M$58,"freigegeben")&gt;0,"ja","nein"))</f>
        <v/>
      </c>
      <c r="K89" s="6" t="str">
        <f aca="false">IF(I89="","",IFERROR(IF(INDEX(Freigaben!$N$5:$N$58,MATCH(I89,Freigaben!$B$5:$B$58,0))="","ohne Ampel",INDEX(Freigaben!$N$5:$N$58,MATCH(I89,Freigaben!$B$5:$B$58,0))),"nicht in Freigaben"))</f>
        <v/>
      </c>
      <c r="L89" s="11"/>
      <c r="M89" s="12"/>
      <c r="N89" s="11"/>
      <c r="O89" s="11"/>
      <c r="P89" s="11"/>
      <c r="Q89" s="11"/>
      <c r="R89" s="11"/>
      <c r="S89" s="11"/>
      <c r="T89" s="6" t="str">
        <f aca="false">IF(F89="","",IF(AND(J89="ja",M89&lt;&gt;"",OR(K89="grün",K89="gelb"),LEN(G89)&lt;=60),"ja","nein"))</f>
        <v/>
      </c>
      <c r="U89" s="6" t="str">
        <f aca="false">IF(T89&lt;&gt;"nein","",IF(J89&lt;&gt;"ja","keine Freigabe",IF(M89="","nicht an der Quelle bestätigt",IF(K89="rot","Ampel rot — nicht öffentlich",IF(OR(K89="ohne Ampel",K89="nicht in Freigaben"),"Ampel fehlt",IF(LEN(G89)&gt;60,"Kurzinfo zu lang",""))))))</f>
        <v/>
      </c>
      <c r="V89" s="11"/>
    </row>
    <row r="90" customFormat="false" ht="15" hidden="false" customHeight="false" outlineLevel="0" collapsed="false">
      <c r="A90" s="11"/>
      <c r="B90" s="12"/>
      <c r="C90" s="6" t="str">
        <f aca="false">IF(B90="","",CHOOSE(WEEKDAY(B90,2),"Mo","Di","Mi","Do","Fr","Sa","So"))</f>
        <v/>
      </c>
      <c r="D90" s="16"/>
      <c r="E90" s="16"/>
      <c r="F90" s="11"/>
      <c r="G90" s="11"/>
      <c r="H90" s="7" t="str">
        <f aca="false">IF(G90="","",LEN(G90))</f>
        <v/>
      </c>
      <c r="I90" s="11"/>
      <c r="J90" s="6" t="str">
        <f aca="false">IF(I90="","",IF(COUNTIFS(Freigaben!$B$5:$B$58,I90,Freigaben!$M$5:$M$58,"freigegeben")&gt;0,"ja","nein"))</f>
        <v/>
      </c>
      <c r="K90" s="6" t="str">
        <f aca="false">IF(I90="","",IFERROR(IF(INDEX(Freigaben!$N$5:$N$58,MATCH(I90,Freigaben!$B$5:$B$58,0))="","ohne Ampel",INDEX(Freigaben!$N$5:$N$58,MATCH(I90,Freigaben!$B$5:$B$58,0))),"nicht in Freigaben"))</f>
        <v/>
      </c>
      <c r="L90" s="11"/>
      <c r="M90" s="12"/>
      <c r="N90" s="11"/>
      <c r="O90" s="11"/>
      <c r="P90" s="11"/>
      <c r="Q90" s="11"/>
      <c r="R90" s="11"/>
      <c r="S90" s="11"/>
      <c r="T90" s="6" t="str">
        <f aca="false">IF(F90="","",IF(AND(J90="ja",M90&lt;&gt;"",OR(K90="grün",K90="gelb"),LEN(G90)&lt;=60),"ja","nein"))</f>
        <v/>
      </c>
      <c r="U90" s="6" t="str">
        <f aca="false">IF(T90&lt;&gt;"nein","",IF(J90&lt;&gt;"ja","keine Freigabe",IF(M90="","nicht an der Quelle bestätigt",IF(K90="rot","Ampel rot — nicht öffentlich",IF(OR(K90="ohne Ampel",K90="nicht in Freigaben"),"Ampel fehlt",IF(LEN(G90)&gt;60,"Kurzinfo zu lang",""))))))</f>
        <v/>
      </c>
      <c r="V90" s="11"/>
    </row>
    <row r="91" customFormat="false" ht="15" hidden="false" customHeight="false" outlineLevel="0" collapsed="false">
      <c r="A91" s="11"/>
      <c r="B91" s="12"/>
      <c r="C91" s="6" t="str">
        <f aca="false">IF(B91="","",CHOOSE(WEEKDAY(B91,2),"Mo","Di","Mi","Do","Fr","Sa","So"))</f>
        <v/>
      </c>
      <c r="D91" s="16"/>
      <c r="E91" s="16"/>
      <c r="F91" s="11"/>
      <c r="G91" s="11"/>
      <c r="H91" s="7" t="str">
        <f aca="false">IF(G91="","",LEN(G91))</f>
        <v/>
      </c>
      <c r="I91" s="11"/>
      <c r="J91" s="6" t="str">
        <f aca="false">IF(I91="","",IF(COUNTIFS(Freigaben!$B$5:$B$58,I91,Freigaben!$M$5:$M$58,"freigegeben")&gt;0,"ja","nein"))</f>
        <v/>
      </c>
      <c r="K91" s="6" t="str">
        <f aca="false">IF(I91="","",IFERROR(IF(INDEX(Freigaben!$N$5:$N$58,MATCH(I91,Freigaben!$B$5:$B$58,0))="","ohne Ampel",INDEX(Freigaben!$N$5:$N$58,MATCH(I91,Freigaben!$B$5:$B$58,0))),"nicht in Freigaben"))</f>
        <v/>
      </c>
      <c r="L91" s="11"/>
      <c r="M91" s="12"/>
      <c r="N91" s="11"/>
      <c r="O91" s="11"/>
      <c r="P91" s="11"/>
      <c r="Q91" s="11"/>
      <c r="R91" s="11"/>
      <c r="S91" s="11"/>
      <c r="T91" s="6" t="str">
        <f aca="false">IF(F91="","",IF(AND(J91="ja",M91&lt;&gt;"",OR(K91="grün",K91="gelb"),LEN(G91)&lt;=60),"ja","nein"))</f>
        <v/>
      </c>
      <c r="U91" s="6" t="str">
        <f aca="false">IF(T91&lt;&gt;"nein","",IF(J91&lt;&gt;"ja","keine Freigabe",IF(M91="","nicht an der Quelle bestätigt",IF(K91="rot","Ampel rot — nicht öffentlich",IF(OR(K91="ohne Ampel",K91="nicht in Freigaben"),"Ampel fehlt",IF(LEN(G91)&gt;60,"Kurzinfo zu lang",""))))))</f>
        <v/>
      </c>
      <c r="V91" s="11"/>
    </row>
    <row r="92" customFormat="false" ht="15" hidden="false" customHeight="false" outlineLevel="0" collapsed="false">
      <c r="A92" s="11"/>
      <c r="B92" s="12"/>
      <c r="C92" s="6" t="str">
        <f aca="false">IF(B92="","",CHOOSE(WEEKDAY(B92,2),"Mo","Di","Mi","Do","Fr","Sa","So"))</f>
        <v/>
      </c>
      <c r="D92" s="16"/>
      <c r="E92" s="16"/>
      <c r="F92" s="11"/>
      <c r="G92" s="11"/>
      <c r="H92" s="7" t="str">
        <f aca="false">IF(G92="","",LEN(G92))</f>
        <v/>
      </c>
      <c r="I92" s="11"/>
      <c r="J92" s="6" t="str">
        <f aca="false">IF(I92="","",IF(COUNTIFS(Freigaben!$B$5:$B$58,I92,Freigaben!$M$5:$M$58,"freigegeben")&gt;0,"ja","nein"))</f>
        <v/>
      </c>
      <c r="K92" s="6" t="str">
        <f aca="false">IF(I92="","",IFERROR(IF(INDEX(Freigaben!$N$5:$N$58,MATCH(I92,Freigaben!$B$5:$B$58,0))="","ohne Ampel",INDEX(Freigaben!$N$5:$N$58,MATCH(I92,Freigaben!$B$5:$B$58,0))),"nicht in Freigaben"))</f>
        <v/>
      </c>
      <c r="L92" s="11"/>
      <c r="M92" s="12"/>
      <c r="N92" s="11"/>
      <c r="O92" s="11"/>
      <c r="P92" s="11"/>
      <c r="Q92" s="11"/>
      <c r="R92" s="11"/>
      <c r="S92" s="11"/>
      <c r="T92" s="6" t="str">
        <f aca="false">IF(F92="","",IF(AND(J92="ja",M92&lt;&gt;"",OR(K92="grün",K92="gelb"),LEN(G92)&lt;=60),"ja","nein"))</f>
        <v/>
      </c>
      <c r="U92" s="6" t="str">
        <f aca="false">IF(T92&lt;&gt;"nein","",IF(J92&lt;&gt;"ja","keine Freigabe",IF(M92="","nicht an der Quelle bestätigt",IF(K92="rot","Ampel rot — nicht öffentlich",IF(OR(K92="ohne Ampel",K92="nicht in Freigaben"),"Ampel fehlt",IF(LEN(G92)&gt;60,"Kurzinfo zu lang",""))))))</f>
        <v/>
      </c>
      <c r="V92" s="11"/>
    </row>
    <row r="93" customFormat="false" ht="15" hidden="false" customHeight="false" outlineLevel="0" collapsed="false">
      <c r="A93" s="11"/>
      <c r="B93" s="12"/>
      <c r="C93" s="6" t="str">
        <f aca="false">IF(B93="","",CHOOSE(WEEKDAY(B93,2),"Mo","Di","Mi","Do","Fr","Sa","So"))</f>
        <v/>
      </c>
      <c r="D93" s="16"/>
      <c r="E93" s="16"/>
      <c r="F93" s="11"/>
      <c r="G93" s="11"/>
      <c r="H93" s="7" t="str">
        <f aca="false">IF(G93="","",LEN(G93))</f>
        <v/>
      </c>
      <c r="I93" s="11"/>
      <c r="J93" s="6" t="str">
        <f aca="false">IF(I93="","",IF(COUNTIFS(Freigaben!$B$5:$B$58,I93,Freigaben!$M$5:$M$58,"freigegeben")&gt;0,"ja","nein"))</f>
        <v/>
      </c>
      <c r="K93" s="6" t="str">
        <f aca="false">IF(I93="","",IFERROR(IF(INDEX(Freigaben!$N$5:$N$58,MATCH(I93,Freigaben!$B$5:$B$58,0))="","ohne Ampel",INDEX(Freigaben!$N$5:$N$58,MATCH(I93,Freigaben!$B$5:$B$58,0))),"nicht in Freigaben"))</f>
        <v/>
      </c>
      <c r="L93" s="11"/>
      <c r="M93" s="12"/>
      <c r="N93" s="11"/>
      <c r="O93" s="11"/>
      <c r="P93" s="11"/>
      <c r="Q93" s="11"/>
      <c r="R93" s="11"/>
      <c r="S93" s="11"/>
      <c r="T93" s="6" t="str">
        <f aca="false">IF(F93="","",IF(AND(J93="ja",M93&lt;&gt;"",OR(K93="grün",K93="gelb"),LEN(G93)&lt;=60),"ja","nein"))</f>
        <v/>
      </c>
      <c r="U93" s="6" t="str">
        <f aca="false">IF(T93&lt;&gt;"nein","",IF(J93&lt;&gt;"ja","keine Freigabe",IF(M93="","nicht an der Quelle bestätigt",IF(K93="rot","Ampel rot — nicht öffentlich",IF(OR(K93="ohne Ampel",K93="nicht in Freigaben"),"Ampel fehlt",IF(LEN(G93)&gt;60,"Kurzinfo zu lang",""))))))</f>
        <v/>
      </c>
      <c r="V93" s="11"/>
    </row>
    <row r="94" customFormat="false" ht="15" hidden="false" customHeight="false" outlineLevel="0" collapsed="false">
      <c r="A94" s="11"/>
      <c r="B94" s="12"/>
      <c r="C94" s="6" t="str">
        <f aca="false">IF(B94="","",CHOOSE(WEEKDAY(B94,2),"Mo","Di","Mi","Do","Fr","Sa","So"))</f>
        <v/>
      </c>
      <c r="D94" s="16"/>
      <c r="E94" s="16"/>
      <c r="F94" s="11"/>
      <c r="G94" s="11"/>
      <c r="H94" s="7" t="str">
        <f aca="false">IF(G94="","",LEN(G94))</f>
        <v/>
      </c>
      <c r="I94" s="11"/>
      <c r="J94" s="6" t="str">
        <f aca="false">IF(I94="","",IF(COUNTIFS(Freigaben!$B$5:$B$58,I94,Freigaben!$M$5:$M$58,"freigegeben")&gt;0,"ja","nein"))</f>
        <v/>
      </c>
      <c r="K94" s="6" t="str">
        <f aca="false">IF(I94="","",IFERROR(IF(INDEX(Freigaben!$N$5:$N$58,MATCH(I94,Freigaben!$B$5:$B$58,0))="","ohne Ampel",INDEX(Freigaben!$N$5:$N$58,MATCH(I94,Freigaben!$B$5:$B$58,0))),"nicht in Freigaben"))</f>
        <v/>
      </c>
      <c r="L94" s="11"/>
      <c r="M94" s="12"/>
      <c r="N94" s="11"/>
      <c r="O94" s="11"/>
      <c r="P94" s="11"/>
      <c r="Q94" s="11"/>
      <c r="R94" s="11"/>
      <c r="S94" s="11"/>
      <c r="T94" s="6" t="str">
        <f aca="false">IF(F94="","",IF(AND(J94="ja",M94&lt;&gt;"",OR(K94="grün",K94="gelb"),LEN(G94)&lt;=60),"ja","nein"))</f>
        <v/>
      </c>
      <c r="U94" s="6" t="str">
        <f aca="false">IF(T94&lt;&gt;"nein","",IF(J94&lt;&gt;"ja","keine Freigabe",IF(M94="","nicht an der Quelle bestätigt",IF(K94="rot","Ampel rot — nicht öffentlich",IF(OR(K94="ohne Ampel",K94="nicht in Freigaben"),"Ampel fehlt",IF(LEN(G94)&gt;60,"Kurzinfo zu lang",""))))))</f>
        <v/>
      </c>
      <c r="V94" s="11"/>
    </row>
    <row r="95" customFormat="false" ht="15" hidden="false" customHeight="false" outlineLevel="0" collapsed="false">
      <c r="A95" s="11"/>
      <c r="B95" s="12"/>
      <c r="C95" s="6" t="str">
        <f aca="false">IF(B95="","",CHOOSE(WEEKDAY(B95,2),"Mo","Di","Mi","Do","Fr","Sa","So"))</f>
        <v/>
      </c>
      <c r="D95" s="16"/>
      <c r="E95" s="16"/>
      <c r="F95" s="11"/>
      <c r="G95" s="11"/>
      <c r="H95" s="7" t="str">
        <f aca="false">IF(G95="","",LEN(G95))</f>
        <v/>
      </c>
      <c r="I95" s="11"/>
      <c r="J95" s="6" t="str">
        <f aca="false">IF(I95="","",IF(COUNTIFS(Freigaben!$B$5:$B$58,I95,Freigaben!$M$5:$M$58,"freigegeben")&gt;0,"ja","nein"))</f>
        <v/>
      </c>
      <c r="K95" s="6" t="str">
        <f aca="false">IF(I95="","",IFERROR(IF(INDEX(Freigaben!$N$5:$N$58,MATCH(I95,Freigaben!$B$5:$B$58,0))="","ohne Ampel",INDEX(Freigaben!$N$5:$N$58,MATCH(I95,Freigaben!$B$5:$B$58,0))),"nicht in Freigaben"))</f>
        <v/>
      </c>
      <c r="L95" s="11"/>
      <c r="M95" s="12"/>
      <c r="N95" s="11"/>
      <c r="O95" s="11"/>
      <c r="P95" s="11"/>
      <c r="Q95" s="11"/>
      <c r="R95" s="11"/>
      <c r="S95" s="11"/>
      <c r="T95" s="6" t="str">
        <f aca="false">IF(F95="","",IF(AND(J95="ja",M95&lt;&gt;"",OR(K95="grün",K95="gelb"),LEN(G95)&lt;=60),"ja","nein"))</f>
        <v/>
      </c>
      <c r="U95" s="6" t="str">
        <f aca="false">IF(T95&lt;&gt;"nein","",IF(J95&lt;&gt;"ja","keine Freigabe",IF(M95="","nicht an der Quelle bestätigt",IF(K95="rot","Ampel rot — nicht öffentlich",IF(OR(K95="ohne Ampel",K95="nicht in Freigaben"),"Ampel fehlt",IF(LEN(G95)&gt;60,"Kurzinfo zu lang",""))))))</f>
        <v/>
      </c>
      <c r="V95" s="11"/>
    </row>
    <row r="96" customFormat="false" ht="15" hidden="false" customHeight="false" outlineLevel="0" collapsed="false">
      <c r="A96" s="11"/>
      <c r="B96" s="12"/>
      <c r="C96" s="6" t="str">
        <f aca="false">IF(B96="","",CHOOSE(WEEKDAY(B96,2),"Mo","Di","Mi","Do","Fr","Sa","So"))</f>
        <v/>
      </c>
      <c r="D96" s="16"/>
      <c r="E96" s="16"/>
      <c r="F96" s="11"/>
      <c r="G96" s="11"/>
      <c r="H96" s="7" t="str">
        <f aca="false">IF(G96="","",LEN(G96))</f>
        <v/>
      </c>
      <c r="I96" s="11"/>
      <c r="J96" s="6" t="str">
        <f aca="false">IF(I96="","",IF(COUNTIFS(Freigaben!$B$5:$B$58,I96,Freigaben!$M$5:$M$58,"freigegeben")&gt;0,"ja","nein"))</f>
        <v/>
      </c>
      <c r="K96" s="6" t="str">
        <f aca="false">IF(I96="","",IFERROR(IF(INDEX(Freigaben!$N$5:$N$58,MATCH(I96,Freigaben!$B$5:$B$58,0))="","ohne Ampel",INDEX(Freigaben!$N$5:$N$58,MATCH(I96,Freigaben!$B$5:$B$58,0))),"nicht in Freigaben"))</f>
        <v/>
      </c>
      <c r="L96" s="11"/>
      <c r="M96" s="12"/>
      <c r="N96" s="11"/>
      <c r="O96" s="11"/>
      <c r="P96" s="11"/>
      <c r="Q96" s="11"/>
      <c r="R96" s="11"/>
      <c r="S96" s="11"/>
      <c r="T96" s="6" t="str">
        <f aca="false">IF(F96="","",IF(AND(J96="ja",M96&lt;&gt;"",OR(K96="grün",K96="gelb"),LEN(G96)&lt;=60),"ja","nein"))</f>
        <v/>
      </c>
      <c r="U96" s="6" t="str">
        <f aca="false">IF(T96&lt;&gt;"nein","",IF(J96&lt;&gt;"ja","keine Freigabe",IF(M96="","nicht an der Quelle bestätigt",IF(K96="rot","Ampel rot — nicht öffentlich",IF(OR(K96="ohne Ampel",K96="nicht in Freigaben"),"Ampel fehlt",IF(LEN(G96)&gt;60,"Kurzinfo zu lang",""))))))</f>
        <v/>
      </c>
      <c r="V96" s="11"/>
    </row>
    <row r="97" customFormat="false" ht="15" hidden="false" customHeight="false" outlineLevel="0" collapsed="false">
      <c r="A97" s="11"/>
      <c r="B97" s="12"/>
      <c r="C97" s="6" t="str">
        <f aca="false">IF(B97="","",CHOOSE(WEEKDAY(B97,2),"Mo","Di","Mi","Do","Fr","Sa","So"))</f>
        <v/>
      </c>
      <c r="D97" s="16"/>
      <c r="E97" s="16"/>
      <c r="F97" s="11"/>
      <c r="G97" s="11"/>
      <c r="H97" s="7" t="str">
        <f aca="false">IF(G97="","",LEN(G97))</f>
        <v/>
      </c>
      <c r="I97" s="11"/>
      <c r="J97" s="6" t="str">
        <f aca="false">IF(I97="","",IF(COUNTIFS(Freigaben!$B$5:$B$58,I97,Freigaben!$M$5:$M$58,"freigegeben")&gt;0,"ja","nein"))</f>
        <v/>
      </c>
      <c r="K97" s="6" t="str">
        <f aca="false">IF(I97="","",IFERROR(IF(INDEX(Freigaben!$N$5:$N$58,MATCH(I97,Freigaben!$B$5:$B$58,0))="","ohne Ampel",INDEX(Freigaben!$N$5:$N$58,MATCH(I97,Freigaben!$B$5:$B$58,0))),"nicht in Freigaben"))</f>
        <v/>
      </c>
      <c r="L97" s="11"/>
      <c r="M97" s="12"/>
      <c r="N97" s="11"/>
      <c r="O97" s="11"/>
      <c r="P97" s="11"/>
      <c r="Q97" s="11"/>
      <c r="R97" s="11"/>
      <c r="S97" s="11"/>
      <c r="T97" s="6" t="str">
        <f aca="false">IF(F97="","",IF(AND(J97="ja",M97&lt;&gt;"",OR(K97="grün",K97="gelb"),LEN(G97)&lt;=60),"ja","nein"))</f>
        <v/>
      </c>
      <c r="U97" s="6" t="str">
        <f aca="false">IF(T97&lt;&gt;"nein","",IF(J97&lt;&gt;"ja","keine Freigabe",IF(M97="","nicht an der Quelle bestätigt",IF(K97="rot","Ampel rot — nicht öffentlich",IF(OR(K97="ohne Ampel",K97="nicht in Freigaben"),"Ampel fehlt",IF(LEN(G97)&gt;60,"Kurzinfo zu lang",""))))))</f>
        <v/>
      </c>
      <c r="V97" s="11"/>
    </row>
    <row r="98" customFormat="false" ht="15" hidden="false" customHeight="false" outlineLevel="0" collapsed="false">
      <c r="A98" s="11"/>
      <c r="B98" s="12"/>
      <c r="C98" s="6" t="str">
        <f aca="false">IF(B98="","",CHOOSE(WEEKDAY(B98,2),"Mo","Di","Mi","Do","Fr","Sa","So"))</f>
        <v/>
      </c>
      <c r="D98" s="16"/>
      <c r="E98" s="16"/>
      <c r="F98" s="11"/>
      <c r="G98" s="11"/>
      <c r="H98" s="7" t="str">
        <f aca="false">IF(G98="","",LEN(G98))</f>
        <v/>
      </c>
      <c r="I98" s="11"/>
      <c r="J98" s="6" t="str">
        <f aca="false">IF(I98="","",IF(COUNTIFS(Freigaben!$B$5:$B$58,I98,Freigaben!$M$5:$M$58,"freigegeben")&gt;0,"ja","nein"))</f>
        <v/>
      </c>
      <c r="K98" s="6" t="str">
        <f aca="false">IF(I98="","",IFERROR(IF(INDEX(Freigaben!$N$5:$N$58,MATCH(I98,Freigaben!$B$5:$B$58,0))="","ohne Ampel",INDEX(Freigaben!$N$5:$N$58,MATCH(I98,Freigaben!$B$5:$B$58,0))),"nicht in Freigaben"))</f>
        <v/>
      </c>
      <c r="L98" s="11"/>
      <c r="M98" s="12"/>
      <c r="N98" s="11"/>
      <c r="O98" s="11"/>
      <c r="P98" s="11"/>
      <c r="Q98" s="11"/>
      <c r="R98" s="11"/>
      <c r="S98" s="11"/>
      <c r="T98" s="6" t="str">
        <f aca="false">IF(F98="","",IF(AND(J98="ja",M98&lt;&gt;"",OR(K98="grün",K98="gelb"),LEN(G98)&lt;=60),"ja","nein"))</f>
        <v/>
      </c>
      <c r="U98" s="6" t="str">
        <f aca="false">IF(T98&lt;&gt;"nein","",IF(J98&lt;&gt;"ja","keine Freigabe",IF(M98="","nicht an der Quelle bestätigt",IF(K98="rot","Ampel rot — nicht öffentlich",IF(OR(K98="ohne Ampel",K98="nicht in Freigaben"),"Ampel fehlt",IF(LEN(G98)&gt;60,"Kurzinfo zu lang",""))))))</f>
        <v/>
      </c>
      <c r="V98" s="11"/>
    </row>
    <row r="99" customFormat="false" ht="15" hidden="false" customHeight="false" outlineLevel="0" collapsed="false">
      <c r="A99" s="11"/>
      <c r="B99" s="12"/>
      <c r="C99" s="6" t="str">
        <f aca="false">IF(B99="","",CHOOSE(WEEKDAY(B99,2),"Mo","Di","Mi","Do","Fr","Sa","So"))</f>
        <v/>
      </c>
      <c r="D99" s="16"/>
      <c r="E99" s="16"/>
      <c r="F99" s="11"/>
      <c r="G99" s="11"/>
      <c r="H99" s="7" t="str">
        <f aca="false">IF(G99="","",LEN(G99))</f>
        <v/>
      </c>
      <c r="I99" s="11"/>
      <c r="J99" s="6" t="str">
        <f aca="false">IF(I99="","",IF(COUNTIFS(Freigaben!$B$5:$B$58,I99,Freigaben!$M$5:$M$58,"freigegeben")&gt;0,"ja","nein"))</f>
        <v/>
      </c>
      <c r="K99" s="6" t="str">
        <f aca="false">IF(I99="","",IFERROR(IF(INDEX(Freigaben!$N$5:$N$58,MATCH(I99,Freigaben!$B$5:$B$58,0))="","ohne Ampel",INDEX(Freigaben!$N$5:$N$58,MATCH(I99,Freigaben!$B$5:$B$58,0))),"nicht in Freigaben"))</f>
        <v/>
      </c>
      <c r="L99" s="11"/>
      <c r="M99" s="12"/>
      <c r="N99" s="11"/>
      <c r="O99" s="11"/>
      <c r="P99" s="11"/>
      <c r="Q99" s="11"/>
      <c r="R99" s="11"/>
      <c r="S99" s="11"/>
      <c r="T99" s="6" t="str">
        <f aca="false">IF(F99="","",IF(AND(J99="ja",M99&lt;&gt;"",OR(K99="grün",K99="gelb"),LEN(G99)&lt;=60),"ja","nein"))</f>
        <v/>
      </c>
      <c r="U99" s="6" t="str">
        <f aca="false">IF(T99&lt;&gt;"nein","",IF(J99&lt;&gt;"ja","keine Freigabe",IF(M99="","nicht an der Quelle bestätigt",IF(K99="rot","Ampel rot — nicht öffentlich",IF(OR(K99="ohne Ampel",K99="nicht in Freigaben"),"Ampel fehlt",IF(LEN(G99)&gt;60,"Kurzinfo zu lang",""))))))</f>
        <v/>
      </c>
      <c r="V99" s="11"/>
    </row>
    <row r="100" customFormat="false" ht="15" hidden="false" customHeight="false" outlineLevel="0" collapsed="false">
      <c r="A100" s="11"/>
      <c r="B100" s="12"/>
      <c r="C100" s="6" t="str">
        <f aca="false">IF(B100="","",CHOOSE(WEEKDAY(B100,2),"Mo","Di","Mi","Do","Fr","Sa","So"))</f>
        <v/>
      </c>
      <c r="D100" s="16"/>
      <c r="E100" s="16"/>
      <c r="F100" s="11"/>
      <c r="G100" s="11"/>
      <c r="H100" s="7" t="str">
        <f aca="false">IF(G100="","",LEN(G100))</f>
        <v/>
      </c>
      <c r="I100" s="11"/>
      <c r="J100" s="6" t="str">
        <f aca="false">IF(I100="","",IF(COUNTIFS(Freigaben!$B$5:$B$58,I100,Freigaben!$M$5:$M$58,"freigegeben")&gt;0,"ja","nein"))</f>
        <v/>
      </c>
      <c r="K100" s="6" t="str">
        <f aca="false">IF(I100="","",IFERROR(IF(INDEX(Freigaben!$N$5:$N$58,MATCH(I100,Freigaben!$B$5:$B$58,0))="","ohne Ampel",INDEX(Freigaben!$N$5:$N$58,MATCH(I100,Freigaben!$B$5:$B$58,0))),"nicht in Freigaben"))</f>
        <v/>
      </c>
      <c r="L100" s="11"/>
      <c r="M100" s="12"/>
      <c r="N100" s="11"/>
      <c r="O100" s="11"/>
      <c r="P100" s="11"/>
      <c r="Q100" s="11"/>
      <c r="R100" s="11"/>
      <c r="S100" s="11"/>
      <c r="T100" s="6" t="str">
        <f aca="false">IF(F100="","",IF(AND(J100="ja",M100&lt;&gt;"",OR(K100="grün",K100="gelb"),LEN(G100)&lt;=60),"ja","nein"))</f>
        <v/>
      </c>
      <c r="U100" s="6" t="str">
        <f aca="false">IF(T100&lt;&gt;"nein","",IF(J100&lt;&gt;"ja","keine Freigabe",IF(M100="","nicht an der Quelle bestätigt",IF(K100="rot","Ampel rot — nicht öffentlich",IF(OR(K100="ohne Ampel",K100="nicht in Freigaben"),"Ampel fehlt",IF(LEN(G100)&gt;60,"Kurzinfo zu lang",""))))))</f>
        <v/>
      </c>
      <c r="V100" s="11"/>
    </row>
    <row r="101" customFormat="false" ht="15" hidden="false" customHeight="false" outlineLevel="0" collapsed="false">
      <c r="A101" s="11"/>
      <c r="B101" s="12"/>
      <c r="C101" s="6" t="str">
        <f aca="false">IF(B101="","",CHOOSE(WEEKDAY(B101,2),"Mo","Di","Mi","Do","Fr","Sa","So"))</f>
        <v/>
      </c>
      <c r="D101" s="16"/>
      <c r="E101" s="16"/>
      <c r="F101" s="11"/>
      <c r="G101" s="11"/>
      <c r="H101" s="7" t="str">
        <f aca="false">IF(G101="","",LEN(G101))</f>
        <v/>
      </c>
      <c r="I101" s="11"/>
      <c r="J101" s="6" t="str">
        <f aca="false">IF(I101="","",IF(COUNTIFS(Freigaben!$B$5:$B$58,I101,Freigaben!$M$5:$M$58,"freigegeben")&gt;0,"ja","nein"))</f>
        <v/>
      </c>
      <c r="K101" s="6" t="str">
        <f aca="false">IF(I101="","",IFERROR(IF(INDEX(Freigaben!$N$5:$N$58,MATCH(I101,Freigaben!$B$5:$B$58,0))="","ohne Ampel",INDEX(Freigaben!$N$5:$N$58,MATCH(I101,Freigaben!$B$5:$B$58,0))),"nicht in Freigaben"))</f>
        <v/>
      </c>
      <c r="L101" s="11"/>
      <c r="M101" s="12"/>
      <c r="N101" s="11"/>
      <c r="O101" s="11"/>
      <c r="P101" s="11"/>
      <c r="Q101" s="11"/>
      <c r="R101" s="11"/>
      <c r="S101" s="11"/>
      <c r="T101" s="6" t="str">
        <f aca="false">IF(F101="","",IF(AND(J101="ja",M101&lt;&gt;"",OR(K101="grün",K101="gelb"),LEN(G101)&lt;=60),"ja","nein"))</f>
        <v/>
      </c>
      <c r="U101" s="6" t="str">
        <f aca="false">IF(T101&lt;&gt;"nein","",IF(J101&lt;&gt;"ja","keine Freigabe",IF(M101="","nicht an der Quelle bestätigt",IF(K101="rot","Ampel rot — nicht öffentlich",IF(OR(K101="ohne Ampel",K101="nicht in Freigaben"),"Ampel fehlt",IF(LEN(G101)&gt;60,"Kurzinfo zu lang",""))))))</f>
        <v/>
      </c>
      <c r="V101" s="11"/>
    </row>
    <row r="102" customFormat="false" ht="15" hidden="false" customHeight="false" outlineLevel="0" collapsed="false">
      <c r="A102" s="11"/>
      <c r="B102" s="12"/>
      <c r="C102" s="6" t="str">
        <f aca="false">IF(B102="","",CHOOSE(WEEKDAY(B102,2),"Mo","Di","Mi","Do","Fr","Sa","So"))</f>
        <v/>
      </c>
      <c r="D102" s="16"/>
      <c r="E102" s="16"/>
      <c r="F102" s="11"/>
      <c r="G102" s="11"/>
      <c r="H102" s="7" t="str">
        <f aca="false">IF(G102="","",LEN(G102))</f>
        <v/>
      </c>
      <c r="I102" s="11"/>
      <c r="J102" s="6" t="str">
        <f aca="false">IF(I102="","",IF(COUNTIFS(Freigaben!$B$5:$B$58,I102,Freigaben!$M$5:$M$58,"freigegeben")&gt;0,"ja","nein"))</f>
        <v/>
      </c>
      <c r="K102" s="6" t="str">
        <f aca="false">IF(I102="","",IFERROR(IF(INDEX(Freigaben!$N$5:$N$58,MATCH(I102,Freigaben!$B$5:$B$58,0))="","ohne Ampel",INDEX(Freigaben!$N$5:$N$58,MATCH(I102,Freigaben!$B$5:$B$58,0))),"nicht in Freigaben"))</f>
        <v/>
      </c>
      <c r="L102" s="11"/>
      <c r="M102" s="12"/>
      <c r="N102" s="11"/>
      <c r="O102" s="11"/>
      <c r="P102" s="11"/>
      <c r="Q102" s="11"/>
      <c r="R102" s="11"/>
      <c r="S102" s="11"/>
      <c r="T102" s="6" t="str">
        <f aca="false">IF(F102="","",IF(AND(J102="ja",M102&lt;&gt;"",OR(K102="grün",K102="gelb"),LEN(G102)&lt;=60),"ja","nein"))</f>
        <v/>
      </c>
      <c r="U102" s="6" t="str">
        <f aca="false">IF(T102&lt;&gt;"nein","",IF(J102&lt;&gt;"ja","keine Freigabe",IF(M102="","nicht an der Quelle bestätigt",IF(K102="rot","Ampel rot — nicht öffentlich",IF(OR(K102="ohne Ampel",K102="nicht in Freigaben"),"Ampel fehlt",IF(LEN(G102)&gt;60,"Kurzinfo zu lang",""))))))</f>
        <v/>
      </c>
      <c r="V102" s="11"/>
    </row>
    <row r="103" customFormat="false" ht="15" hidden="false" customHeight="false" outlineLevel="0" collapsed="false">
      <c r="A103" s="11"/>
      <c r="B103" s="12"/>
      <c r="C103" s="6" t="str">
        <f aca="false">IF(B103="","",CHOOSE(WEEKDAY(B103,2),"Mo","Di","Mi","Do","Fr","Sa","So"))</f>
        <v/>
      </c>
      <c r="D103" s="16"/>
      <c r="E103" s="16"/>
      <c r="F103" s="11"/>
      <c r="G103" s="11"/>
      <c r="H103" s="7" t="str">
        <f aca="false">IF(G103="","",LEN(G103))</f>
        <v/>
      </c>
      <c r="I103" s="11"/>
      <c r="J103" s="6" t="str">
        <f aca="false">IF(I103="","",IF(COUNTIFS(Freigaben!$B$5:$B$58,I103,Freigaben!$M$5:$M$58,"freigegeben")&gt;0,"ja","nein"))</f>
        <v/>
      </c>
      <c r="K103" s="6" t="str">
        <f aca="false">IF(I103="","",IFERROR(IF(INDEX(Freigaben!$N$5:$N$58,MATCH(I103,Freigaben!$B$5:$B$58,0))="","ohne Ampel",INDEX(Freigaben!$N$5:$N$58,MATCH(I103,Freigaben!$B$5:$B$58,0))),"nicht in Freigaben"))</f>
        <v/>
      </c>
      <c r="L103" s="11"/>
      <c r="M103" s="12"/>
      <c r="N103" s="11"/>
      <c r="O103" s="11"/>
      <c r="P103" s="11"/>
      <c r="Q103" s="11"/>
      <c r="R103" s="11"/>
      <c r="S103" s="11"/>
      <c r="T103" s="6" t="str">
        <f aca="false">IF(F103="","",IF(AND(J103="ja",M103&lt;&gt;"",OR(K103="grün",K103="gelb"),LEN(G103)&lt;=60),"ja","nein"))</f>
        <v/>
      </c>
      <c r="U103" s="6" t="str">
        <f aca="false">IF(T103&lt;&gt;"nein","",IF(J103&lt;&gt;"ja","keine Freigabe",IF(M103="","nicht an der Quelle bestätigt",IF(K103="rot","Ampel rot — nicht öffentlich",IF(OR(K103="ohne Ampel",K103="nicht in Freigaben"),"Ampel fehlt",IF(LEN(G103)&gt;60,"Kurzinfo zu lang",""))))))</f>
        <v/>
      </c>
      <c r="V103" s="11"/>
    </row>
    <row r="104" customFormat="false" ht="15" hidden="false" customHeight="false" outlineLevel="0" collapsed="false">
      <c r="A104" s="11"/>
      <c r="B104" s="12"/>
      <c r="C104" s="6" t="str">
        <f aca="false">IF(B104="","",CHOOSE(WEEKDAY(B104,2),"Mo","Di","Mi","Do","Fr","Sa","So"))</f>
        <v/>
      </c>
      <c r="D104" s="16"/>
      <c r="E104" s="16"/>
      <c r="F104" s="11"/>
      <c r="G104" s="11"/>
      <c r="H104" s="7" t="str">
        <f aca="false">IF(G104="","",LEN(G104))</f>
        <v/>
      </c>
      <c r="I104" s="11"/>
      <c r="J104" s="6" t="str">
        <f aca="false">IF(I104="","",IF(COUNTIFS(Freigaben!$B$5:$B$58,I104,Freigaben!$M$5:$M$58,"freigegeben")&gt;0,"ja","nein"))</f>
        <v/>
      </c>
      <c r="K104" s="6" t="str">
        <f aca="false">IF(I104="","",IFERROR(IF(INDEX(Freigaben!$N$5:$N$58,MATCH(I104,Freigaben!$B$5:$B$58,0))="","ohne Ampel",INDEX(Freigaben!$N$5:$N$58,MATCH(I104,Freigaben!$B$5:$B$58,0))),"nicht in Freigaben"))</f>
        <v/>
      </c>
      <c r="L104" s="11"/>
      <c r="M104" s="12"/>
      <c r="N104" s="11"/>
      <c r="O104" s="11"/>
      <c r="P104" s="11"/>
      <c r="Q104" s="11"/>
      <c r="R104" s="11"/>
      <c r="S104" s="11"/>
      <c r="T104" s="6" t="str">
        <f aca="false">IF(F104="","",IF(AND(J104="ja",M104&lt;&gt;"",OR(K104="grün",K104="gelb"),LEN(G104)&lt;=60),"ja","nein"))</f>
        <v/>
      </c>
      <c r="U104" s="6" t="str">
        <f aca="false">IF(T104&lt;&gt;"nein","",IF(J104&lt;&gt;"ja","keine Freigabe",IF(M104="","nicht an der Quelle bestätigt",IF(K104="rot","Ampel rot — nicht öffentlich",IF(OR(K104="ohne Ampel",K104="nicht in Freigaben"),"Ampel fehlt",IF(LEN(G104)&gt;60,"Kurzinfo zu lang",""))))))</f>
        <v/>
      </c>
      <c r="V104" s="11"/>
    </row>
    <row r="105" customFormat="false" ht="15" hidden="false" customHeight="false" outlineLevel="0" collapsed="false">
      <c r="A105" s="11"/>
      <c r="B105" s="12"/>
      <c r="C105" s="6" t="str">
        <f aca="false">IF(B105="","",CHOOSE(WEEKDAY(B105,2),"Mo","Di","Mi","Do","Fr","Sa","So"))</f>
        <v/>
      </c>
      <c r="D105" s="16"/>
      <c r="E105" s="16"/>
      <c r="F105" s="11"/>
      <c r="G105" s="11"/>
      <c r="H105" s="7" t="str">
        <f aca="false">IF(G105="","",LEN(G105))</f>
        <v/>
      </c>
      <c r="I105" s="11"/>
      <c r="J105" s="6" t="str">
        <f aca="false">IF(I105="","",IF(COUNTIFS(Freigaben!$B$5:$B$58,I105,Freigaben!$M$5:$M$58,"freigegeben")&gt;0,"ja","nein"))</f>
        <v/>
      </c>
      <c r="K105" s="6" t="str">
        <f aca="false">IF(I105="","",IFERROR(IF(INDEX(Freigaben!$N$5:$N$58,MATCH(I105,Freigaben!$B$5:$B$58,0))="","ohne Ampel",INDEX(Freigaben!$N$5:$N$58,MATCH(I105,Freigaben!$B$5:$B$58,0))),"nicht in Freigaben"))</f>
        <v/>
      </c>
      <c r="L105" s="11"/>
      <c r="M105" s="12"/>
      <c r="N105" s="11"/>
      <c r="O105" s="11"/>
      <c r="P105" s="11"/>
      <c r="Q105" s="11"/>
      <c r="R105" s="11"/>
      <c r="S105" s="11"/>
      <c r="T105" s="6" t="str">
        <f aca="false">IF(F105="","",IF(AND(J105="ja",M105&lt;&gt;"",OR(K105="grün",K105="gelb"),LEN(G105)&lt;=60),"ja","nein"))</f>
        <v/>
      </c>
      <c r="U105" s="6" t="str">
        <f aca="false">IF(T105&lt;&gt;"nein","",IF(J105&lt;&gt;"ja","keine Freigabe",IF(M105="","nicht an der Quelle bestätigt",IF(K105="rot","Ampel rot — nicht öffentlich",IF(OR(K105="ohne Ampel",K105="nicht in Freigaben"),"Ampel fehlt",IF(LEN(G105)&gt;60,"Kurzinfo zu lang",""))))))</f>
        <v/>
      </c>
      <c r="V105" s="11"/>
    </row>
    <row r="106" customFormat="false" ht="15" hidden="false" customHeight="false" outlineLevel="0" collapsed="false">
      <c r="A106" s="11"/>
      <c r="B106" s="12"/>
      <c r="C106" s="6" t="str">
        <f aca="false">IF(B106="","",CHOOSE(WEEKDAY(B106,2),"Mo","Di","Mi","Do","Fr","Sa","So"))</f>
        <v/>
      </c>
      <c r="D106" s="16"/>
      <c r="E106" s="16"/>
      <c r="F106" s="11"/>
      <c r="G106" s="11"/>
      <c r="H106" s="7" t="str">
        <f aca="false">IF(G106="","",LEN(G106))</f>
        <v/>
      </c>
      <c r="I106" s="11"/>
      <c r="J106" s="6" t="str">
        <f aca="false">IF(I106="","",IF(COUNTIFS(Freigaben!$B$5:$B$58,I106,Freigaben!$M$5:$M$58,"freigegeben")&gt;0,"ja","nein"))</f>
        <v/>
      </c>
      <c r="K106" s="6" t="str">
        <f aca="false">IF(I106="","",IFERROR(IF(INDEX(Freigaben!$N$5:$N$58,MATCH(I106,Freigaben!$B$5:$B$58,0))="","ohne Ampel",INDEX(Freigaben!$N$5:$N$58,MATCH(I106,Freigaben!$B$5:$B$58,0))),"nicht in Freigaben"))</f>
        <v/>
      </c>
      <c r="L106" s="11"/>
      <c r="M106" s="12"/>
      <c r="N106" s="11"/>
      <c r="O106" s="11"/>
      <c r="P106" s="11"/>
      <c r="Q106" s="11"/>
      <c r="R106" s="11"/>
      <c r="S106" s="11"/>
      <c r="T106" s="6" t="str">
        <f aca="false">IF(F106="","",IF(AND(J106="ja",M106&lt;&gt;"",OR(K106="grün",K106="gelb"),LEN(G106)&lt;=60),"ja","nein"))</f>
        <v/>
      </c>
      <c r="U106" s="6" t="str">
        <f aca="false">IF(T106&lt;&gt;"nein","",IF(J106&lt;&gt;"ja","keine Freigabe",IF(M106="","nicht an der Quelle bestätigt",IF(K106="rot","Ampel rot — nicht öffentlich",IF(OR(K106="ohne Ampel",K106="nicht in Freigaben"),"Ampel fehlt",IF(LEN(G106)&gt;60,"Kurzinfo zu lang",""))))))</f>
        <v/>
      </c>
      <c r="V106" s="11"/>
    </row>
    <row r="107" customFormat="false" ht="15" hidden="false" customHeight="false" outlineLevel="0" collapsed="false">
      <c r="A107" s="11"/>
      <c r="B107" s="12"/>
      <c r="C107" s="6" t="str">
        <f aca="false">IF(B107="","",CHOOSE(WEEKDAY(B107,2),"Mo","Di","Mi","Do","Fr","Sa","So"))</f>
        <v/>
      </c>
      <c r="D107" s="16"/>
      <c r="E107" s="16"/>
      <c r="F107" s="11"/>
      <c r="G107" s="11"/>
      <c r="H107" s="7" t="str">
        <f aca="false">IF(G107="","",LEN(G107))</f>
        <v/>
      </c>
      <c r="I107" s="11"/>
      <c r="J107" s="6" t="str">
        <f aca="false">IF(I107="","",IF(COUNTIFS(Freigaben!$B$5:$B$58,I107,Freigaben!$M$5:$M$58,"freigegeben")&gt;0,"ja","nein"))</f>
        <v/>
      </c>
      <c r="K107" s="6" t="str">
        <f aca="false">IF(I107="","",IFERROR(IF(INDEX(Freigaben!$N$5:$N$58,MATCH(I107,Freigaben!$B$5:$B$58,0))="","ohne Ampel",INDEX(Freigaben!$N$5:$N$58,MATCH(I107,Freigaben!$B$5:$B$58,0))),"nicht in Freigaben"))</f>
        <v/>
      </c>
      <c r="L107" s="11"/>
      <c r="M107" s="12"/>
      <c r="N107" s="11"/>
      <c r="O107" s="11"/>
      <c r="P107" s="11"/>
      <c r="Q107" s="11"/>
      <c r="R107" s="11"/>
      <c r="S107" s="11"/>
      <c r="T107" s="6" t="str">
        <f aca="false">IF(F107="","",IF(AND(J107="ja",M107&lt;&gt;"",OR(K107="grün",K107="gelb"),LEN(G107)&lt;=60),"ja","nein"))</f>
        <v/>
      </c>
      <c r="U107" s="6" t="str">
        <f aca="false">IF(T107&lt;&gt;"nein","",IF(J107&lt;&gt;"ja","keine Freigabe",IF(M107="","nicht an der Quelle bestätigt",IF(K107="rot","Ampel rot — nicht öffentlich",IF(OR(K107="ohne Ampel",K107="nicht in Freigaben"),"Ampel fehlt",IF(LEN(G107)&gt;60,"Kurzinfo zu lang",""))))))</f>
        <v/>
      </c>
      <c r="V107" s="11"/>
    </row>
    <row r="108" customFormat="false" ht="15" hidden="false" customHeight="false" outlineLevel="0" collapsed="false">
      <c r="A108" s="11"/>
      <c r="B108" s="12"/>
      <c r="C108" s="6" t="str">
        <f aca="false">IF(B108="","",CHOOSE(WEEKDAY(B108,2),"Mo","Di","Mi","Do","Fr","Sa","So"))</f>
        <v/>
      </c>
      <c r="D108" s="16"/>
      <c r="E108" s="16"/>
      <c r="F108" s="11"/>
      <c r="G108" s="11"/>
      <c r="H108" s="7" t="str">
        <f aca="false">IF(G108="","",LEN(G108))</f>
        <v/>
      </c>
      <c r="I108" s="11"/>
      <c r="J108" s="6" t="str">
        <f aca="false">IF(I108="","",IF(COUNTIFS(Freigaben!$B$5:$B$58,I108,Freigaben!$M$5:$M$58,"freigegeben")&gt;0,"ja","nein"))</f>
        <v/>
      </c>
      <c r="K108" s="6" t="str">
        <f aca="false">IF(I108="","",IFERROR(IF(INDEX(Freigaben!$N$5:$N$58,MATCH(I108,Freigaben!$B$5:$B$58,0))="","ohne Ampel",INDEX(Freigaben!$N$5:$N$58,MATCH(I108,Freigaben!$B$5:$B$58,0))),"nicht in Freigaben"))</f>
        <v/>
      </c>
      <c r="L108" s="11"/>
      <c r="M108" s="12"/>
      <c r="N108" s="11"/>
      <c r="O108" s="11"/>
      <c r="P108" s="11"/>
      <c r="Q108" s="11"/>
      <c r="R108" s="11"/>
      <c r="S108" s="11"/>
      <c r="T108" s="6" t="str">
        <f aca="false">IF(F108="","",IF(AND(J108="ja",M108&lt;&gt;"",OR(K108="grün",K108="gelb"),LEN(G108)&lt;=60),"ja","nein"))</f>
        <v/>
      </c>
      <c r="U108" s="6" t="str">
        <f aca="false">IF(T108&lt;&gt;"nein","",IF(J108&lt;&gt;"ja","keine Freigabe",IF(M108="","nicht an der Quelle bestätigt",IF(K108="rot","Ampel rot — nicht öffentlich",IF(OR(K108="ohne Ampel",K108="nicht in Freigaben"),"Ampel fehlt",IF(LEN(G108)&gt;60,"Kurzinfo zu lang",""))))))</f>
        <v/>
      </c>
      <c r="V108" s="11"/>
    </row>
    <row r="109" customFormat="false" ht="15" hidden="false" customHeight="false" outlineLevel="0" collapsed="false">
      <c r="A109" s="11"/>
      <c r="B109" s="12"/>
      <c r="C109" s="6" t="str">
        <f aca="false">IF(B109="","",CHOOSE(WEEKDAY(B109,2),"Mo","Di","Mi","Do","Fr","Sa","So"))</f>
        <v/>
      </c>
      <c r="D109" s="16"/>
      <c r="E109" s="16"/>
      <c r="F109" s="11"/>
      <c r="G109" s="11"/>
      <c r="H109" s="7" t="str">
        <f aca="false">IF(G109="","",LEN(G109))</f>
        <v/>
      </c>
      <c r="I109" s="11"/>
      <c r="J109" s="6" t="str">
        <f aca="false">IF(I109="","",IF(COUNTIFS(Freigaben!$B$5:$B$58,I109,Freigaben!$M$5:$M$58,"freigegeben")&gt;0,"ja","nein"))</f>
        <v/>
      </c>
      <c r="K109" s="6" t="str">
        <f aca="false">IF(I109="","",IFERROR(IF(INDEX(Freigaben!$N$5:$N$58,MATCH(I109,Freigaben!$B$5:$B$58,0))="","ohne Ampel",INDEX(Freigaben!$N$5:$N$58,MATCH(I109,Freigaben!$B$5:$B$58,0))),"nicht in Freigaben"))</f>
        <v/>
      </c>
      <c r="L109" s="11"/>
      <c r="M109" s="12"/>
      <c r="N109" s="11"/>
      <c r="O109" s="11"/>
      <c r="P109" s="11"/>
      <c r="Q109" s="11"/>
      <c r="R109" s="11"/>
      <c r="S109" s="11"/>
      <c r="T109" s="6" t="str">
        <f aca="false">IF(F109="","",IF(AND(J109="ja",M109&lt;&gt;"",OR(K109="grün",K109="gelb"),LEN(G109)&lt;=60),"ja","nein"))</f>
        <v/>
      </c>
      <c r="U109" s="6" t="str">
        <f aca="false">IF(T109&lt;&gt;"nein","",IF(J109&lt;&gt;"ja","keine Freigabe",IF(M109="","nicht an der Quelle bestätigt",IF(K109="rot","Ampel rot — nicht öffentlich",IF(OR(K109="ohne Ampel",K109="nicht in Freigaben"),"Ampel fehlt",IF(LEN(G109)&gt;60,"Kurzinfo zu lang",""))))))</f>
        <v/>
      </c>
      <c r="V109" s="11"/>
    </row>
    <row r="110" customFormat="false" ht="15" hidden="false" customHeight="false" outlineLevel="0" collapsed="false">
      <c r="A110" s="11"/>
      <c r="B110" s="12"/>
      <c r="C110" s="6" t="str">
        <f aca="false">IF(B110="","",CHOOSE(WEEKDAY(B110,2),"Mo","Di","Mi","Do","Fr","Sa","So"))</f>
        <v/>
      </c>
      <c r="D110" s="16"/>
      <c r="E110" s="16"/>
      <c r="F110" s="11"/>
      <c r="G110" s="11"/>
      <c r="H110" s="7" t="str">
        <f aca="false">IF(G110="","",LEN(G110))</f>
        <v/>
      </c>
      <c r="I110" s="11"/>
      <c r="J110" s="6" t="str">
        <f aca="false">IF(I110="","",IF(COUNTIFS(Freigaben!$B$5:$B$58,I110,Freigaben!$M$5:$M$58,"freigegeben")&gt;0,"ja","nein"))</f>
        <v/>
      </c>
      <c r="K110" s="6" t="str">
        <f aca="false">IF(I110="","",IFERROR(IF(INDEX(Freigaben!$N$5:$N$58,MATCH(I110,Freigaben!$B$5:$B$58,0))="","ohne Ampel",INDEX(Freigaben!$N$5:$N$58,MATCH(I110,Freigaben!$B$5:$B$58,0))),"nicht in Freigaben"))</f>
        <v/>
      </c>
      <c r="L110" s="11"/>
      <c r="M110" s="12"/>
      <c r="N110" s="11"/>
      <c r="O110" s="11"/>
      <c r="P110" s="11"/>
      <c r="Q110" s="11"/>
      <c r="R110" s="11"/>
      <c r="S110" s="11"/>
      <c r="T110" s="6" t="str">
        <f aca="false">IF(F110="","",IF(AND(J110="ja",M110&lt;&gt;"",OR(K110="grün",K110="gelb"),LEN(G110)&lt;=60),"ja","nein"))</f>
        <v/>
      </c>
      <c r="U110" s="6" t="str">
        <f aca="false">IF(T110&lt;&gt;"nein","",IF(J110&lt;&gt;"ja","keine Freigabe",IF(M110="","nicht an der Quelle bestätigt",IF(K110="rot","Ampel rot — nicht öffentlich",IF(OR(K110="ohne Ampel",K110="nicht in Freigaben"),"Ampel fehlt",IF(LEN(G110)&gt;60,"Kurzinfo zu lang",""))))))</f>
        <v/>
      </c>
      <c r="V110" s="11"/>
    </row>
    <row r="111" customFormat="false" ht="15" hidden="false" customHeight="false" outlineLevel="0" collapsed="false">
      <c r="A111" s="11"/>
      <c r="B111" s="12"/>
      <c r="C111" s="6" t="str">
        <f aca="false">IF(B111="","",CHOOSE(WEEKDAY(B111,2),"Mo","Di","Mi","Do","Fr","Sa","So"))</f>
        <v/>
      </c>
      <c r="D111" s="16"/>
      <c r="E111" s="16"/>
      <c r="F111" s="11"/>
      <c r="G111" s="11"/>
      <c r="H111" s="7" t="str">
        <f aca="false">IF(G111="","",LEN(G111))</f>
        <v/>
      </c>
      <c r="I111" s="11"/>
      <c r="J111" s="6" t="str">
        <f aca="false">IF(I111="","",IF(COUNTIFS(Freigaben!$B$5:$B$58,I111,Freigaben!$M$5:$M$58,"freigegeben")&gt;0,"ja","nein"))</f>
        <v/>
      </c>
      <c r="K111" s="6" t="str">
        <f aca="false">IF(I111="","",IFERROR(IF(INDEX(Freigaben!$N$5:$N$58,MATCH(I111,Freigaben!$B$5:$B$58,0))="","ohne Ampel",INDEX(Freigaben!$N$5:$N$58,MATCH(I111,Freigaben!$B$5:$B$58,0))),"nicht in Freigaben"))</f>
        <v/>
      </c>
      <c r="L111" s="11"/>
      <c r="M111" s="12"/>
      <c r="N111" s="11"/>
      <c r="O111" s="11"/>
      <c r="P111" s="11"/>
      <c r="Q111" s="11"/>
      <c r="R111" s="11"/>
      <c r="S111" s="11"/>
      <c r="T111" s="6" t="str">
        <f aca="false">IF(F111="","",IF(AND(J111="ja",M111&lt;&gt;"",OR(K111="grün",K111="gelb"),LEN(G111)&lt;=60),"ja","nein"))</f>
        <v/>
      </c>
      <c r="U111" s="6" t="str">
        <f aca="false">IF(T111&lt;&gt;"nein","",IF(J111&lt;&gt;"ja","keine Freigabe",IF(M111="","nicht an der Quelle bestätigt",IF(K111="rot","Ampel rot — nicht öffentlich",IF(OR(K111="ohne Ampel",K111="nicht in Freigaben"),"Ampel fehlt",IF(LEN(G111)&gt;60,"Kurzinfo zu lang",""))))))</f>
        <v/>
      </c>
      <c r="V111" s="11"/>
    </row>
    <row r="112" customFormat="false" ht="15" hidden="false" customHeight="false" outlineLevel="0" collapsed="false">
      <c r="A112" s="11"/>
      <c r="B112" s="12"/>
      <c r="C112" s="6" t="str">
        <f aca="false">IF(B112="","",CHOOSE(WEEKDAY(B112,2),"Mo","Di","Mi","Do","Fr","Sa","So"))</f>
        <v/>
      </c>
      <c r="D112" s="16"/>
      <c r="E112" s="16"/>
      <c r="F112" s="11"/>
      <c r="G112" s="11"/>
      <c r="H112" s="7" t="str">
        <f aca="false">IF(G112="","",LEN(G112))</f>
        <v/>
      </c>
      <c r="I112" s="11"/>
      <c r="J112" s="6" t="str">
        <f aca="false">IF(I112="","",IF(COUNTIFS(Freigaben!$B$5:$B$58,I112,Freigaben!$M$5:$M$58,"freigegeben")&gt;0,"ja","nein"))</f>
        <v/>
      </c>
      <c r="K112" s="6" t="str">
        <f aca="false">IF(I112="","",IFERROR(IF(INDEX(Freigaben!$N$5:$N$58,MATCH(I112,Freigaben!$B$5:$B$58,0))="","ohne Ampel",INDEX(Freigaben!$N$5:$N$58,MATCH(I112,Freigaben!$B$5:$B$58,0))),"nicht in Freigaben"))</f>
        <v/>
      </c>
      <c r="L112" s="11"/>
      <c r="M112" s="12"/>
      <c r="N112" s="11"/>
      <c r="O112" s="11"/>
      <c r="P112" s="11"/>
      <c r="Q112" s="11"/>
      <c r="R112" s="11"/>
      <c r="S112" s="11"/>
      <c r="T112" s="6" t="str">
        <f aca="false">IF(F112="","",IF(AND(J112="ja",M112&lt;&gt;"",OR(K112="grün",K112="gelb"),LEN(G112)&lt;=60),"ja","nein"))</f>
        <v/>
      </c>
      <c r="U112" s="6" t="str">
        <f aca="false">IF(T112&lt;&gt;"nein","",IF(J112&lt;&gt;"ja","keine Freigabe",IF(M112="","nicht an der Quelle bestätigt",IF(K112="rot","Ampel rot — nicht öffentlich",IF(OR(K112="ohne Ampel",K112="nicht in Freigaben"),"Ampel fehlt",IF(LEN(G112)&gt;60,"Kurzinfo zu lang",""))))))</f>
        <v/>
      </c>
      <c r="V112" s="11"/>
    </row>
    <row r="113" customFormat="false" ht="15" hidden="false" customHeight="false" outlineLevel="0" collapsed="false">
      <c r="A113" s="11"/>
      <c r="B113" s="12"/>
      <c r="C113" s="6" t="str">
        <f aca="false">IF(B113="","",CHOOSE(WEEKDAY(B113,2),"Mo","Di","Mi","Do","Fr","Sa","So"))</f>
        <v/>
      </c>
      <c r="D113" s="16"/>
      <c r="E113" s="16"/>
      <c r="F113" s="11"/>
      <c r="G113" s="11"/>
      <c r="H113" s="7" t="str">
        <f aca="false">IF(G113="","",LEN(G113))</f>
        <v/>
      </c>
      <c r="I113" s="11"/>
      <c r="J113" s="6" t="str">
        <f aca="false">IF(I113="","",IF(COUNTIFS(Freigaben!$B$5:$B$58,I113,Freigaben!$M$5:$M$58,"freigegeben")&gt;0,"ja","nein"))</f>
        <v/>
      </c>
      <c r="K113" s="6" t="str">
        <f aca="false">IF(I113="","",IFERROR(IF(INDEX(Freigaben!$N$5:$N$58,MATCH(I113,Freigaben!$B$5:$B$58,0))="","ohne Ampel",INDEX(Freigaben!$N$5:$N$58,MATCH(I113,Freigaben!$B$5:$B$58,0))),"nicht in Freigaben"))</f>
        <v/>
      </c>
      <c r="L113" s="11"/>
      <c r="M113" s="12"/>
      <c r="N113" s="11"/>
      <c r="O113" s="11"/>
      <c r="P113" s="11"/>
      <c r="Q113" s="11"/>
      <c r="R113" s="11"/>
      <c r="S113" s="11"/>
      <c r="T113" s="6" t="str">
        <f aca="false">IF(F113="","",IF(AND(J113="ja",M113&lt;&gt;"",OR(K113="grün",K113="gelb"),LEN(G113)&lt;=60),"ja","nein"))</f>
        <v/>
      </c>
      <c r="U113" s="6" t="str">
        <f aca="false">IF(T113&lt;&gt;"nein","",IF(J113&lt;&gt;"ja","keine Freigabe",IF(M113="","nicht an der Quelle bestätigt",IF(K113="rot","Ampel rot — nicht öffentlich",IF(OR(K113="ohne Ampel",K113="nicht in Freigaben"),"Ampel fehlt",IF(LEN(G113)&gt;60,"Kurzinfo zu lang",""))))))</f>
        <v/>
      </c>
      <c r="V113" s="11"/>
    </row>
    <row r="114" customFormat="false" ht="15" hidden="false" customHeight="false" outlineLevel="0" collapsed="false">
      <c r="A114" s="11"/>
      <c r="B114" s="12"/>
      <c r="C114" s="6" t="str">
        <f aca="false">IF(B114="","",CHOOSE(WEEKDAY(B114,2),"Mo","Di","Mi","Do","Fr","Sa","So"))</f>
        <v/>
      </c>
      <c r="D114" s="16"/>
      <c r="E114" s="16"/>
      <c r="F114" s="11"/>
      <c r="G114" s="11"/>
      <c r="H114" s="7" t="str">
        <f aca="false">IF(G114="","",LEN(G114))</f>
        <v/>
      </c>
      <c r="I114" s="11"/>
      <c r="J114" s="6" t="str">
        <f aca="false">IF(I114="","",IF(COUNTIFS(Freigaben!$B$5:$B$58,I114,Freigaben!$M$5:$M$58,"freigegeben")&gt;0,"ja","nein"))</f>
        <v/>
      </c>
      <c r="K114" s="6" t="str">
        <f aca="false">IF(I114="","",IFERROR(IF(INDEX(Freigaben!$N$5:$N$58,MATCH(I114,Freigaben!$B$5:$B$58,0))="","ohne Ampel",INDEX(Freigaben!$N$5:$N$58,MATCH(I114,Freigaben!$B$5:$B$58,0))),"nicht in Freigaben"))</f>
        <v/>
      </c>
      <c r="L114" s="11"/>
      <c r="M114" s="12"/>
      <c r="N114" s="11"/>
      <c r="O114" s="11"/>
      <c r="P114" s="11"/>
      <c r="Q114" s="11"/>
      <c r="R114" s="11"/>
      <c r="S114" s="11"/>
      <c r="T114" s="6" t="str">
        <f aca="false">IF(F114="","",IF(AND(J114="ja",M114&lt;&gt;"",OR(K114="grün",K114="gelb"),LEN(G114)&lt;=60),"ja","nein"))</f>
        <v/>
      </c>
      <c r="U114" s="6" t="str">
        <f aca="false">IF(T114&lt;&gt;"nein","",IF(J114&lt;&gt;"ja","keine Freigabe",IF(M114="","nicht an der Quelle bestätigt",IF(K114="rot","Ampel rot — nicht öffentlich",IF(OR(K114="ohne Ampel",K114="nicht in Freigaben"),"Ampel fehlt",IF(LEN(G114)&gt;60,"Kurzinfo zu lang",""))))))</f>
        <v/>
      </c>
      <c r="V114" s="11"/>
    </row>
    <row r="115" customFormat="false" ht="15" hidden="false" customHeight="false" outlineLevel="0" collapsed="false">
      <c r="A115" s="11"/>
      <c r="B115" s="12"/>
      <c r="C115" s="6" t="str">
        <f aca="false">IF(B115="","",CHOOSE(WEEKDAY(B115,2),"Mo","Di","Mi","Do","Fr","Sa","So"))</f>
        <v/>
      </c>
      <c r="D115" s="16"/>
      <c r="E115" s="16"/>
      <c r="F115" s="11"/>
      <c r="G115" s="11"/>
      <c r="H115" s="7" t="str">
        <f aca="false">IF(G115="","",LEN(G115))</f>
        <v/>
      </c>
      <c r="I115" s="11"/>
      <c r="J115" s="6" t="str">
        <f aca="false">IF(I115="","",IF(COUNTIFS(Freigaben!$B$5:$B$58,I115,Freigaben!$M$5:$M$58,"freigegeben")&gt;0,"ja","nein"))</f>
        <v/>
      </c>
      <c r="K115" s="6" t="str">
        <f aca="false">IF(I115="","",IFERROR(IF(INDEX(Freigaben!$N$5:$N$58,MATCH(I115,Freigaben!$B$5:$B$58,0))="","ohne Ampel",INDEX(Freigaben!$N$5:$N$58,MATCH(I115,Freigaben!$B$5:$B$58,0))),"nicht in Freigaben"))</f>
        <v/>
      </c>
      <c r="L115" s="11"/>
      <c r="M115" s="12"/>
      <c r="N115" s="11"/>
      <c r="O115" s="11"/>
      <c r="P115" s="11"/>
      <c r="Q115" s="11"/>
      <c r="R115" s="11"/>
      <c r="S115" s="11"/>
      <c r="T115" s="6" t="str">
        <f aca="false">IF(F115="","",IF(AND(J115="ja",M115&lt;&gt;"",OR(K115="grün",K115="gelb"),LEN(G115)&lt;=60),"ja","nein"))</f>
        <v/>
      </c>
      <c r="U115" s="6" t="str">
        <f aca="false">IF(T115&lt;&gt;"nein","",IF(J115&lt;&gt;"ja","keine Freigabe",IF(M115="","nicht an der Quelle bestätigt",IF(K115="rot","Ampel rot — nicht öffentlich",IF(OR(K115="ohne Ampel",K115="nicht in Freigaben"),"Ampel fehlt",IF(LEN(G115)&gt;60,"Kurzinfo zu lang",""))))))</f>
        <v/>
      </c>
      <c r="V115" s="11"/>
    </row>
    <row r="116" customFormat="false" ht="15" hidden="false" customHeight="false" outlineLevel="0" collapsed="false">
      <c r="A116" s="11"/>
      <c r="B116" s="12"/>
      <c r="C116" s="6" t="str">
        <f aca="false">IF(B116="","",CHOOSE(WEEKDAY(B116,2),"Mo","Di","Mi","Do","Fr","Sa","So"))</f>
        <v/>
      </c>
      <c r="D116" s="16"/>
      <c r="E116" s="16"/>
      <c r="F116" s="11"/>
      <c r="G116" s="11"/>
      <c r="H116" s="7" t="str">
        <f aca="false">IF(G116="","",LEN(G116))</f>
        <v/>
      </c>
      <c r="I116" s="11"/>
      <c r="J116" s="6" t="str">
        <f aca="false">IF(I116="","",IF(COUNTIFS(Freigaben!$B$5:$B$58,I116,Freigaben!$M$5:$M$58,"freigegeben")&gt;0,"ja","nein"))</f>
        <v/>
      </c>
      <c r="K116" s="6" t="str">
        <f aca="false">IF(I116="","",IFERROR(IF(INDEX(Freigaben!$N$5:$N$58,MATCH(I116,Freigaben!$B$5:$B$58,0))="","ohne Ampel",INDEX(Freigaben!$N$5:$N$58,MATCH(I116,Freigaben!$B$5:$B$58,0))),"nicht in Freigaben"))</f>
        <v/>
      </c>
      <c r="L116" s="11"/>
      <c r="M116" s="12"/>
      <c r="N116" s="11"/>
      <c r="O116" s="11"/>
      <c r="P116" s="11"/>
      <c r="Q116" s="11"/>
      <c r="R116" s="11"/>
      <c r="S116" s="11"/>
      <c r="T116" s="6" t="str">
        <f aca="false">IF(F116="","",IF(AND(J116="ja",M116&lt;&gt;"",OR(K116="grün",K116="gelb"),LEN(G116)&lt;=60),"ja","nein"))</f>
        <v/>
      </c>
      <c r="U116" s="6" t="str">
        <f aca="false">IF(T116&lt;&gt;"nein","",IF(J116&lt;&gt;"ja","keine Freigabe",IF(M116="","nicht an der Quelle bestätigt",IF(K116="rot","Ampel rot — nicht öffentlich",IF(OR(K116="ohne Ampel",K116="nicht in Freigaben"),"Ampel fehlt",IF(LEN(G116)&gt;60,"Kurzinfo zu lang",""))))))</f>
        <v/>
      </c>
      <c r="V116" s="11"/>
    </row>
    <row r="117" customFormat="false" ht="15" hidden="false" customHeight="false" outlineLevel="0" collapsed="false">
      <c r="A117" s="11"/>
      <c r="B117" s="12"/>
      <c r="C117" s="6" t="str">
        <f aca="false">IF(B117="","",CHOOSE(WEEKDAY(B117,2),"Mo","Di","Mi","Do","Fr","Sa","So"))</f>
        <v/>
      </c>
      <c r="D117" s="16"/>
      <c r="E117" s="16"/>
      <c r="F117" s="11"/>
      <c r="G117" s="11"/>
      <c r="H117" s="7" t="str">
        <f aca="false">IF(G117="","",LEN(G117))</f>
        <v/>
      </c>
      <c r="I117" s="11"/>
      <c r="J117" s="6" t="str">
        <f aca="false">IF(I117="","",IF(COUNTIFS(Freigaben!$B$5:$B$58,I117,Freigaben!$M$5:$M$58,"freigegeben")&gt;0,"ja","nein"))</f>
        <v/>
      </c>
      <c r="K117" s="6" t="str">
        <f aca="false">IF(I117="","",IFERROR(IF(INDEX(Freigaben!$N$5:$N$58,MATCH(I117,Freigaben!$B$5:$B$58,0))="","ohne Ampel",INDEX(Freigaben!$N$5:$N$58,MATCH(I117,Freigaben!$B$5:$B$58,0))),"nicht in Freigaben"))</f>
        <v/>
      </c>
      <c r="L117" s="11"/>
      <c r="M117" s="12"/>
      <c r="N117" s="11"/>
      <c r="O117" s="11"/>
      <c r="P117" s="11"/>
      <c r="Q117" s="11"/>
      <c r="R117" s="11"/>
      <c r="S117" s="11"/>
      <c r="T117" s="6" t="str">
        <f aca="false">IF(F117="","",IF(AND(J117="ja",M117&lt;&gt;"",OR(K117="grün",K117="gelb"),LEN(G117)&lt;=60),"ja","nein"))</f>
        <v/>
      </c>
      <c r="U117" s="6" t="str">
        <f aca="false">IF(T117&lt;&gt;"nein","",IF(J117&lt;&gt;"ja","keine Freigabe",IF(M117="","nicht an der Quelle bestätigt",IF(K117="rot","Ampel rot — nicht öffentlich",IF(OR(K117="ohne Ampel",K117="nicht in Freigaben"),"Ampel fehlt",IF(LEN(G117)&gt;60,"Kurzinfo zu lang",""))))))</f>
        <v/>
      </c>
      <c r="V117" s="11"/>
    </row>
    <row r="118" customFormat="false" ht="15" hidden="false" customHeight="false" outlineLevel="0" collapsed="false">
      <c r="A118" s="11"/>
      <c r="B118" s="12"/>
      <c r="C118" s="6" t="str">
        <f aca="false">IF(B118="","",CHOOSE(WEEKDAY(B118,2),"Mo","Di","Mi","Do","Fr","Sa","So"))</f>
        <v/>
      </c>
      <c r="D118" s="16"/>
      <c r="E118" s="16"/>
      <c r="F118" s="11"/>
      <c r="G118" s="11"/>
      <c r="H118" s="7" t="str">
        <f aca="false">IF(G118="","",LEN(G118))</f>
        <v/>
      </c>
      <c r="I118" s="11"/>
      <c r="J118" s="6" t="str">
        <f aca="false">IF(I118="","",IF(COUNTIFS(Freigaben!$B$5:$B$58,I118,Freigaben!$M$5:$M$58,"freigegeben")&gt;0,"ja","nein"))</f>
        <v/>
      </c>
      <c r="K118" s="6" t="str">
        <f aca="false">IF(I118="","",IFERROR(IF(INDEX(Freigaben!$N$5:$N$58,MATCH(I118,Freigaben!$B$5:$B$58,0))="","ohne Ampel",INDEX(Freigaben!$N$5:$N$58,MATCH(I118,Freigaben!$B$5:$B$58,0))),"nicht in Freigaben"))</f>
        <v/>
      </c>
      <c r="L118" s="11"/>
      <c r="M118" s="12"/>
      <c r="N118" s="11"/>
      <c r="O118" s="11"/>
      <c r="P118" s="11"/>
      <c r="Q118" s="11"/>
      <c r="R118" s="11"/>
      <c r="S118" s="11"/>
      <c r="T118" s="6" t="str">
        <f aca="false">IF(F118="","",IF(AND(J118="ja",M118&lt;&gt;"",OR(K118="grün",K118="gelb"),LEN(G118)&lt;=60),"ja","nein"))</f>
        <v/>
      </c>
      <c r="U118" s="6" t="str">
        <f aca="false">IF(T118&lt;&gt;"nein","",IF(J118&lt;&gt;"ja","keine Freigabe",IF(M118="","nicht an der Quelle bestätigt",IF(K118="rot","Ampel rot — nicht öffentlich",IF(OR(K118="ohne Ampel",K118="nicht in Freigaben"),"Ampel fehlt",IF(LEN(G118)&gt;60,"Kurzinfo zu lang",""))))))</f>
        <v/>
      </c>
      <c r="V118" s="11"/>
    </row>
    <row r="119" customFormat="false" ht="15" hidden="false" customHeight="false" outlineLevel="0" collapsed="false">
      <c r="A119" s="11"/>
      <c r="B119" s="12"/>
      <c r="C119" s="6" t="str">
        <f aca="false">IF(B119="","",CHOOSE(WEEKDAY(B119,2),"Mo","Di","Mi","Do","Fr","Sa","So"))</f>
        <v/>
      </c>
      <c r="D119" s="16"/>
      <c r="E119" s="16"/>
      <c r="F119" s="11"/>
      <c r="G119" s="11"/>
      <c r="H119" s="7" t="str">
        <f aca="false">IF(G119="","",LEN(G119))</f>
        <v/>
      </c>
      <c r="I119" s="11"/>
      <c r="J119" s="6" t="str">
        <f aca="false">IF(I119="","",IF(COUNTIFS(Freigaben!$B$5:$B$58,I119,Freigaben!$M$5:$M$58,"freigegeben")&gt;0,"ja","nein"))</f>
        <v/>
      </c>
      <c r="K119" s="6" t="str">
        <f aca="false">IF(I119="","",IFERROR(IF(INDEX(Freigaben!$N$5:$N$58,MATCH(I119,Freigaben!$B$5:$B$58,0))="","ohne Ampel",INDEX(Freigaben!$N$5:$N$58,MATCH(I119,Freigaben!$B$5:$B$58,0))),"nicht in Freigaben"))</f>
        <v/>
      </c>
      <c r="L119" s="11"/>
      <c r="M119" s="12"/>
      <c r="N119" s="11"/>
      <c r="O119" s="11"/>
      <c r="P119" s="11"/>
      <c r="Q119" s="11"/>
      <c r="R119" s="11"/>
      <c r="S119" s="11"/>
      <c r="T119" s="6" t="str">
        <f aca="false">IF(F119="","",IF(AND(J119="ja",M119&lt;&gt;"",OR(K119="grün",K119="gelb"),LEN(G119)&lt;=60),"ja","nein"))</f>
        <v/>
      </c>
      <c r="U119" s="6" t="str">
        <f aca="false">IF(T119&lt;&gt;"nein","",IF(J119&lt;&gt;"ja","keine Freigabe",IF(M119="","nicht an der Quelle bestätigt",IF(K119="rot","Ampel rot — nicht öffentlich",IF(OR(K119="ohne Ampel",K119="nicht in Freigaben"),"Ampel fehlt",IF(LEN(G119)&gt;60,"Kurzinfo zu lang",""))))))</f>
        <v/>
      </c>
      <c r="V119" s="11"/>
    </row>
    <row r="120" customFormat="false" ht="15" hidden="false" customHeight="false" outlineLevel="0" collapsed="false">
      <c r="A120" s="11"/>
      <c r="B120" s="12"/>
      <c r="C120" s="6" t="str">
        <f aca="false">IF(B120="","",CHOOSE(WEEKDAY(B120,2),"Mo","Di","Mi","Do","Fr","Sa","So"))</f>
        <v/>
      </c>
      <c r="D120" s="16"/>
      <c r="E120" s="16"/>
      <c r="F120" s="11"/>
      <c r="G120" s="11"/>
      <c r="H120" s="7" t="str">
        <f aca="false">IF(G120="","",LEN(G120))</f>
        <v/>
      </c>
      <c r="I120" s="11"/>
      <c r="J120" s="6" t="str">
        <f aca="false">IF(I120="","",IF(COUNTIFS(Freigaben!$B$5:$B$58,I120,Freigaben!$M$5:$M$58,"freigegeben")&gt;0,"ja","nein"))</f>
        <v/>
      </c>
      <c r="K120" s="6" t="str">
        <f aca="false">IF(I120="","",IFERROR(IF(INDEX(Freigaben!$N$5:$N$58,MATCH(I120,Freigaben!$B$5:$B$58,0))="","ohne Ampel",INDEX(Freigaben!$N$5:$N$58,MATCH(I120,Freigaben!$B$5:$B$58,0))),"nicht in Freigaben"))</f>
        <v/>
      </c>
      <c r="L120" s="11"/>
      <c r="M120" s="12"/>
      <c r="N120" s="11"/>
      <c r="O120" s="11"/>
      <c r="P120" s="11"/>
      <c r="Q120" s="11"/>
      <c r="R120" s="11"/>
      <c r="S120" s="11"/>
      <c r="T120" s="6" t="str">
        <f aca="false">IF(F120="","",IF(AND(J120="ja",M120&lt;&gt;"",OR(K120="grün",K120="gelb"),LEN(G120)&lt;=60),"ja","nein"))</f>
        <v/>
      </c>
      <c r="U120" s="6" t="str">
        <f aca="false">IF(T120&lt;&gt;"nein","",IF(J120&lt;&gt;"ja","keine Freigabe",IF(M120="","nicht an der Quelle bestätigt",IF(K120="rot","Ampel rot — nicht öffentlich",IF(OR(K120="ohne Ampel",K120="nicht in Freigaben"),"Ampel fehlt",IF(LEN(G120)&gt;60,"Kurzinfo zu lang",""))))))</f>
        <v/>
      </c>
      <c r="V120" s="11"/>
    </row>
    <row r="121" customFormat="false" ht="15" hidden="false" customHeight="false" outlineLevel="0" collapsed="false">
      <c r="A121" s="11"/>
      <c r="B121" s="12"/>
      <c r="C121" s="6" t="str">
        <f aca="false">IF(B121="","",CHOOSE(WEEKDAY(B121,2),"Mo","Di","Mi","Do","Fr","Sa","So"))</f>
        <v/>
      </c>
      <c r="D121" s="16"/>
      <c r="E121" s="16"/>
      <c r="F121" s="11"/>
      <c r="G121" s="11"/>
      <c r="H121" s="7" t="str">
        <f aca="false">IF(G121="","",LEN(G121))</f>
        <v/>
      </c>
      <c r="I121" s="11"/>
      <c r="J121" s="6" t="str">
        <f aca="false">IF(I121="","",IF(COUNTIFS(Freigaben!$B$5:$B$58,I121,Freigaben!$M$5:$M$58,"freigegeben")&gt;0,"ja","nein"))</f>
        <v/>
      </c>
      <c r="K121" s="6" t="str">
        <f aca="false">IF(I121="","",IFERROR(IF(INDEX(Freigaben!$N$5:$N$58,MATCH(I121,Freigaben!$B$5:$B$58,0))="","ohne Ampel",INDEX(Freigaben!$N$5:$N$58,MATCH(I121,Freigaben!$B$5:$B$58,0))),"nicht in Freigaben"))</f>
        <v/>
      </c>
      <c r="L121" s="11"/>
      <c r="M121" s="12"/>
      <c r="N121" s="11"/>
      <c r="O121" s="11"/>
      <c r="P121" s="11"/>
      <c r="Q121" s="11"/>
      <c r="R121" s="11"/>
      <c r="S121" s="11"/>
      <c r="T121" s="6" t="str">
        <f aca="false">IF(F121="","",IF(AND(J121="ja",M121&lt;&gt;"",OR(K121="grün",K121="gelb"),LEN(G121)&lt;=60),"ja","nein"))</f>
        <v/>
      </c>
      <c r="U121" s="6" t="str">
        <f aca="false">IF(T121&lt;&gt;"nein","",IF(J121&lt;&gt;"ja","keine Freigabe",IF(M121="","nicht an der Quelle bestätigt",IF(K121="rot","Ampel rot — nicht öffentlich",IF(OR(K121="ohne Ampel",K121="nicht in Freigaben"),"Ampel fehlt",IF(LEN(G121)&gt;60,"Kurzinfo zu lang",""))))))</f>
        <v/>
      </c>
      <c r="V121" s="11"/>
    </row>
    <row r="122" customFormat="false" ht="15" hidden="false" customHeight="false" outlineLevel="0" collapsed="false">
      <c r="A122" s="11"/>
      <c r="B122" s="12"/>
      <c r="C122" s="6" t="str">
        <f aca="false">IF(B122="","",CHOOSE(WEEKDAY(B122,2),"Mo","Di","Mi","Do","Fr","Sa","So"))</f>
        <v/>
      </c>
      <c r="D122" s="16"/>
      <c r="E122" s="16"/>
      <c r="F122" s="11"/>
      <c r="G122" s="11"/>
      <c r="H122" s="7" t="str">
        <f aca="false">IF(G122="","",LEN(G122))</f>
        <v/>
      </c>
      <c r="I122" s="11"/>
      <c r="J122" s="6" t="str">
        <f aca="false">IF(I122="","",IF(COUNTIFS(Freigaben!$B$5:$B$58,I122,Freigaben!$M$5:$M$58,"freigegeben")&gt;0,"ja","nein"))</f>
        <v/>
      </c>
      <c r="K122" s="6" t="str">
        <f aca="false">IF(I122="","",IFERROR(IF(INDEX(Freigaben!$N$5:$N$58,MATCH(I122,Freigaben!$B$5:$B$58,0))="","ohne Ampel",INDEX(Freigaben!$N$5:$N$58,MATCH(I122,Freigaben!$B$5:$B$58,0))),"nicht in Freigaben"))</f>
        <v/>
      </c>
      <c r="L122" s="11"/>
      <c r="M122" s="12"/>
      <c r="N122" s="11"/>
      <c r="O122" s="11"/>
      <c r="P122" s="11"/>
      <c r="Q122" s="11"/>
      <c r="R122" s="11"/>
      <c r="S122" s="11"/>
      <c r="T122" s="6" t="str">
        <f aca="false">IF(F122="","",IF(AND(J122="ja",M122&lt;&gt;"",OR(K122="grün",K122="gelb"),LEN(G122)&lt;=60),"ja","nein"))</f>
        <v/>
      </c>
      <c r="U122" s="6" t="str">
        <f aca="false">IF(T122&lt;&gt;"nein","",IF(J122&lt;&gt;"ja","keine Freigabe",IF(M122="","nicht an der Quelle bestätigt",IF(K122="rot","Ampel rot — nicht öffentlich",IF(OR(K122="ohne Ampel",K122="nicht in Freigaben"),"Ampel fehlt",IF(LEN(G122)&gt;60,"Kurzinfo zu lang",""))))))</f>
        <v/>
      </c>
      <c r="V122" s="11"/>
    </row>
    <row r="123" customFormat="false" ht="15" hidden="false" customHeight="false" outlineLevel="0" collapsed="false">
      <c r="A123" s="11"/>
      <c r="B123" s="12"/>
      <c r="C123" s="6" t="str">
        <f aca="false">IF(B123="","",CHOOSE(WEEKDAY(B123,2),"Mo","Di","Mi","Do","Fr","Sa","So"))</f>
        <v/>
      </c>
      <c r="D123" s="16"/>
      <c r="E123" s="16"/>
      <c r="F123" s="11"/>
      <c r="G123" s="11"/>
      <c r="H123" s="7" t="str">
        <f aca="false">IF(G123="","",LEN(G123))</f>
        <v/>
      </c>
      <c r="I123" s="11"/>
      <c r="J123" s="6" t="str">
        <f aca="false">IF(I123="","",IF(COUNTIFS(Freigaben!$B$5:$B$58,I123,Freigaben!$M$5:$M$58,"freigegeben")&gt;0,"ja","nein"))</f>
        <v/>
      </c>
      <c r="K123" s="6" t="str">
        <f aca="false">IF(I123="","",IFERROR(IF(INDEX(Freigaben!$N$5:$N$58,MATCH(I123,Freigaben!$B$5:$B$58,0))="","ohne Ampel",INDEX(Freigaben!$N$5:$N$58,MATCH(I123,Freigaben!$B$5:$B$58,0))),"nicht in Freigaben"))</f>
        <v/>
      </c>
      <c r="L123" s="11"/>
      <c r="M123" s="12"/>
      <c r="N123" s="11"/>
      <c r="O123" s="11"/>
      <c r="P123" s="11"/>
      <c r="Q123" s="11"/>
      <c r="R123" s="11"/>
      <c r="S123" s="11"/>
      <c r="T123" s="6" t="str">
        <f aca="false">IF(F123="","",IF(AND(J123="ja",M123&lt;&gt;"",OR(K123="grün",K123="gelb"),LEN(G123)&lt;=60),"ja","nein"))</f>
        <v/>
      </c>
      <c r="U123" s="6" t="str">
        <f aca="false">IF(T123&lt;&gt;"nein","",IF(J123&lt;&gt;"ja","keine Freigabe",IF(M123="","nicht an der Quelle bestätigt",IF(K123="rot","Ampel rot — nicht öffentlich",IF(OR(K123="ohne Ampel",K123="nicht in Freigaben"),"Ampel fehlt",IF(LEN(G123)&gt;60,"Kurzinfo zu lang",""))))))</f>
        <v/>
      </c>
      <c r="V123" s="11"/>
    </row>
    <row r="124" customFormat="false" ht="15" hidden="false" customHeight="false" outlineLevel="0" collapsed="false">
      <c r="A124" s="11"/>
      <c r="B124" s="12"/>
      <c r="C124" s="6" t="str">
        <f aca="false">IF(B124="","",CHOOSE(WEEKDAY(B124,2),"Mo","Di","Mi","Do","Fr","Sa","So"))</f>
        <v/>
      </c>
      <c r="D124" s="16"/>
      <c r="E124" s="16"/>
      <c r="F124" s="11"/>
      <c r="G124" s="11"/>
      <c r="H124" s="7" t="str">
        <f aca="false">IF(G124="","",LEN(G124))</f>
        <v/>
      </c>
      <c r="I124" s="11"/>
      <c r="J124" s="6" t="str">
        <f aca="false">IF(I124="","",IF(COUNTIFS(Freigaben!$B$5:$B$58,I124,Freigaben!$M$5:$M$58,"freigegeben")&gt;0,"ja","nein"))</f>
        <v/>
      </c>
      <c r="K124" s="6" t="str">
        <f aca="false">IF(I124="","",IFERROR(IF(INDEX(Freigaben!$N$5:$N$58,MATCH(I124,Freigaben!$B$5:$B$58,0))="","ohne Ampel",INDEX(Freigaben!$N$5:$N$58,MATCH(I124,Freigaben!$B$5:$B$58,0))),"nicht in Freigaben"))</f>
        <v/>
      </c>
      <c r="L124" s="11"/>
      <c r="M124" s="12"/>
      <c r="N124" s="11"/>
      <c r="O124" s="11"/>
      <c r="P124" s="11"/>
      <c r="Q124" s="11"/>
      <c r="R124" s="11"/>
      <c r="S124" s="11"/>
      <c r="T124" s="6" t="str">
        <f aca="false">IF(F124="","",IF(AND(J124="ja",M124&lt;&gt;"",OR(K124="grün",K124="gelb"),LEN(G124)&lt;=60),"ja","nein"))</f>
        <v/>
      </c>
      <c r="U124" s="6" t="str">
        <f aca="false">IF(T124&lt;&gt;"nein","",IF(J124&lt;&gt;"ja","keine Freigabe",IF(M124="","nicht an der Quelle bestätigt",IF(K124="rot","Ampel rot — nicht öffentlich",IF(OR(K124="ohne Ampel",K124="nicht in Freigaben"),"Ampel fehlt",IF(LEN(G124)&gt;60,"Kurzinfo zu lang",""))))))</f>
        <v/>
      </c>
      <c r="V124" s="11"/>
    </row>
    <row r="125" customFormat="false" ht="15" hidden="false" customHeight="false" outlineLevel="0" collapsed="false">
      <c r="A125" s="11"/>
      <c r="B125" s="12"/>
      <c r="C125" s="6" t="str">
        <f aca="false">IF(B125="","",CHOOSE(WEEKDAY(B125,2),"Mo","Di","Mi","Do","Fr","Sa","So"))</f>
        <v/>
      </c>
      <c r="D125" s="16"/>
      <c r="E125" s="16"/>
      <c r="F125" s="11"/>
      <c r="G125" s="11"/>
      <c r="H125" s="7" t="str">
        <f aca="false">IF(G125="","",LEN(G125))</f>
        <v/>
      </c>
      <c r="I125" s="11"/>
      <c r="J125" s="6" t="str">
        <f aca="false">IF(I125="","",IF(COUNTIFS(Freigaben!$B$5:$B$58,I125,Freigaben!$M$5:$M$58,"freigegeben")&gt;0,"ja","nein"))</f>
        <v/>
      </c>
      <c r="K125" s="6" t="str">
        <f aca="false">IF(I125="","",IFERROR(IF(INDEX(Freigaben!$N$5:$N$58,MATCH(I125,Freigaben!$B$5:$B$58,0))="","ohne Ampel",INDEX(Freigaben!$N$5:$N$58,MATCH(I125,Freigaben!$B$5:$B$58,0))),"nicht in Freigaben"))</f>
        <v/>
      </c>
      <c r="L125" s="11"/>
      <c r="M125" s="12"/>
      <c r="N125" s="11"/>
      <c r="O125" s="11"/>
      <c r="P125" s="11"/>
      <c r="Q125" s="11"/>
      <c r="R125" s="11"/>
      <c r="S125" s="11"/>
      <c r="T125" s="6" t="str">
        <f aca="false">IF(F125="","",IF(AND(J125="ja",M125&lt;&gt;"",OR(K125="grün",K125="gelb"),LEN(G125)&lt;=60),"ja","nein"))</f>
        <v/>
      </c>
      <c r="U125" s="6" t="str">
        <f aca="false">IF(T125&lt;&gt;"nein","",IF(J125&lt;&gt;"ja","keine Freigabe",IF(M125="","nicht an der Quelle bestätigt",IF(K125="rot","Ampel rot — nicht öffentlich",IF(OR(K125="ohne Ampel",K125="nicht in Freigaben"),"Ampel fehlt",IF(LEN(G125)&gt;60,"Kurzinfo zu lang",""))))))</f>
        <v/>
      </c>
      <c r="V125" s="11"/>
    </row>
    <row r="126" customFormat="false" ht="15" hidden="false" customHeight="false" outlineLevel="0" collapsed="false">
      <c r="A126" s="11"/>
      <c r="B126" s="12"/>
      <c r="C126" s="6" t="str">
        <f aca="false">IF(B126="","",CHOOSE(WEEKDAY(B126,2),"Mo","Di","Mi","Do","Fr","Sa","So"))</f>
        <v/>
      </c>
      <c r="D126" s="16"/>
      <c r="E126" s="16"/>
      <c r="F126" s="11"/>
      <c r="G126" s="11"/>
      <c r="H126" s="7" t="str">
        <f aca="false">IF(G126="","",LEN(G126))</f>
        <v/>
      </c>
      <c r="I126" s="11"/>
      <c r="J126" s="6" t="str">
        <f aca="false">IF(I126="","",IF(COUNTIFS(Freigaben!$B$5:$B$58,I126,Freigaben!$M$5:$M$58,"freigegeben")&gt;0,"ja","nein"))</f>
        <v/>
      </c>
      <c r="K126" s="6" t="str">
        <f aca="false">IF(I126="","",IFERROR(IF(INDEX(Freigaben!$N$5:$N$58,MATCH(I126,Freigaben!$B$5:$B$58,0))="","ohne Ampel",INDEX(Freigaben!$N$5:$N$58,MATCH(I126,Freigaben!$B$5:$B$58,0))),"nicht in Freigaben"))</f>
        <v/>
      </c>
      <c r="L126" s="11"/>
      <c r="M126" s="12"/>
      <c r="N126" s="11"/>
      <c r="O126" s="11"/>
      <c r="P126" s="11"/>
      <c r="Q126" s="11"/>
      <c r="R126" s="11"/>
      <c r="S126" s="11"/>
      <c r="T126" s="6" t="str">
        <f aca="false">IF(F126="","",IF(AND(J126="ja",M126&lt;&gt;"",OR(K126="grün",K126="gelb"),LEN(G126)&lt;=60),"ja","nein"))</f>
        <v/>
      </c>
      <c r="U126" s="6" t="str">
        <f aca="false">IF(T126&lt;&gt;"nein","",IF(J126&lt;&gt;"ja","keine Freigabe",IF(M126="","nicht an der Quelle bestätigt",IF(K126="rot","Ampel rot — nicht öffentlich",IF(OR(K126="ohne Ampel",K126="nicht in Freigaben"),"Ampel fehlt",IF(LEN(G126)&gt;60,"Kurzinfo zu lang",""))))))</f>
        <v/>
      </c>
      <c r="V126" s="11"/>
    </row>
    <row r="127" customFormat="false" ht="15" hidden="false" customHeight="false" outlineLevel="0" collapsed="false">
      <c r="A127" s="11"/>
      <c r="B127" s="12"/>
      <c r="C127" s="6" t="str">
        <f aca="false">IF(B127="","",CHOOSE(WEEKDAY(B127,2),"Mo","Di","Mi","Do","Fr","Sa","So"))</f>
        <v/>
      </c>
      <c r="D127" s="16"/>
      <c r="E127" s="16"/>
      <c r="F127" s="11"/>
      <c r="G127" s="11"/>
      <c r="H127" s="7" t="str">
        <f aca="false">IF(G127="","",LEN(G127))</f>
        <v/>
      </c>
      <c r="I127" s="11"/>
      <c r="J127" s="6" t="str">
        <f aca="false">IF(I127="","",IF(COUNTIFS(Freigaben!$B$5:$B$58,I127,Freigaben!$M$5:$M$58,"freigegeben")&gt;0,"ja","nein"))</f>
        <v/>
      </c>
      <c r="K127" s="6" t="str">
        <f aca="false">IF(I127="","",IFERROR(IF(INDEX(Freigaben!$N$5:$N$58,MATCH(I127,Freigaben!$B$5:$B$58,0))="","ohne Ampel",INDEX(Freigaben!$N$5:$N$58,MATCH(I127,Freigaben!$B$5:$B$58,0))),"nicht in Freigaben"))</f>
        <v/>
      </c>
      <c r="L127" s="11"/>
      <c r="M127" s="12"/>
      <c r="N127" s="11"/>
      <c r="O127" s="11"/>
      <c r="P127" s="11"/>
      <c r="Q127" s="11"/>
      <c r="R127" s="11"/>
      <c r="S127" s="11"/>
      <c r="T127" s="6" t="str">
        <f aca="false">IF(F127="","",IF(AND(J127="ja",M127&lt;&gt;"",OR(K127="grün",K127="gelb"),LEN(G127)&lt;=60),"ja","nein"))</f>
        <v/>
      </c>
      <c r="U127" s="6" t="str">
        <f aca="false">IF(T127&lt;&gt;"nein","",IF(J127&lt;&gt;"ja","keine Freigabe",IF(M127="","nicht an der Quelle bestätigt",IF(K127="rot","Ampel rot — nicht öffentlich",IF(OR(K127="ohne Ampel",K127="nicht in Freigaben"),"Ampel fehlt",IF(LEN(G127)&gt;60,"Kurzinfo zu lang",""))))))</f>
        <v/>
      </c>
      <c r="V127" s="11"/>
    </row>
    <row r="128" customFormat="false" ht="15" hidden="false" customHeight="false" outlineLevel="0" collapsed="false">
      <c r="A128" s="11"/>
      <c r="B128" s="12"/>
      <c r="C128" s="6" t="str">
        <f aca="false">IF(B128="","",CHOOSE(WEEKDAY(B128,2),"Mo","Di","Mi","Do","Fr","Sa","So"))</f>
        <v/>
      </c>
      <c r="D128" s="16"/>
      <c r="E128" s="16"/>
      <c r="F128" s="11"/>
      <c r="G128" s="11"/>
      <c r="H128" s="7" t="str">
        <f aca="false">IF(G128="","",LEN(G128))</f>
        <v/>
      </c>
      <c r="I128" s="11"/>
      <c r="J128" s="6" t="str">
        <f aca="false">IF(I128="","",IF(COUNTIFS(Freigaben!$B$5:$B$58,I128,Freigaben!$M$5:$M$58,"freigegeben")&gt;0,"ja","nein"))</f>
        <v/>
      </c>
      <c r="K128" s="6" t="str">
        <f aca="false">IF(I128="","",IFERROR(IF(INDEX(Freigaben!$N$5:$N$58,MATCH(I128,Freigaben!$B$5:$B$58,0))="","ohne Ampel",INDEX(Freigaben!$N$5:$N$58,MATCH(I128,Freigaben!$B$5:$B$58,0))),"nicht in Freigaben"))</f>
        <v/>
      </c>
      <c r="L128" s="11"/>
      <c r="M128" s="12"/>
      <c r="N128" s="11"/>
      <c r="O128" s="11"/>
      <c r="P128" s="11"/>
      <c r="Q128" s="11"/>
      <c r="R128" s="11"/>
      <c r="S128" s="11"/>
      <c r="T128" s="6" t="str">
        <f aca="false">IF(F128="","",IF(AND(J128="ja",M128&lt;&gt;"",OR(K128="grün",K128="gelb"),LEN(G128)&lt;=60),"ja","nein"))</f>
        <v/>
      </c>
      <c r="U128" s="6" t="str">
        <f aca="false">IF(T128&lt;&gt;"nein","",IF(J128&lt;&gt;"ja","keine Freigabe",IF(M128="","nicht an der Quelle bestätigt",IF(K128="rot","Ampel rot — nicht öffentlich",IF(OR(K128="ohne Ampel",K128="nicht in Freigaben"),"Ampel fehlt",IF(LEN(G128)&gt;60,"Kurzinfo zu lang",""))))))</f>
        <v/>
      </c>
      <c r="V128" s="11"/>
    </row>
    <row r="129" customFormat="false" ht="15" hidden="false" customHeight="false" outlineLevel="0" collapsed="false">
      <c r="A129" s="11"/>
      <c r="B129" s="12"/>
      <c r="C129" s="6" t="str">
        <f aca="false">IF(B129="","",CHOOSE(WEEKDAY(B129,2),"Mo","Di","Mi","Do","Fr","Sa","So"))</f>
        <v/>
      </c>
      <c r="D129" s="16"/>
      <c r="E129" s="16"/>
      <c r="F129" s="11"/>
      <c r="G129" s="11"/>
      <c r="H129" s="7" t="str">
        <f aca="false">IF(G129="","",LEN(G129))</f>
        <v/>
      </c>
      <c r="I129" s="11"/>
      <c r="J129" s="6" t="str">
        <f aca="false">IF(I129="","",IF(COUNTIFS(Freigaben!$B$5:$B$58,I129,Freigaben!$M$5:$M$58,"freigegeben")&gt;0,"ja","nein"))</f>
        <v/>
      </c>
      <c r="K129" s="6" t="str">
        <f aca="false">IF(I129="","",IFERROR(IF(INDEX(Freigaben!$N$5:$N$58,MATCH(I129,Freigaben!$B$5:$B$58,0))="","ohne Ampel",INDEX(Freigaben!$N$5:$N$58,MATCH(I129,Freigaben!$B$5:$B$58,0))),"nicht in Freigaben"))</f>
        <v/>
      </c>
      <c r="L129" s="11"/>
      <c r="M129" s="12"/>
      <c r="N129" s="11"/>
      <c r="O129" s="11"/>
      <c r="P129" s="11"/>
      <c r="Q129" s="11"/>
      <c r="R129" s="11"/>
      <c r="S129" s="11"/>
      <c r="T129" s="6" t="str">
        <f aca="false">IF(F129="","",IF(AND(J129="ja",M129&lt;&gt;"",OR(K129="grün",K129="gelb"),LEN(G129)&lt;=60),"ja","nein"))</f>
        <v/>
      </c>
      <c r="U129" s="6" t="str">
        <f aca="false">IF(T129&lt;&gt;"nein","",IF(J129&lt;&gt;"ja","keine Freigabe",IF(M129="","nicht an der Quelle bestätigt",IF(K129="rot","Ampel rot — nicht öffentlich",IF(OR(K129="ohne Ampel",K129="nicht in Freigaben"),"Ampel fehlt",IF(LEN(G129)&gt;60,"Kurzinfo zu lang",""))))))</f>
        <v/>
      </c>
      <c r="V129" s="11"/>
    </row>
    <row r="130" customFormat="false" ht="15" hidden="false" customHeight="false" outlineLevel="0" collapsed="false">
      <c r="A130" s="11"/>
      <c r="B130" s="12"/>
      <c r="C130" s="6" t="str">
        <f aca="false">IF(B130="","",CHOOSE(WEEKDAY(B130,2),"Mo","Di","Mi","Do","Fr","Sa","So"))</f>
        <v/>
      </c>
      <c r="D130" s="16"/>
      <c r="E130" s="16"/>
      <c r="F130" s="11"/>
      <c r="G130" s="11"/>
      <c r="H130" s="7" t="str">
        <f aca="false">IF(G130="","",LEN(G130))</f>
        <v/>
      </c>
      <c r="I130" s="11"/>
      <c r="J130" s="6" t="str">
        <f aca="false">IF(I130="","",IF(COUNTIFS(Freigaben!$B$5:$B$58,I130,Freigaben!$M$5:$M$58,"freigegeben")&gt;0,"ja","nein"))</f>
        <v/>
      </c>
      <c r="K130" s="6" t="str">
        <f aca="false">IF(I130="","",IFERROR(IF(INDEX(Freigaben!$N$5:$N$58,MATCH(I130,Freigaben!$B$5:$B$58,0))="","ohne Ampel",INDEX(Freigaben!$N$5:$N$58,MATCH(I130,Freigaben!$B$5:$B$58,0))),"nicht in Freigaben"))</f>
        <v/>
      </c>
      <c r="L130" s="11"/>
      <c r="M130" s="12"/>
      <c r="N130" s="11"/>
      <c r="O130" s="11"/>
      <c r="P130" s="11"/>
      <c r="Q130" s="11"/>
      <c r="R130" s="11"/>
      <c r="S130" s="11"/>
      <c r="T130" s="6" t="str">
        <f aca="false">IF(F130="","",IF(AND(J130="ja",M130&lt;&gt;"",OR(K130="grün",K130="gelb"),LEN(G130)&lt;=60),"ja","nein"))</f>
        <v/>
      </c>
      <c r="U130" s="6" t="str">
        <f aca="false">IF(T130&lt;&gt;"nein","",IF(J130&lt;&gt;"ja","keine Freigabe",IF(M130="","nicht an der Quelle bestätigt",IF(K130="rot","Ampel rot — nicht öffentlich",IF(OR(K130="ohne Ampel",K130="nicht in Freigaben"),"Ampel fehlt",IF(LEN(G130)&gt;60,"Kurzinfo zu lang",""))))))</f>
        <v/>
      </c>
      <c r="V130" s="11"/>
    </row>
    <row r="131" customFormat="false" ht="15" hidden="false" customHeight="false" outlineLevel="0" collapsed="false">
      <c r="A131" s="11"/>
      <c r="B131" s="12"/>
      <c r="C131" s="6" t="str">
        <f aca="false">IF(B131="","",CHOOSE(WEEKDAY(B131,2),"Mo","Di","Mi","Do","Fr","Sa","So"))</f>
        <v/>
      </c>
      <c r="D131" s="16"/>
      <c r="E131" s="16"/>
      <c r="F131" s="11"/>
      <c r="G131" s="11"/>
      <c r="H131" s="7" t="str">
        <f aca="false">IF(G131="","",LEN(G131))</f>
        <v/>
      </c>
      <c r="I131" s="11"/>
      <c r="J131" s="6" t="str">
        <f aca="false">IF(I131="","",IF(COUNTIFS(Freigaben!$B$5:$B$58,I131,Freigaben!$M$5:$M$58,"freigegeben")&gt;0,"ja","nein"))</f>
        <v/>
      </c>
      <c r="K131" s="6" t="str">
        <f aca="false">IF(I131="","",IFERROR(IF(INDEX(Freigaben!$N$5:$N$58,MATCH(I131,Freigaben!$B$5:$B$58,0))="","ohne Ampel",INDEX(Freigaben!$N$5:$N$58,MATCH(I131,Freigaben!$B$5:$B$58,0))),"nicht in Freigaben"))</f>
        <v/>
      </c>
      <c r="L131" s="11"/>
      <c r="M131" s="12"/>
      <c r="N131" s="11"/>
      <c r="O131" s="11"/>
      <c r="P131" s="11"/>
      <c r="Q131" s="11"/>
      <c r="R131" s="11"/>
      <c r="S131" s="11"/>
      <c r="T131" s="6" t="str">
        <f aca="false">IF(F131="","",IF(AND(J131="ja",M131&lt;&gt;"",OR(K131="grün",K131="gelb"),LEN(G131)&lt;=60),"ja","nein"))</f>
        <v/>
      </c>
      <c r="U131" s="6" t="str">
        <f aca="false">IF(T131&lt;&gt;"nein","",IF(J131&lt;&gt;"ja","keine Freigabe",IF(M131="","nicht an der Quelle bestätigt",IF(K131="rot","Ampel rot — nicht öffentlich",IF(OR(K131="ohne Ampel",K131="nicht in Freigaben"),"Ampel fehlt",IF(LEN(G131)&gt;60,"Kurzinfo zu lang",""))))))</f>
        <v/>
      </c>
      <c r="V131" s="11"/>
    </row>
    <row r="132" customFormat="false" ht="15" hidden="false" customHeight="false" outlineLevel="0" collapsed="false">
      <c r="A132" s="11"/>
      <c r="B132" s="12"/>
      <c r="C132" s="6" t="str">
        <f aca="false">IF(B132="","",CHOOSE(WEEKDAY(B132,2),"Mo","Di","Mi","Do","Fr","Sa","So"))</f>
        <v/>
      </c>
      <c r="D132" s="16"/>
      <c r="E132" s="16"/>
      <c r="F132" s="11"/>
      <c r="G132" s="11"/>
      <c r="H132" s="7" t="str">
        <f aca="false">IF(G132="","",LEN(G132))</f>
        <v/>
      </c>
      <c r="I132" s="11"/>
      <c r="J132" s="6" t="str">
        <f aca="false">IF(I132="","",IF(COUNTIFS(Freigaben!$B$5:$B$58,I132,Freigaben!$M$5:$M$58,"freigegeben")&gt;0,"ja","nein"))</f>
        <v/>
      </c>
      <c r="K132" s="6" t="str">
        <f aca="false">IF(I132="","",IFERROR(IF(INDEX(Freigaben!$N$5:$N$58,MATCH(I132,Freigaben!$B$5:$B$58,0))="","ohne Ampel",INDEX(Freigaben!$N$5:$N$58,MATCH(I132,Freigaben!$B$5:$B$58,0))),"nicht in Freigaben"))</f>
        <v/>
      </c>
      <c r="L132" s="11"/>
      <c r="M132" s="12"/>
      <c r="N132" s="11"/>
      <c r="O132" s="11"/>
      <c r="P132" s="11"/>
      <c r="Q132" s="11"/>
      <c r="R132" s="11"/>
      <c r="S132" s="11"/>
      <c r="T132" s="6" t="str">
        <f aca="false">IF(F132="","",IF(AND(J132="ja",M132&lt;&gt;"",OR(K132="grün",K132="gelb"),LEN(G132)&lt;=60),"ja","nein"))</f>
        <v/>
      </c>
      <c r="U132" s="6" t="str">
        <f aca="false">IF(T132&lt;&gt;"nein","",IF(J132&lt;&gt;"ja","keine Freigabe",IF(M132="","nicht an der Quelle bestätigt",IF(K132="rot","Ampel rot — nicht öffentlich",IF(OR(K132="ohne Ampel",K132="nicht in Freigaben"),"Ampel fehlt",IF(LEN(G132)&gt;60,"Kurzinfo zu lang",""))))))</f>
        <v/>
      </c>
      <c r="V132" s="11"/>
    </row>
    <row r="133" customFormat="false" ht="15" hidden="false" customHeight="false" outlineLevel="0" collapsed="false">
      <c r="A133" s="11"/>
      <c r="B133" s="12"/>
      <c r="C133" s="6" t="str">
        <f aca="false">IF(B133="","",CHOOSE(WEEKDAY(B133,2),"Mo","Di","Mi","Do","Fr","Sa","So"))</f>
        <v/>
      </c>
      <c r="D133" s="16"/>
      <c r="E133" s="16"/>
      <c r="F133" s="11"/>
      <c r="G133" s="11"/>
      <c r="H133" s="7" t="str">
        <f aca="false">IF(G133="","",LEN(G133))</f>
        <v/>
      </c>
      <c r="I133" s="11"/>
      <c r="J133" s="6" t="str">
        <f aca="false">IF(I133="","",IF(COUNTIFS(Freigaben!$B$5:$B$58,I133,Freigaben!$M$5:$M$58,"freigegeben")&gt;0,"ja","nein"))</f>
        <v/>
      </c>
      <c r="K133" s="6" t="str">
        <f aca="false">IF(I133="","",IFERROR(IF(INDEX(Freigaben!$N$5:$N$58,MATCH(I133,Freigaben!$B$5:$B$58,0))="","ohne Ampel",INDEX(Freigaben!$N$5:$N$58,MATCH(I133,Freigaben!$B$5:$B$58,0))),"nicht in Freigaben"))</f>
        <v/>
      </c>
      <c r="L133" s="11"/>
      <c r="M133" s="12"/>
      <c r="N133" s="11"/>
      <c r="O133" s="11"/>
      <c r="P133" s="11"/>
      <c r="Q133" s="11"/>
      <c r="R133" s="11"/>
      <c r="S133" s="11"/>
      <c r="T133" s="6" t="str">
        <f aca="false">IF(F133="","",IF(AND(J133="ja",M133&lt;&gt;"",OR(K133="grün",K133="gelb"),LEN(G133)&lt;=60),"ja","nein"))</f>
        <v/>
      </c>
      <c r="U133" s="6" t="str">
        <f aca="false">IF(T133&lt;&gt;"nein","",IF(J133&lt;&gt;"ja","keine Freigabe",IF(M133="","nicht an der Quelle bestätigt",IF(K133="rot","Ampel rot — nicht öffentlich",IF(OR(K133="ohne Ampel",K133="nicht in Freigaben"),"Ampel fehlt",IF(LEN(G133)&gt;60,"Kurzinfo zu lang",""))))))</f>
        <v/>
      </c>
      <c r="V133" s="11"/>
    </row>
    <row r="134" customFormat="false" ht="15" hidden="false" customHeight="false" outlineLevel="0" collapsed="false">
      <c r="A134" s="11"/>
      <c r="B134" s="12"/>
      <c r="C134" s="6" t="str">
        <f aca="false">IF(B134="","",CHOOSE(WEEKDAY(B134,2),"Mo","Di","Mi","Do","Fr","Sa","So"))</f>
        <v/>
      </c>
      <c r="D134" s="16"/>
      <c r="E134" s="16"/>
      <c r="F134" s="11"/>
      <c r="G134" s="11"/>
      <c r="H134" s="7" t="str">
        <f aca="false">IF(G134="","",LEN(G134))</f>
        <v/>
      </c>
      <c r="I134" s="11"/>
      <c r="J134" s="6" t="str">
        <f aca="false">IF(I134="","",IF(COUNTIFS(Freigaben!$B$5:$B$58,I134,Freigaben!$M$5:$M$58,"freigegeben")&gt;0,"ja","nein"))</f>
        <v/>
      </c>
      <c r="K134" s="6" t="str">
        <f aca="false">IF(I134="","",IFERROR(IF(INDEX(Freigaben!$N$5:$N$58,MATCH(I134,Freigaben!$B$5:$B$58,0))="","ohne Ampel",INDEX(Freigaben!$N$5:$N$58,MATCH(I134,Freigaben!$B$5:$B$58,0))),"nicht in Freigaben"))</f>
        <v/>
      </c>
      <c r="L134" s="11"/>
      <c r="M134" s="12"/>
      <c r="N134" s="11"/>
      <c r="O134" s="11"/>
      <c r="P134" s="11"/>
      <c r="Q134" s="11"/>
      <c r="R134" s="11"/>
      <c r="S134" s="11"/>
      <c r="T134" s="6" t="str">
        <f aca="false">IF(F134="","",IF(AND(J134="ja",M134&lt;&gt;"",OR(K134="grün",K134="gelb"),LEN(G134)&lt;=60),"ja","nein"))</f>
        <v/>
      </c>
      <c r="U134" s="6" t="str">
        <f aca="false">IF(T134&lt;&gt;"nein","",IF(J134&lt;&gt;"ja","keine Freigabe",IF(M134="","nicht an der Quelle bestätigt",IF(K134="rot","Ampel rot — nicht öffentlich",IF(OR(K134="ohne Ampel",K134="nicht in Freigaben"),"Ampel fehlt",IF(LEN(G134)&gt;60,"Kurzinfo zu lang",""))))))</f>
        <v/>
      </c>
      <c r="V134" s="11"/>
    </row>
    <row r="135" customFormat="false" ht="15" hidden="false" customHeight="false" outlineLevel="0" collapsed="false">
      <c r="A135" s="11"/>
      <c r="B135" s="12"/>
      <c r="C135" s="6" t="str">
        <f aca="false">IF(B135="","",CHOOSE(WEEKDAY(B135,2),"Mo","Di","Mi","Do","Fr","Sa","So"))</f>
        <v/>
      </c>
      <c r="D135" s="16"/>
      <c r="E135" s="16"/>
      <c r="F135" s="11"/>
      <c r="G135" s="11"/>
      <c r="H135" s="7" t="str">
        <f aca="false">IF(G135="","",LEN(G135))</f>
        <v/>
      </c>
      <c r="I135" s="11"/>
      <c r="J135" s="6" t="str">
        <f aca="false">IF(I135="","",IF(COUNTIFS(Freigaben!$B$5:$B$58,I135,Freigaben!$M$5:$M$58,"freigegeben")&gt;0,"ja","nein"))</f>
        <v/>
      </c>
      <c r="K135" s="6" t="str">
        <f aca="false">IF(I135="","",IFERROR(IF(INDEX(Freigaben!$N$5:$N$58,MATCH(I135,Freigaben!$B$5:$B$58,0))="","ohne Ampel",INDEX(Freigaben!$N$5:$N$58,MATCH(I135,Freigaben!$B$5:$B$58,0))),"nicht in Freigaben"))</f>
        <v/>
      </c>
      <c r="L135" s="11"/>
      <c r="M135" s="12"/>
      <c r="N135" s="11"/>
      <c r="O135" s="11"/>
      <c r="P135" s="11"/>
      <c r="Q135" s="11"/>
      <c r="R135" s="11"/>
      <c r="S135" s="11"/>
      <c r="T135" s="6" t="str">
        <f aca="false">IF(F135="","",IF(AND(J135="ja",M135&lt;&gt;"",OR(K135="grün",K135="gelb"),LEN(G135)&lt;=60),"ja","nein"))</f>
        <v/>
      </c>
      <c r="U135" s="6" t="str">
        <f aca="false">IF(T135&lt;&gt;"nein","",IF(J135&lt;&gt;"ja","keine Freigabe",IF(M135="","nicht an der Quelle bestätigt",IF(K135="rot","Ampel rot — nicht öffentlich",IF(OR(K135="ohne Ampel",K135="nicht in Freigaben"),"Ampel fehlt",IF(LEN(G135)&gt;60,"Kurzinfo zu lang",""))))))</f>
        <v/>
      </c>
      <c r="V135" s="11"/>
    </row>
    <row r="136" customFormat="false" ht="15" hidden="false" customHeight="false" outlineLevel="0" collapsed="false">
      <c r="A136" s="11"/>
      <c r="B136" s="12"/>
      <c r="C136" s="6" t="str">
        <f aca="false">IF(B136="","",CHOOSE(WEEKDAY(B136,2),"Mo","Di","Mi","Do","Fr","Sa","So"))</f>
        <v/>
      </c>
      <c r="D136" s="16"/>
      <c r="E136" s="16"/>
      <c r="F136" s="11"/>
      <c r="G136" s="11"/>
      <c r="H136" s="7" t="str">
        <f aca="false">IF(G136="","",LEN(G136))</f>
        <v/>
      </c>
      <c r="I136" s="11"/>
      <c r="J136" s="6" t="str">
        <f aca="false">IF(I136="","",IF(COUNTIFS(Freigaben!$B$5:$B$58,I136,Freigaben!$M$5:$M$58,"freigegeben")&gt;0,"ja","nein"))</f>
        <v/>
      </c>
      <c r="K136" s="6" t="str">
        <f aca="false">IF(I136="","",IFERROR(IF(INDEX(Freigaben!$N$5:$N$58,MATCH(I136,Freigaben!$B$5:$B$58,0))="","ohne Ampel",INDEX(Freigaben!$N$5:$N$58,MATCH(I136,Freigaben!$B$5:$B$58,0))),"nicht in Freigaben"))</f>
        <v/>
      </c>
      <c r="L136" s="11"/>
      <c r="M136" s="12"/>
      <c r="N136" s="11"/>
      <c r="O136" s="11"/>
      <c r="P136" s="11"/>
      <c r="Q136" s="11"/>
      <c r="R136" s="11"/>
      <c r="S136" s="11"/>
      <c r="T136" s="6" t="str">
        <f aca="false">IF(F136="","",IF(AND(J136="ja",M136&lt;&gt;"",OR(K136="grün",K136="gelb"),LEN(G136)&lt;=60),"ja","nein"))</f>
        <v/>
      </c>
      <c r="U136" s="6" t="str">
        <f aca="false">IF(T136&lt;&gt;"nein","",IF(J136&lt;&gt;"ja","keine Freigabe",IF(M136="","nicht an der Quelle bestätigt",IF(K136="rot","Ampel rot — nicht öffentlich",IF(OR(K136="ohne Ampel",K136="nicht in Freigaben"),"Ampel fehlt",IF(LEN(G136)&gt;60,"Kurzinfo zu lang",""))))))</f>
        <v/>
      </c>
      <c r="V136" s="11"/>
    </row>
    <row r="137" customFormat="false" ht="15" hidden="false" customHeight="false" outlineLevel="0" collapsed="false">
      <c r="A137" s="11"/>
      <c r="B137" s="12"/>
      <c r="C137" s="6" t="str">
        <f aca="false">IF(B137="","",CHOOSE(WEEKDAY(B137,2),"Mo","Di","Mi","Do","Fr","Sa","So"))</f>
        <v/>
      </c>
      <c r="D137" s="16"/>
      <c r="E137" s="16"/>
      <c r="F137" s="11"/>
      <c r="G137" s="11"/>
      <c r="H137" s="7" t="str">
        <f aca="false">IF(G137="","",LEN(G137))</f>
        <v/>
      </c>
      <c r="I137" s="11"/>
      <c r="J137" s="6" t="str">
        <f aca="false">IF(I137="","",IF(COUNTIFS(Freigaben!$B$5:$B$58,I137,Freigaben!$M$5:$M$58,"freigegeben")&gt;0,"ja","nein"))</f>
        <v/>
      </c>
      <c r="K137" s="6" t="str">
        <f aca="false">IF(I137="","",IFERROR(IF(INDEX(Freigaben!$N$5:$N$58,MATCH(I137,Freigaben!$B$5:$B$58,0))="","ohne Ampel",INDEX(Freigaben!$N$5:$N$58,MATCH(I137,Freigaben!$B$5:$B$58,0))),"nicht in Freigaben"))</f>
        <v/>
      </c>
      <c r="L137" s="11"/>
      <c r="M137" s="12"/>
      <c r="N137" s="11"/>
      <c r="O137" s="11"/>
      <c r="P137" s="11"/>
      <c r="Q137" s="11"/>
      <c r="R137" s="11"/>
      <c r="S137" s="11"/>
      <c r="T137" s="6" t="str">
        <f aca="false">IF(F137="","",IF(AND(J137="ja",M137&lt;&gt;"",OR(K137="grün",K137="gelb"),LEN(G137)&lt;=60),"ja","nein"))</f>
        <v/>
      </c>
      <c r="U137" s="6" t="str">
        <f aca="false">IF(T137&lt;&gt;"nein","",IF(J137&lt;&gt;"ja","keine Freigabe",IF(M137="","nicht an der Quelle bestätigt",IF(K137="rot","Ampel rot — nicht öffentlich",IF(OR(K137="ohne Ampel",K137="nicht in Freigaben"),"Ampel fehlt",IF(LEN(G137)&gt;60,"Kurzinfo zu lang",""))))))</f>
        <v/>
      </c>
      <c r="V137" s="11"/>
    </row>
    <row r="138" customFormat="false" ht="15" hidden="false" customHeight="false" outlineLevel="0" collapsed="false">
      <c r="A138" s="11"/>
      <c r="B138" s="12"/>
      <c r="C138" s="6" t="str">
        <f aca="false">IF(B138="","",CHOOSE(WEEKDAY(B138,2),"Mo","Di","Mi","Do","Fr","Sa","So"))</f>
        <v/>
      </c>
      <c r="D138" s="16"/>
      <c r="E138" s="16"/>
      <c r="F138" s="11"/>
      <c r="G138" s="11"/>
      <c r="H138" s="7" t="str">
        <f aca="false">IF(G138="","",LEN(G138))</f>
        <v/>
      </c>
      <c r="I138" s="11"/>
      <c r="J138" s="6" t="str">
        <f aca="false">IF(I138="","",IF(COUNTIFS(Freigaben!$B$5:$B$58,I138,Freigaben!$M$5:$M$58,"freigegeben")&gt;0,"ja","nein"))</f>
        <v/>
      </c>
      <c r="K138" s="6" t="str">
        <f aca="false">IF(I138="","",IFERROR(IF(INDEX(Freigaben!$N$5:$N$58,MATCH(I138,Freigaben!$B$5:$B$58,0))="","ohne Ampel",INDEX(Freigaben!$N$5:$N$58,MATCH(I138,Freigaben!$B$5:$B$58,0))),"nicht in Freigaben"))</f>
        <v/>
      </c>
      <c r="L138" s="11"/>
      <c r="M138" s="12"/>
      <c r="N138" s="11"/>
      <c r="O138" s="11"/>
      <c r="P138" s="11"/>
      <c r="Q138" s="11"/>
      <c r="R138" s="11"/>
      <c r="S138" s="11"/>
      <c r="T138" s="6" t="str">
        <f aca="false">IF(F138="","",IF(AND(J138="ja",M138&lt;&gt;"",OR(K138="grün",K138="gelb"),LEN(G138)&lt;=60),"ja","nein"))</f>
        <v/>
      </c>
      <c r="U138" s="6" t="str">
        <f aca="false">IF(T138&lt;&gt;"nein","",IF(J138&lt;&gt;"ja","keine Freigabe",IF(M138="","nicht an der Quelle bestätigt",IF(K138="rot","Ampel rot — nicht öffentlich",IF(OR(K138="ohne Ampel",K138="nicht in Freigaben"),"Ampel fehlt",IF(LEN(G138)&gt;60,"Kurzinfo zu lang",""))))))</f>
        <v/>
      </c>
      <c r="V138" s="11"/>
    </row>
    <row r="139" customFormat="false" ht="15" hidden="false" customHeight="false" outlineLevel="0" collapsed="false">
      <c r="A139" s="11"/>
      <c r="B139" s="12"/>
      <c r="C139" s="6" t="str">
        <f aca="false">IF(B139="","",CHOOSE(WEEKDAY(B139,2),"Mo","Di","Mi","Do","Fr","Sa","So"))</f>
        <v/>
      </c>
      <c r="D139" s="16"/>
      <c r="E139" s="16"/>
      <c r="F139" s="11"/>
      <c r="G139" s="11"/>
      <c r="H139" s="7" t="str">
        <f aca="false">IF(G139="","",LEN(G139))</f>
        <v/>
      </c>
      <c r="I139" s="11"/>
      <c r="J139" s="6" t="str">
        <f aca="false">IF(I139="","",IF(COUNTIFS(Freigaben!$B$5:$B$58,I139,Freigaben!$M$5:$M$58,"freigegeben")&gt;0,"ja","nein"))</f>
        <v/>
      </c>
      <c r="K139" s="6" t="str">
        <f aca="false">IF(I139="","",IFERROR(IF(INDEX(Freigaben!$N$5:$N$58,MATCH(I139,Freigaben!$B$5:$B$58,0))="","ohne Ampel",INDEX(Freigaben!$N$5:$N$58,MATCH(I139,Freigaben!$B$5:$B$58,0))),"nicht in Freigaben"))</f>
        <v/>
      </c>
      <c r="L139" s="11"/>
      <c r="M139" s="12"/>
      <c r="N139" s="11"/>
      <c r="O139" s="11"/>
      <c r="P139" s="11"/>
      <c r="Q139" s="11"/>
      <c r="R139" s="11"/>
      <c r="S139" s="11"/>
      <c r="T139" s="6" t="str">
        <f aca="false">IF(F139="","",IF(AND(J139="ja",M139&lt;&gt;"",OR(K139="grün",K139="gelb"),LEN(G139)&lt;=60),"ja","nein"))</f>
        <v/>
      </c>
      <c r="U139" s="6" t="str">
        <f aca="false">IF(T139&lt;&gt;"nein","",IF(J139&lt;&gt;"ja","keine Freigabe",IF(M139="","nicht an der Quelle bestätigt",IF(K139="rot","Ampel rot — nicht öffentlich",IF(OR(K139="ohne Ampel",K139="nicht in Freigaben"),"Ampel fehlt",IF(LEN(G139)&gt;60,"Kurzinfo zu lang",""))))))</f>
        <v/>
      </c>
      <c r="V139" s="11"/>
    </row>
    <row r="140" customFormat="false" ht="15" hidden="false" customHeight="false" outlineLevel="0" collapsed="false">
      <c r="A140" s="11"/>
      <c r="B140" s="12"/>
      <c r="C140" s="6" t="str">
        <f aca="false">IF(B140="","",CHOOSE(WEEKDAY(B140,2),"Mo","Di","Mi","Do","Fr","Sa","So"))</f>
        <v/>
      </c>
      <c r="D140" s="16"/>
      <c r="E140" s="16"/>
      <c r="F140" s="11"/>
      <c r="G140" s="11"/>
      <c r="H140" s="7" t="str">
        <f aca="false">IF(G140="","",LEN(G140))</f>
        <v/>
      </c>
      <c r="I140" s="11"/>
      <c r="J140" s="6" t="str">
        <f aca="false">IF(I140="","",IF(COUNTIFS(Freigaben!$B$5:$B$58,I140,Freigaben!$M$5:$M$58,"freigegeben")&gt;0,"ja","nein"))</f>
        <v/>
      </c>
      <c r="K140" s="6" t="str">
        <f aca="false">IF(I140="","",IFERROR(IF(INDEX(Freigaben!$N$5:$N$58,MATCH(I140,Freigaben!$B$5:$B$58,0))="","ohne Ampel",INDEX(Freigaben!$N$5:$N$58,MATCH(I140,Freigaben!$B$5:$B$58,0))),"nicht in Freigaben"))</f>
        <v/>
      </c>
      <c r="L140" s="11"/>
      <c r="M140" s="12"/>
      <c r="N140" s="11"/>
      <c r="O140" s="11"/>
      <c r="P140" s="11"/>
      <c r="Q140" s="11"/>
      <c r="R140" s="11"/>
      <c r="S140" s="11"/>
      <c r="T140" s="6" t="str">
        <f aca="false">IF(F140="","",IF(AND(J140="ja",M140&lt;&gt;"",OR(K140="grün",K140="gelb"),LEN(G140)&lt;=60),"ja","nein"))</f>
        <v/>
      </c>
      <c r="U140" s="6" t="str">
        <f aca="false">IF(T140&lt;&gt;"nein","",IF(J140&lt;&gt;"ja","keine Freigabe",IF(M140="","nicht an der Quelle bestätigt",IF(K140="rot","Ampel rot — nicht öffentlich",IF(OR(K140="ohne Ampel",K140="nicht in Freigaben"),"Ampel fehlt",IF(LEN(G140)&gt;60,"Kurzinfo zu lang",""))))))</f>
        <v/>
      </c>
      <c r="V140" s="11"/>
    </row>
    <row r="141" customFormat="false" ht="15" hidden="false" customHeight="false" outlineLevel="0" collapsed="false">
      <c r="A141" s="11"/>
      <c r="B141" s="12"/>
      <c r="C141" s="6" t="str">
        <f aca="false">IF(B141="","",CHOOSE(WEEKDAY(B141,2),"Mo","Di","Mi","Do","Fr","Sa","So"))</f>
        <v/>
      </c>
      <c r="D141" s="16"/>
      <c r="E141" s="16"/>
      <c r="F141" s="11"/>
      <c r="G141" s="11"/>
      <c r="H141" s="7" t="str">
        <f aca="false">IF(G141="","",LEN(G141))</f>
        <v/>
      </c>
      <c r="I141" s="11"/>
      <c r="J141" s="6" t="str">
        <f aca="false">IF(I141="","",IF(COUNTIFS(Freigaben!$B$5:$B$58,I141,Freigaben!$M$5:$M$58,"freigegeben")&gt;0,"ja","nein"))</f>
        <v/>
      </c>
      <c r="K141" s="6" t="str">
        <f aca="false">IF(I141="","",IFERROR(IF(INDEX(Freigaben!$N$5:$N$58,MATCH(I141,Freigaben!$B$5:$B$58,0))="","ohne Ampel",INDEX(Freigaben!$N$5:$N$58,MATCH(I141,Freigaben!$B$5:$B$58,0))),"nicht in Freigaben"))</f>
        <v/>
      </c>
      <c r="L141" s="11"/>
      <c r="M141" s="12"/>
      <c r="N141" s="11"/>
      <c r="O141" s="11"/>
      <c r="P141" s="11"/>
      <c r="Q141" s="11"/>
      <c r="R141" s="11"/>
      <c r="S141" s="11"/>
      <c r="T141" s="6" t="str">
        <f aca="false">IF(F141="","",IF(AND(J141="ja",M141&lt;&gt;"",OR(K141="grün",K141="gelb"),LEN(G141)&lt;=60),"ja","nein"))</f>
        <v/>
      </c>
      <c r="U141" s="6" t="str">
        <f aca="false">IF(T141&lt;&gt;"nein","",IF(J141&lt;&gt;"ja","keine Freigabe",IF(M141="","nicht an der Quelle bestätigt",IF(K141="rot","Ampel rot — nicht öffentlich",IF(OR(K141="ohne Ampel",K141="nicht in Freigaben"),"Ampel fehlt",IF(LEN(G141)&gt;60,"Kurzinfo zu lang",""))))))</f>
        <v/>
      </c>
      <c r="V141" s="11"/>
    </row>
    <row r="142" customFormat="false" ht="15" hidden="false" customHeight="false" outlineLevel="0" collapsed="false">
      <c r="A142" s="11"/>
      <c r="B142" s="12"/>
      <c r="C142" s="6" t="str">
        <f aca="false">IF(B142="","",CHOOSE(WEEKDAY(B142,2),"Mo","Di","Mi","Do","Fr","Sa","So"))</f>
        <v/>
      </c>
      <c r="D142" s="16"/>
      <c r="E142" s="16"/>
      <c r="F142" s="11"/>
      <c r="G142" s="11"/>
      <c r="H142" s="7" t="str">
        <f aca="false">IF(G142="","",LEN(G142))</f>
        <v/>
      </c>
      <c r="I142" s="11"/>
      <c r="J142" s="6" t="str">
        <f aca="false">IF(I142="","",IF(COUNTIFS(Freigaben!$B$5:$B$58,I142,Freigaben!$M$5:$M$58,"freigegeben")&gt;0,"ja","nein"))</f>
        <v/>
      </c>
      <c r="K142" s="6" t="str">
        <f aca="false">IF(I142="","",IFERROR(IF(INDEX(Freigaben!$N$5:$N$58,MATCH(I142,Freigaben!$B$5:$B$58,0))="","ohne Ampel",INDEX(Freigaben!$N$5:$N$58,MATCH(I142,Freigaben!$B$5:$B$58,0))),"nicht in Freigaben"))</f>
        <v/>
      </c>
      <c r="L142" s="11"/>
      <c r="M142" s="12"/>
      <c r="N142" s="11"/>
      <c r="O142" s="11"/>
      <c r="P142" s="11"/>
      <c r="Q142" s="11"/>
      <c r="R142" s="11"/>
      <c r="S142" s="11"/>
      <c r="T142" s="6" t="str">
        <f aca="false">IF(F142="","",IF(AND(J142="ja",M142&lt;&gt;"",OR(K142="grün",K142="gelb"),LEN(G142)&lt;=60),"ja","nein"))</f>
        <v/>
      </c>
      <c r="U142" s="6" t="str">
        <f aca="false">IF(T142&lt;&gt;"nein","",IF(J142&lt;&gt;"ja","keine Freigabe",IF(M142="","nicht an der Quelle bestätigt",IF(K142="rot","Ampel rot — nicht öffentlich",IF(OR(K142="ohne Ampel",K142="nicht in Freigaben"),"Ampel fehlt",IF(LEN(G142)&gt;60,"Kurzinfo zu lang",""))))))</f>
        <v/>
      </c>
      <c r="V142" s="11"/>
    </row>
    <row r="143" customFormat="false" ht="15" hidden="false" customHeight="false" outlineLevel="0" collapsed="false">
      <c r="A143" s="11"/>
      <c r="B143" s="12"/>
      <c r="C143" s="6" t="str">
        <f aca="false">IF(B143="","",CHOOSE(WEEKDAY(B143,2),"Mo","Di","Mi","Do","Fr","Sa","So"))</f>
        <v/>
      </c>
      <c r="D143" s="16"/>
      <c r="E143" s="16"/>
      <c r="F143" s="11"/>
      <c r="G143" s="11"/>
      <c r="H143" s="7" t="str">
        <f aca="false">IF(G143="","",LEN(G143))</f>
        <v/>
      </c>
      <c r="I143" s="11"/>
      <c r="J143" s="6" t="str">
        <f aca="false">IF(I143="","",IF(COUNTIFS(Freigaben!$B$5:$B$58,I143,Freigaben!$M$5:$M$58,"freigegeben")&gt;0,"ja","nein"))</f>
        <v/>
      </c>
      <c r="K143" s="6" t="str">
        <f aca="false">IF(I143="","",IFERROR(IF(INDEX(Freigaben!$N$5:$N$58,MATCH(I143,Freigaben!$B$5:$B$58,0))="","ohne Ampel",INDEX(Freigaben!$N$5:$N$58,MATCH(I143,Freigaben!$B$5:$B$58,0))),"nicht in Freigaben"))</f>
        <v/>
      </c>
      <c r="L143" s="11"/>
      <c r="M143" s="12"/>
      <c r="N143" s="11"/>
      <c r="O143" s="11"/>
      <c r="P143" s="11"/>
      <c r="Q143" s="11"/>
      <c r="R143" s="11"/>
      <c r="S143" s="11"/>
      <c r="T143" s="6" t="str">
        <f aca="false">IF(F143="","",IF(AND(J143="ja",M143&lt;&gt;"",OR(K143="grün",K143="gelb"),LEN(G143)&lt;=60),"ja","nein"))</f>
        <v/>
      </c>
      <c r="U143" s="6" t="str">
        <f aca="false">IF(T143&lt;&gt;"nein","",IF(J143&lt;&gt;"ja","keine Freigabe",IF(M143="","nicht an der Quelle bestätigt",IF(K143="rot","Ampel rot — nicht öffentlich",IF(OR(K143="ohne Ampel",K143="nicht in Freigaben"),"Ampel fehlt",IF(LEN(G143)&gt;60,"Kurzinfo zu lang",""))))))</f>
        <v/>
      </c>
      <c r="V143" s="11"/>
    </row>
    <row r="144" customFormat="false" ht="15" hidden="false" customHeight="false" outlineLevel="0" collapsed="false">
      <c r="A144" s="11"/>
      <c r="B144" s="12"/>
      <c r="C144" s="6" t="str">
        <f aca="false">IF(B144="","",CHOOSE(WEEKDAY(B144,2),"Mo","Di","Mi","Do","Fr","Sa","So"))</f>
        <v/>
      </c>
      <c r="D144" s="16"/>
      <c r="E144" s="16"/>
      <c r="F144" s="11"/>
      <c r="G144" s="11"/>
      <c r="H144" s="7" t="str">
        <f aca="false">IF(G144="","",LEN(G144))</f>
        <v/>
      </c>
      <c r="I144" s="11"/>
      <c r="J144" s="6" t="str">
        <f aca="false">IF(I144="","",IF(COUNTIFS(Freigaben!$B$5:$B$58,I144,Freigaben!$M$5:$M$58,"freigegeben")&gt;0,"ja","nein"))</f>
        <v/>
      </c>
      <c r="K144" s="6" t="str">
        <f aca="false">IF(I144="","",IFERROR(IF(INDEX(Freigaben!$N$5:$N$58,MATCH(I144,Freigaben!$B$5:$B$58,0))="","ohne Ampel",INDEX(Freigaben!$N$5:$N$58,MATCH(I144,Freigaben!$B$5:$B$58,0))),"nicht in Freigaben"))</f>
        <v/>
      </c>
      <c r="L144" s="11"/>
      <c r="M144" s="12"/>
      <c r="N144" s="11"/>
      <c r="O144" s="11"/>
      <c r="P144" s="11"/>
      <c r="Q144" s="11"/>
      <c r="R144" s="11"/>
      <c r="S144" s="11"/>
      <c r="T144" s="6" t="str">
        <f aca="false">IF(F144="","",IF(AND(J144="ja",M144&lt;&gt;"",OR(K144="grün",K144="gelb"),LEN(G144)&lt;=60),"ja","nein"))</f>
        <v/>
      </c>
      <c r="U144" s="6" t="str">
        <f aca="false">IF(T144&lt;&gt;"nein","",IF(J144&lt;&gt;"ja","keine Freigabe",IF(M144="","nicht an der Quelle bestätigt",IF(K144="rot","Ampel rot — nicht öffentlich",IF(OR(K144="ohne Ampel",K144="nicht in Freigaben"),"Ampel fehlt",IF(LEN(G144)&gt;60,"Kurzinfo zu lang",""))))))</f>
        <v/>
      </c>
      <c r="V144" s="11"/>
    </row>
    <row r="145" customFormat="false" ht="15" hidden="false" customHeight="false" outlineLevel="0" collapsed="false">
      <c r="A145" s="11"/>
      <c r="B145" s="12"/>
      <c r="C145" s="6" t="str">
        <f aca="false">IF(B145="","",CHOOSE(WEEKDAY(B145,2),"Mo","Di","Mi","Do","Fr","Sa","So"))</f>
        <v/>
      </c>
      <c r="D145" s="16"/>
      <c r="E145" s="16"/>
      <c r="F145" s="11"/>
      <c r="G145" s="11"/>
      <c r="H145" s="7" t="str">
        <f aca="false">IF(G145="","",LEN(G145))</f>
        <v/>
      </c>
      <c r="I145" s="11"/>
      <c r="J145" s="6" t="str">
        <f aca="false">IF(I145="","",IF(COUNTIFS(Freigaben!$B$5:$B$58,I145,Freigaben!$M$5:$M$58,"freigegeben")&gt;0,"ja","nein"))</f>
        <v/>
      </c>
      <c r="K145" s="6" t="str">
        <f aca="false">IF(I145="","",IFERROR(IF(INDEX(Freigaben!$N$5:$N$58,MATCH(I145,Freigaben!$B$5:$B$58,0))="","ohne Ampel",INDEX(Freigaben!$N$5:$N$58,MATCH(I145,Freigaben!$B$5:$B$58,0))),"nicht in Freigaben"))</f>
        <v/>
      </c>
      <c r="L145" s="11"/>
      <c r="M145" s="12"/>
      <c r="N145" s="11"/>
      <c r="O145" s="11"/>
      <c r="P145" s="11"/>
      <c r="Q145" s="11"/>
      <c r="R145" s="11"/>
      <c r="S145" s="11"/>
      <c r="T145" s="6" t="str">
        <f aca="false">IF(F145="","",IF(AND(J145="ja",M145&lt;&gt;"",OR(K145="grün",K145="gelb"),LEN(G145)&lt;=60),"ja","nein"))</f>
        <v/>
      </c>
      <c r="U145" s="6" t="str">
        <f aca="false">IF(T145&lt;&gt;"nein","",IF(J145&lt;&gt;"ja","keine Freigabe",IF(M145="","nicht an der Quelle bestätigt",IF(K145="rot","Ampel rot — nicht öffentlich",IF(OR(K145="ohne Ampel",K145="nicht in Freigaben"),"Ampel fehlt",IF(LEN(G145)&gt;60,"Kurzinfo zu lang",""))))))</f>
        <v/>
      </c>
      <c r="V145" s="11"/>
    </row>
    <row r="146" customFormat="false" ht="15" hidden="false" customHeight="false" outlineLevel="0" collapsed="false">
      <c r="A146" s="11"/>
      <c r="B146" s="12"/>
      <c r="C146" s="6" t="str">
        <f aca="false">IF(B146="","",CHOOSE(WEEKDAY(B146,2),"Mo","Di","Mi","Do","Fr","Sa","So"))</f>
        <v/>
      </c>
      <c r="D146" s="16"/>
      <c r="E146" s="16"/>
      <c r="F146" s="11"/>
      <c r="G146" s="11"/>
      <c r="H146" s="7" t="str">
        <f aca="false">IF(G146="","",LEN(G146))</f>
        <v/>
      </c>
      <c r="I146" s="11"/>
      <c r="J146" s="6" t="str">
        <f aca="false">IF(I146="","",IF(COUNTIFS(Freigaben!$B$5:$B$58,I146,Freigaben!$M$5:$M$58,"freigegeben")&gt;0,"ja","nein"))</f>
        <v/>
      </c>
      <c r="K146" s="6" t="str">
        <f aca="false">IF(I146="","",IFERROR(IF(INDEX(Freigaben!$N$5:$N$58,MATCH(I146,Freigaben!$B$5:$B$58,0))="","ohne Ampel",INDEX(Freigaben!$N$5:$N$58,MATCH(I146,Freigaben!$B$5:$B$58,0))),"nicht in Freigaben"))</f>
        <v/>
      </c>
      <c r="L146" s="11"/>
      <c r="M146" s="12"/>
      <c r="N146" s="11"/>
      <c r="O146" s="11"/>
      <c r="P146" s="11"/>
      <c r="Q146" s="11"/>
      <c r="R146" s="11"/>
      <c r="S146" s="11"/>
      <c r="T146" s="6" t="str">
        <f aca="false">IF(F146="","",IF(AND(J146="ja",M146&lt;&gt;"",OR(K146="grün",K146="gelb"),LEN(G146)&lt;=60),"ja","nein"))</f>
        <v/>
      </c>
      <c r="U146" s="6" t="str">
        <f aca="false">IF(T146&lt;&gt;"nein","",IF(J146&lt;&gt;"ja","keine Freigabe",IF(M146="","nicht an der Quelle bestätigt",IF(K146="rot","Ampel rot — nicht öffentlich",IF(OR(K146="ohne Ampel",K146="nicht in Freigaben"),"Ampel fehlt",IF(LEN(G146)&gt;60,"Kurzinfo zu lang",""))))))</f>
        <v/>
      </c>
      <c r="V146" s="11"/>
    </row>
    <row r="147" customFormat="false" ht="15" hidden="false" customHeight="false" outlineLevel="0" collapsed="false">
      <c r="A147" s="11"/>
      <c r="B147" s="12"/>
      <c r="C147" s="6" t="str">
        <f aca="false">IF(B147="","",CHOOSE(WEEKDAY(B147,2),"Mo","Di","Mi","Do","Fr","Sa","So"))</f>
        <v/>
      </c>
      <c r="D147" s="16"/>
      <c r="E147" s="16"/>
      <c r="F147" s="11"/>
      <c r="G147" s="11"/>
      <c r="H147" s="7" t="str">
        <f aca="false">IF(G147="","",LEN(G147))</f>
        <v/>
      </c>
      <c r="I147" s="11"/>
      <c r="J147" s="6" t="str">
        <f aca="false">IF(I147="","",IF(COUNTIFS(Freigaben!$B$5:$B$58,I147,Freigaben!$M$5:$M$58,"freigegeben")&gt;0,"ja","nein"))</f>
        <v/>
      </c>
      <c r="K147" s="6" t="str">
        <f aca="false">IF(I147="","",IFERROR(IF(INDEX(Freigaben!$N$5:$N$58,MATCH(I147,Freigaben!$B$5:$B$58,0))="","ohne Ampel",INDEX(Freigaben!$N$5:$N$58,MATCH(I147,Freigaben!$B$5:$B$58,0))),"nicht in Freigaben"))</f>
        <v/>
      </c>
      <c r="L147" s="11"/>
      <c r="M147" s="12"/>
      <c r="N147" s="11"/>
      <c r="O147" s="11"/>
      <c r="P147" s="11"/>
      <c r="Q147" s="11"/>
      <c r="R147" s="11"/>
      <c r="S147" s="11"/>
      <c r="T147" s="6" t="str">
        <f aca="false">IF(F147="","",IF(AND(J147="ja",M147&lt;&gt;"",OR(K147="grün",K147="gelb"),LEN(G147)&lt;=60),"ja","nein"))</f>
        <v/>
      </c>
      <c r="U147" s="6" t="str">
        <f aca="false">IF(T147&lt;&gt;"nein","",IF(J147&lt;&gt;"ja","keine Freigabe",IF(M147="","nicht an der Quelle bestätigt",IF(K147="rot","Ampel rot — nicht öffentlich",IF(OR(K147="ohne Ampel",K147="nicht in Freigaben"),"Ampel fehlt",IF(LEN(G147)&gt;60,"Kurzinfo zu lang",""))))))</f>
        <v/>
      </c>
      <c r="V147" s="11"/>
    </row>
    <row r="148" customFormat="false" ht="15" hidden="false" customHeight="false" outlineLevel="0" collapsed="false">
      <c r="A148" s="11"/>
      <c r="B148" s="12"/>
      <c r="C148" s="6" t="str">
        <f aca="false">IF(B148="","",CHOOSE(WEEKDAY(B148,2),"Mo","Di","Mi","Do","Fr","Sa","So"))</f>
        <v/>
      </c>
      <c r="D148" s="16"/>
      <c r="E148" s="16"/>
      <c r="F148" s="11"/>
      <c r="G148" s="11"/>
      <c r="H148" s="7" t="str">
        <f aca="false">IF(G148="","",LEN(G148))</f>
        <v/>
      </c>
      <c r="I148" s="11"/>
      <c r="J148" s="6" t="str">
        <f aca="false">IF(I148="","",IF(COUNTIFS(Freigaben!$B$5:$B$58,I148,Freigaben!$M$5:$M$58,"freigegeben")&gt;0,"ja","nein"))</f>
        <v/>
      </c>
      <c r="K148" s="6" t="str">
        <f aca="false">IF(I148="","",IFERROR(IF(INDEX(Freigaben!$N$5:$N$58,MATCH(I148,Freigaben!$B$5:$B$58,0))="","ohne Ampel",INDEX(Freigaben!$N$5:$N$58,MATCH(I148,Freigaben!$B$5:$B$58,0))),"nicht in Freigaben"))</f>
        <v/>
      </c>
      <c r="L148" s="11"/>
      <c r="M148" s="12"/>
      <c r="N148" s="11"/>
      <c r="O148" s="11"/>
      <c r="P148" s="11"/>
      <c r="Q148" s="11"/>
      <c r="R148" s="11"/>
      <c r="S148" s="11"/>
      <c r="T148" s="6" t="str">
        <f aca="false">IF(F148="","",IF(AND(J148="ja",M148&lt;&gt;"",OR(K148="grün",K148="gelb"),LEN(G148)&lt;=60),"ja","nein"))</f>
        <v/>
      </c>
      <c r="U148" s="6" t="str">
        <f aca="false">IF(T148&lt;&gt;"nein","",IF(J148&lt;&gt;"ja","keine Freigabe",IF(M148="","nicht an der Quelle bestätigt",IF(K148="rot","Ampel rot — nicht öffentlich",IF(OR(K148="ohne Ampel",K148="nicht in Freigaben"),"Ampel fehlt",IF(LEN(G148)&gt;60,"Kurzinfo zu lang",""))))))</f>
        <v/>
      </c>
      <c r="V148" s="11"/>
    </row>
    <row r="149" customFormat="false" ht="15" hidden="false" customHeight="false" outlineLevel="0" collapsed="false">
      <c r="A149" s="11"/>
      <c r="B149" s="12"/>
      <c r="C149" s="6" t="str">
        <f aca="false">IF(B149="","",CHOOSE(WEEKDAY(B149,2),"Mo","Di","Mi","Do","Fr","Sa","So"))</f>
        <v/>
      </c>
      <c r="D149" s="16"/>
      <c r="E149" s="16"/>
      <c r="F149" s="11"/>
      <c r="G149" s="11"/>
      <c r="H149" s="7" t="str">
        <f aca="false">IF(G149="","",LEN(G149))</f>
        <v/>
      </c>
      <c r="I149" s="11"/>
      <c r="J149" s="6" t="str">
        <f aca="false">IF(I149="","",IF(COUNTIFS(Freigaben!$B$5:$B$58,I149,Freigaben!$M$5:$M$58,"freigegeben")&gt;0,"ja","nein"))</f>
        <v/>
      </c>
      <c r="K149" s="6" t="str">
        <f aca="false">IF(I149="","",IFERROR(IF(INDEX(Freigaben!$N$5:$N$58,MATCH(I149,Freigaben!$B$5:$B$58,0))="","ohne Ampel",INDEX(Freigaben!$N$5:$N$58,MATCH(I149,Freigaben!$B$5:$B$58,0))),"nicht in Freigaben"))</f>
        <v/>
      </c>
      <c r="L149" s="11"/>
      <c r="M149" s="12"/>
      <c r="N149" s="11"/>
      <c r="O149" s="11"/>
      <c r="P149" s="11"/>
      <c r="Q149" s="11"/>
      <c r="R149" s="11"/>
      <c r="S149" s="11"/>
      <c r="T149" s="6" t="str">
        <f aca="false">IF(F149="","",IF(AND(J149="ja",M149&lt;&gt;"",OR(K149="grün",K149="gelb"),LEN(G149)&lt;=60),"ja","nein"))</f>
        <v/>
      </c>
      <c r="U149" s="6" t="str">
        <f aca="false">IF(T149&lt;&gt;"nein","",IF(J149&lt;&gt;"ja","keine Freigabe",IF(M149="","nicht an der Quelle bestätigt",IF(K149="rot","Ampel rot — nicht öffentlich",IF(OR(K149="ohne Ampel",K149="nicht in Freigaben"),"Ampel fehlt",IF(LEN(G149)&gt;60,"Kurzinfo zu lang",""))))))</f>
        <v/>
      </c>
      <c r="V149" s="11"/>
    </row>
    <row r="150" customFormat="false" ht="15" hidden="false" customHeight="false" outlineLevel="0" collapsed="false">
      <c r="A150" s="11"/>
      <c r="B150" s="12"/>
      <c r="C150" s="6" t="str">
        <f aca="false">IF(B150="","",CHOOSE(WEEKDAY(B150,2),"Mo","Di","Mi","Do","Fr","Sa","So"))</f>
        <v/>
      </c>
      <c r="D150" s="16"/>
      <c r="E150" s="16"/>
      <c r="F150" s="11"/>
      <c r="G150" s="11"/>
      <c r="H150" s="7" t="str">
        <f aca="false">IF(G150="","",LEN(G150))</f>
        <v/>
      </c>
      <c r="I150" s="11"/>
      <c r="J150" s="6" t="str">
        <f aca="false">IF(I150="","",IF(COUNTIFS(Freigaben!$B$5:$B$58,I150,Freigaben!$M$5:$M$58,"freigegeben")&gt;0,"ja","nein"))</f>
        <v/>
      </c>
      <c r="K150" s="6" t="str">
        <f aca="false">IF(I150="","",IFERROR(IF(INDEX(Freigaben!$N$5:$N$58,MATCH(I150,Freigaben!$B$5:$B$58,0))="","ohne Ampel",INDEX(Freigaben!$N$5:$N$58,MATCH(I150,Freigaben!$B$5:$B$58,0))),"nicht in Freigaben"))</f>
        <v/>
      </c>
      <c r="L150" s="11"/>
      <c r="M150" s="12"/>
      <c r="N150" s="11"/>
      <c r="O150" s="11"/>
      <c r="P150" s="11"/>
      <c r="Q150" s="11"/>
      <c r="R150" s="11"/>
      <c r="S150" s="11"/>
      <c r="T150" s="6" t="str">
        <f aca="false">IF(F150="","",IF(AND(J150="ja",M150&lt;&gt;"",OR(K150="grün",K150="gelb"),LEN(G150)&lt;=60),"ja","nein"))</f>
        <v/>
      </c>
      <c r="U150" s="6" t="str">
        <f aca="false">IF(T150&lt;&gt;"nein","",IF(J150&lt;&gt;"ja","keine Freigabe",IF(M150="","nicht an der Quelle bestätigt",IF(K150="rot","Ampel rot — nicht öffentlich",IF(OR(K150="ohne Ampel",K150="nicht in Freigaben"),"Ampel fehlt",IF(LEN(G150)&gt;60,"Kurzinfo zu lang",""))))))</f>
        <v/>
      </c>
      <c r="V150" s="11"/>
    </row>
    <row r="151" customFormat="false" ht="15" hidden="false" customHeight="false" outlineLevel="0" collapsed="false">
      <c r="A151" s="11"/>
      <c r="B151" s="12"/>
      <c r="C151" s="6" t="str">
        <f aca="false">IF(B151="","",CHOOSE(WEEKDAY(B151,2),"Mo","Di","Mi","Do","Fr","Sa","So"))</f>
        <v/>
      </c>
      <c r="D151" s="16"/>
      <c r="E151" s="16"/>
      <c r="F151" s="11"/>
      <c r="G151" s="11"/>
      <c r="H151" s="7" t="str">
        <f aca="false">IF(G151="","",LEN(G151))</f>
        <v/>
      </c>
      <c r="I151" s="11"/>
      <c r="J151" s="6" t="str">
        <f aca="false">IF(I151="","",IF(COUNTIFS(Freigaben!$B$5:$B$58,I151,Freigaben!$M$5:$M$58,"freigegeben")&gt;0,"ja","nein"))</f>
        <v/>
      </c>
      <c r="K151" s="6" t="str">
        <f aca="false">IF(I151="","",IFERROR(IF(INDEX(Freigaben!$N$5:$N$58,MATCH(I151,Freigaben!$B$5:$B$58,0))="","ohne Ampel",INDEX(Freigaben!$N$5:$N$58,MATCH(I151,Freigaben!$B$5:$B$58,0))),"nicht in Freigaben"))</f>
        <v/>
      </c>
      <c r="L151" s="11"/>
      <c r="M151" s="12"/>
      <c r="N151" s="11"/>
      <c r="O151" s="11"/>
      <c r="P151" s="11"/>
      <c r="Q151" s="11"/>
      <c r="R151" s="11"/>
      <c r="S151" s="11"/>
      <c r="T151" s="6" t="str">
        <f aca="false">IF(F151="","",IF(AND(J151="ja",M151&lt;&gt;"",OR(K151="grün",K151="gelb"),LEN(G151)&lt;=60),"ja","nein"))</f>
        <v/>
      </c>
      <c r="U151" s="6" t="str">
        <f aca="false">IF(T151&lt;&gt;"nein","",IF(J151&lt;&gt;"ja","keine Freigabe",IF(M151="","nicht an der Quelle bestätigt",IF(K151="rot","Ampel rot — nicht öffentlich",IF(OR(K151="ohne Ampel",K151="nicht in Freigaben"),"Ampel fehlt",IF(LEN(G151)&gt;60,"Kurzinfo zu lang",""))))))</f>
        <v/>
      </c>
      <c r="V151" s="11"/>
    </row>
    <row r="152" customFormat="false" ht="15" hidden="false" customHeight="false" outlineLevel="0" collapsed="false">
      <c r="A152" s="11"/>
      <c r="B152" s="12"/>
      <c r="C152" s="6" t="str">
        <f aca="false">IF(B152="","",CHOOSE(WEEKDAY(B152,2),"Mo","Di","Mi","Do","Fr","Sa","So"))</f>
        <v/>
      </c>
      <c r="D152" s="16"/>
      <c r="E152" s="16"/>
      <c r="F152" s="11"/>
      <c r="G152" s="11"/>
      <c r="H152" s="7" t="str">
        <f aca="false">IF(G152="","",LEN(G152))</f>
        <v/>
      </c>
      <c r="I152" s="11"/>
      <c r="J152" s="6" t="str">
        <f aca="false">IF(I152="","",IF(COUNTIFS(Freigaben!$B$5:$B$58,I152,Freigaben!$M$5:$M$58,"freigegeben")&gt;0,"ja","nein"))</f>
        <v/>
      </c>
      <c r="K152" s="6" t="str">
        <f aca="false">IF(I152="","",IFERROR(IF(INDEX(Freigaben!$N$5:$N$58,MATCH(I152,Freigaben!$B$5:$B$58,0))="","ohne Ampel",INDEX(Freigaben!$N$5:$N$58,MATCH(I152,Freigaben!$B$5:$B$58,0))),"nicht in Freigaben"))</f>
        <v/>
      </c>
      <c r="L152" s="11"/>
      <c r="M152" s="12"/>
      <c r="N152" s="11"/>
      <c r="O152" s="11"/>
      <c r="P152" s="11"/>
      <c r="Q152" s="11"/>
      <c r="R152" s="11"/>
      <c r="S152" s="11"/>
      <c r="T152" s="6" t="str">
        <f aca="false">IF(F152="","",IF(AND(J152="ja",M152&lt;&gt;"",OR(K152="grün",K152="gelb"),LEN(G152)&lt;=60),"ja","nein"))</f>
        <v/>
      </c>
      <c r="U152" s="6" t="str">
        <f aca="false">IF(T152&lt;&gt;"nein","",IF(J152&lt;&gt;"ja","keine Freigabe",IF(M152="","nicht an der Quelle bestätigt",IF(K152="rot","Ampel rot — nicht öffentlich",IF(OR(K152="ohne Ampel",K152="nicht in Freigaben"),"Ampel fehlt",IF(LEN(G152)&gt;60,"Kurzinfo zu lang",""))))))</f>
        <v/>
      </c>
      <c r="V152" s="11"/>
    </row>
    <row r="153" customFormat="false" ht="15" hidden="false" customHeight="false" outlineLevel="0" collapsed="false">
      <c r="A153" s="11"/>
      <c r="B153" s="12"/>
      <c r="C153" s="6" t="str">
        <f aca="false">IF(B153="","",CHOOSE(WEEKDAY(B153,2),"Mo","Di","Mi","Do","Fr","Sa","So"))</f>
        <v/>
      </c>
      <c r="D153" s="16"/>
      <c r="E153" s="16"/>
      <c r="F153" s="11"/>
      <c r="G153" s="11"/>
      <c r="H153" s="7" t="str">
        <f aca="false">IF(G153="","",LEN(G153))</f>
        <v/>
      </c>
      <c r="I153" s="11"/>
      <c r="J153" s="6" t="str">
        <f aca="false">IF(I153="","",IF(COUNTIFS(Freigaben!$B$5:$B$58,I153,Freigaben!$M$5:$M$58,"freigegeben")&gt;0,"ja","nein"))</f>
        <v/>
      </c>
      <c r="K153" s="6" t="str">
        <f aca="false">IF(I153="","",IFERROR(IF(INDEX(Freigaben!$N$5:$N$58,MATCH(I153,Freigaben!$B$5:$B$58,0))="","ohne Ampel",INDEX(Freigaben!$N$5:$N$58,MATCH(I153,Freigaben!$B$5:$B$58,0))),"nicht in Freigaben"))</f>
        <v/>
      </c>
      <c r="L153" s="11"/>
      <c r="M153" s="12"/>
      <c r="N153" s="11"/>
      <c r="O153" s="11"/>
      <c r="P153" s="11"/>
      <c r="Q153" s="11"/>
      <c r="R153" s="11"/>
      <c r="S153" s="11"/>
      <c r="T153" s="6" t="str">
        <f aca="false">IF(F153="","",IF(AND(J153="ja",M153&lt;&gt;"",OR(K153="grün",K153="gelb"),LEN(G153)&lt;=60),"ja","nein"))</f>
        <v/>
      </c>
      <c r="U153" s="6" t="str">
        <f aca="false">IF(T153&lt;&gt;"nein","",IF(J153&lt;&gt;"ja","keine Freigabe",IF(M153="","nicht an der Quelle bestätigt",IF(K153="rot","Ampel rot — nicht öffentlich",IF(OR(K153="ohne Ampel",K153="nicht in Freigaben"),"Ampel fehlt",IF(LEN(G153)&gt;60,"Kurzinfo zu lang",""))))))</f>
        <v/>
      </c>
      <c r="V153" s="11"/>
    </row>
    <row r="154" customFormat="false" ht="15" hidden="false" customHeight="false" outlineLevel="0" collapsed="false">
      <c r="A154" s="11"/>
      <c r="B154" s="12"/>
      <c r="C154" s="6" t="str">
        <f aca="false">IF(B154="","",CHOOSE(WEEKDAY(B154,2),"Mo","Di","Mi","Do","Fr","Sa","So"))</f>
        <v/>
      </c>
      <c r="D154" s="16"/>
      <c r="E154" s="16"/>
      <c r="F154" s="11"/>
      <c r="G154" s="11"/>
      <c r="H154" s="7" t="str">
        <f aca="false">IF(G154="","",LEN(G154))</f>
        <v/>
      </c>
      <c r="I154" s="11"/>
      <c r="J154" s="6" t="str">
        <f aca="false">IF(I154="","",IF(COUNTIFS(Freigaben!$B$5:$B$58,I154,Freigaben!$M$5:$M$58,"freigegeben")&gt;0,"ja","nein"))</f>
        <v/>
      </c>
      <c r="K154" s="6" t="str">
        <f aca="false">IF(I154="","",IFERROR(IF(INDEX(Freigaben!$N$5:$N$58,MATCH(I154,Freigaben!$B$5:$B$58,0))="","ohne Ampel",INDEX(Freigaben!$N$5:$N$58,MATCH(I154,Freigaben!$B$5:$B$58,0))),"nicht in Freigaben"))</f>
        <v/>
      </c>
      <c r="L154" s="11"/>
      <c r="M154" s="12"/>
      <c r="N154" s="11"/>
      <c r="O154" s="11"/>
      <c r="P154" s="11"/>
      <c r="Q154" s="11"/>
      <c r="R154" s="11"/>
      <c r="S154" s="11"/>
      <c r="T154" s="6" t="str">
        <f aca="false">IF(F154="","",IF(AND(J154="ja",M154&lt;&gt;"",OR(K154="grün",K154="gelb"),LEN(G154)&lt;=60),"ja","nein"))</f>
        <v/>
      </c>
      <c r="U154" s="6" t="str">
        <f aca="false">IF(T154&lt;&gt;"nein","",IF(J154&lt;&gt;"ja","keine Freigabe",IF(M154="","nicht an der Quelle bestätigt",IF(K154="rot","Ampel rot — nicht öffentlich",IF(OR(K154="ohne Ampel",K154="nicht in Freigaben"),"Ampel fehlt",IF(LEN(G154)&gt;60,"Kurzinfo zu lang",""))))))</f>
        <v/>
      </c>
      <c r="V154" s="11"/>
    </row>
    <row r="155" customFormat="false" ht="15" hidden="false" customHeight="false" outlineLevel="0" collapsed="false">
      <c r="A155" s="11"/>
      <c r="B155" s="12"/>
      <c r="C155" s="6" t="str">
        <f aca="false">IF(B155="","",CHOOSE(WEEKDAY(B155,2),"Mo","Di","Mi","Do","Fr","Sa","So"))</f>
        <v/>
      </c>
      <c r="D155" s="16"/>
      <c r="E155" s="16"/>
      <c r="F155" s="11"/>
      <c r="G155" s="11"/>
      <c r="H155" s="7" t="str">
        <f aca="false">IF(G155="","",LEN(G155))</f>
        <v/>
      </c>
      <c r="I155" s="11"/>
      <c r="J155" s="6" t="str">
        <f aca="false">IF(I155="","",IF(COUNTIFS(Freigaben!$B$5:$B$58,I155,Freigaben!$M$5:$M$58,"freigegeben")&gt;0,"ja","nein"))</f>
        <v/>
      </c>
      <c r="K155" s="6" t="str">
        <f aca="false">IF(I155="","",IFERROR(IF(INDEX(Freigaben!$N$5:$N$58,MATCH(I155,Freigaben!$B$5:$B$58,0))="","ohne Ampel",INDEX(Freigaben!$N$5:$N$58,MATCH(I155,Freigaben!$B$5:$B$58,0))),"nicht in Freigaben"))</f>
        <v/>
      </c>
      <c r="L155" s="11"/>
      <c r="M155" s="12"/>
      <c r="N155" s="11"/>
      <c r="O155" s="11"/>
      <c r="P155" s="11"/>
      <c r="Q155" s="11"/>
      <c r="R155" s="11"/>
      <c r="S155" s="11"/>
      <c r="T155" s="6" t="str">
        <f aca="false">IF(F155="","",IF(AND(J155="ja",M155&lt;&gt;"",OR(K155="grün",K155="gelb"),LEN(G155)&lt;=60),"ja","nein"))</f>
        <v/>
      </c>
      <c r="U155" s="6" t="str">
        <f aca="false">IF(T155&lt;&gt;"nein","",IF(J155&lt;&gt;"ja","keine Freigabe",IF(M155="","nicht an der Quelle bestätigt",IF(K155="rot","Ampel rot — nicht öffentlich",IF(OR(K155="ohne Ampel",K155="nicht in Freigaben"),"Ampel fehlt",IF(LEN(G155)&gt;60,"Kurzinfo zu lang",""))))))</f>
        <v/>
      </c>
      <c r="V155" s="11"/>
    </row>
    <row r="156" customFormat="false" ht="15" hidden="false" customHeight="false" outlineLevel="0" collapsed="false">
      <c r="A156" s="11"/>
      <c r="B156" s="12"/>
      <c r="C156" s="6" t="str">
        <f aca="false">IF(B156="","",CHOOSE(WEEKDAY(B156,2),"Mo","Di","Mi","Do","Fr","Sa","So"))</f>
        <v/>
      </c>
      <c r="D156" s="16"/>
      <c r="E156" s="16"/>
      <c r="F156" s="11"/>
      <c r="G156" s="11"/>
      <c r="H156" s="7" t="str">
        <f aca="false">IF(G156="","",LEN(G156))</f>
        <v/>
      </c>
      <c r="I156" s="11"/>
      <c r="J156" s="6" t="str">
        <f aca="false">IF(I156="","",IF(COUNTIFS(Freigaben!$B$5:$B$58,I156,Freigaben!$M$5:$M$58,"freigegeben")&gt;0,"ja","nein"))</f>
        <v/>
      </c>
      <c r="K156" s="6" t="str">
        <f aca="false">IF(I156="","",IFERROR(IF(INDEX(Freigaben!$N$5:$N$58,MATCH(I156,Freigaben!$B$5:$B$58,0))="","ohne Ampel",INDEX(Freigaben!$N$5:$N$58,MATCH(I156,Freigaben!$B$5:$B$58,0))),"nicht in Freigaben"))</f>
        <v/>
      </c>
      <c r="L156" s="11"/>
      <c r="M156" s="12"/>
      <c r="N156" s="11"/>
      <c r="O156" s="11"/>
      <c r="P156" s="11"/>
      <c r="Q156" s="11"/>
      <c r="R156" s="11"/>
      <c r="S156" s="11"/>
      <c r="T156" s="6" t="str">
        <f aca="false">IF(F156="","",IF(AND(J156="ja",M156&lt;&gt;"",OR(K156="grün",K156="gelb"),LEN(G156)&lt;=60),"ja","nein"))</f>
        <v/>
      </c>
      <c r="U156" s="6" t="str">
        <f aca="false">IF(T156&lt;&gt;"nein","",IF(J156&lt;&gt;"ja","keine Freigabe",IF(M156="","nicht an der Quelle bestätigt",IF(K156="rot","Ampel rot — nicht öffentlich",IF(OR(K156="ohne Ampel",K156="nicht in Freigaben"),"Ampel fehlt",IF(LEN(G156)&gt;60,"Kurzinfo zu lang",""))))))</f>
        <v/>
      </c>
      <c r="V156" s="11"/>
    </row>
    <row r="157" customFormat="false" ht="15" hidden="false" customHeight="false" outlineLevel="0" collapsed="false">
      <c r="A157" s="11"/>
      <c r="B157" s="12"/>
      <c r="C157" s="6" t="str">
        <f aca="false">IF(B157="","",CHOOSE(WEEKDAY(B157,2),"Mo","Di","Mi","Do","Fr","Sa","So"))</f>
        <v/>
      </c>
      <c r="D157" s="16"/>
      <c r="E157" s="16"/>
      <c r="F157" s="11"/>
      <c r="G157" s="11"/>
      <c r="H157" s="7" t="str">
        <f aca="false">IF(G157="","",LEN(G157))</f>
        <v/>
      </c>
      <c r="I157" s="11"/>
      <c r="J157" s="6" t="str">
        <f aca="false">IF(I157="","",IF(COUNTIFS(Freigaben!$B$5:$B$58,I157,Freigaben!$M$5:$M$58,"freigegeben")&gt;0,"ja","nein"))</f>
        <v/>
      </c>
      <c r="K157" s="6" t="str">
        <f aca="false">IF(I157="","",IFERROR(IF(INDEX(Freigaben!$N$5:$N$58,MATCH(I157,Freigaben!$B$5:$B$58,0))="","ohne Ampel",INDEX(Freigaben!$N$5:$N$58,MATCH(I157,Freigaben!$B$5:$B$58,0))),"nicht in Freigaben"))</f>
        <v/>
      </c>
      <c r="L157" s="11"/>
      <c r="M157" s="12"/>
      <c r="N157" s="11"/>
      <c r="O157" s="11"/>
      <c r="P157" s="11"/>
      <c r="Q157" s="11"/>
      <c r="R157" s="11"/>
      <c r="S157" s="11"/>
      <c r="T157" s="6" t="str">
        <f aca="false">IF(F157="","",IF(AND(J157="ja",M157&lt;&gt;"",OR(K157="grün",K157="gelb"),LEN(G157)&lt;=60),"ja","nein"))</f>
        <v/>
      </c>
      <c r="U157" s="6" t="str">
        <f aca="false">IF(T157&lt;&gt;"nein","",IF(J157&lt;&gt;"ja","keine Freigabe",IF(M157="","nicht an der Quelle bestätigt",IF(K157="rot","Ampel rot — nicht öffentlich",IF(OR(K157="ohne Ampel",K157="nicht in Freigaben"),"Ampel fehlt",IF(LEN(G157)&gt;60,"Kurzinfo zu lang",""))))))</f>
        <v/>
      </c>
      <c r="V157" s="11"/>
    </row>
    <row r="158" customFormat="false" ht="15" hidden="false" customHeight="false" outlineLevel="0" collapsed="false">
      <c r="A158" s="11"/>
      <c r="B158" s="12"/>
      <c r="C158" s="6" t="str">
        <f aca="false">IF(B158="","",CHOOSE(WEEKDAY(B158,2),"Mo","Di","Mi","Do","Fr","Sa","So"))</f>
        <v/>
      </c>
      <c r="D158" s="16"/>
      <c r="E158" s="16"/>
      <c r="F158" s="11"/>
      <c r="G158" s="11"/>
      <c r="H158" s="7" t="str">
        <f aca="false">IF(G158="","",LEN(G158))</f>
        <v/>
      </c>
      <c r="I158" s="11"/>
      <c r="J158" s="6" t="str">
        <f aca="false">IF(I158="","",IF(COUNTIFS(Freigaben!$B$5:$B$58,I158,Freigaben!$M$5:$M$58,"freigegeben")&gt;0,"ja","nein"))</f>
        <v/>
      </c>
      <c r="K158" s="6" t="str">
        <f aca="false">IF(I158="","",IFERROR(IF(INDEX(Freigaben!$N$5:$N$58,MATCH(I158,Freigaben!$B$5:$B$58,0))="","ohne Ampel",INDEX(Freigaben!$N$5:$N$58,MATCH(I158,Freigaben!$B$5:$B$58,0))),"nicht in Freigaben"))</f>
        <v/>
      </c>
      <c r="L158" s="11"/>
      <c r="M158" s="12"/>
      <c r="N158" s="11"/>
      <c r="O158" s="11"/>
      <c r="P158" s="11"/>
      <c r="Q158" s="11"/>
      <c r="R158" s="11"/>
      <c r="S158" s="11"/>
      <c r="T158" s="6" t="str">
        <f aca="false">IF(F158="","",IF(AND(J158="ja",M158&lt;&gt;"",OR(K158="grün",K158="gelb"),LEN(G158)&lt;=60),"ja","nein"))</f>
        <v/>
      </c>
      <c r="U158" s="6" t="str">
        <f aca="false">IF(T158&lt;&gt;"nein","",IF(J158&lt;&gt;"ja","keine Freigabe",IF(M158="","nicht an der Quelle bestätigt",IF(K158="rot","Ampel rot — nicht öffentlich",IF(OR(K158="ohne Ampel",K158="nicht in Freigaben"),"Ampel fehlt",IF(LEN(G158)&gt;60,"Kurzinfo zu lang",""))))))</f>
        <v/>
      </c>
      <c r="V158" s="11"/>
    </row>
    <row r="159" customFormat="false" ht="15" hidden="false" customHeight="false" outlineLevel="0" collapsed="false">
      <c r="A159" s="11"/>
      <c r="B159" s="12"/>
      <c r="C159" s="6" t="str">
        <f aca="false">IF(B159="","",CHOOSE(WEEKDAY(B159,2),"Mo","Di","Mi","Do","Fr","Sa","So"))</f>
        <v/>
      </c>
      <c r="D159" s="16"/>
      <c r="E159" s="16"/>
      <c r="F159" s="11"/>
      <c r="G159" s="11"/>
      <c r="H159" s="7" t="str">
        <f aca="false">IF(G159="","",LEN(G159))</f>
        <v/>
      </c>
      <c r="I159" s="11"/>
      <c r="J159" s="6" t="str">
        <f aca="false">IF(I159="","",IF(COUNTIFS(Freigaben!$B$5:$B$58,I159,Freigaben!$M$5:$M$58,"freigegeben")&gt;0,"ja","nein"))</f>
        <v/>
      </c>
      <c r="K159" s="6" t="str">
        <f aca="false">IF(I159="","",IFERROR(IF(INDEX(Freigaben!$N$5:$N$58,MATCH(I159,Freigaben!$B$5:$B$58,0))="","ohne Ampel",INDEX(Freigaben!$N$5:$N$58,MATCH(I159,Freigaben!$B$5:$B$58,0))),"nicht in Freigaben"))</f>
        <v/>
      </c>
      <c r="L159" s="11"/>
      <c r="M159" s="12"/>
      <c r="N159" s="11"/>
      <c r="O159" s="11"/>
      <c r="P159" s="11"/>
      <c r="Q159" s="11"/>
      <c r="R159" s="11"/>
      <c r="S159" s="11"/>
      <c r="T159" s="6" t="str">
        <f aca="false">IF(F159="","",IF(AND(J159="ja",M159&lt;&gt;"",OR(K159="grün",K159="gelb"),LEN(G159)&lt;=60),"ja","nein"))</f>
        <v/>
      </c>
      <c r="U159" s="6" t="str">
        <f aca="false">IF(T159&lt;&gt;"nein","",IF(J159&lt;&gt;"ja","keine Freigabe",IF(M159="","nicht an der Quelle bestätigt",IF(K159="rot","Ampel rot — nicht öffentlich",IF(OR(K159="ohne Ampel",K159="nicht in Freigaben"),"Ampel fehlt",IF(LEN(G159)&gt;60,"Kurzinfo zu lang",""))))))</f>
        <v/>
      </c>
      <c r="V159" s="11"/>
    </row>
    <row r="160" customFormat="false" ht="15" hidden="false" customHeight="false" outlineLevel="0" collapsed="false">
      <c r="A160" s="11"/>
      <c r="B160" s="12"/>
      <c r="C160" s="6" t="str">
        <f aca="false">IF(B160="","",CHOOSE(WEEKDAY(B160,2),"Mo","Di","Mi","Do","Fr","Sa","So"))</f>
        <v/>
      </c>
      <c r="D160" s="16"/>
      <c r="E160" s="16"/>
      <c r="F160" s="11"/>
      <c r="G160" s="11"/>
      <c r="H160" s="7" t="str">
        <f aca="false">IF(G160="","",LEN(G160))</f>
        <v/>
      </c>
      <c r="I160" s="11"/>
      <c r="J160" s="6" t="str">
        <f aca="false">IF(I160="","",IF(COUNTIFS(Freigaben!$B$5:$B$58,I160,Freigaben!$M$5:$M$58,"freigegeben")&gt;0,"ja","nein"))</f>
        <v/>
      </c>
      <c r="K160" s="6" t="str">
        <f aca="false">IF(I160="","",IFERROR(IF(INDEX(Freigaben!$N$5:$N$58,MATCH(I160,Freigaben!$B$5:$B$58,0))="","ohne Ampel",INDEX(Freigaben!$N$5:$N$58,MATCH(I160,Freigaben!$B$5:$B$58,0))),"nicht in Freigaben"))</f>
        <v/>
      </c>
      <c r="L160" s="11"/>
      <c r="M160" s="12"/>
      <c r="N160" s="11"/>
      <c r="O160" s="11"/>
      <c r="P160" s="11"/>
      <c r="Q160" s="11"/>
      <c r="R160" s="11"/>
      <c r="S160" s="11"/>
      <c r="T160" s="6" t="str">
        <f aca="false">IF(F160="","",IF(AND(J160="ja",M160&lt;&gt;"",OR(K160="grün",K160="gelb"),LEN(G160)&lt;=60),"ja","nein"))</f>
        <v/>
      </c>
      <c r="U160" s="6" t="str">
        <f aca="false">IF(T160&lt;&gt;"nein","",IF(J160&lt;&gt;"ja","keine Freigabe",IF(M160="","nicht an der Quelle bestätigt",IF(K160="rot","Ampel rot — nicht öffentlich",IF(OR(K160="ohne Ampel",K160="nicht in Freigaben"),"Ampel fehlt",IF(LEN(G160)&gt;60,"Kurzinfo zu lang",""))))))</f>
        <v/>
      </c>
      <c r="V160" s="11"/>
    </row>
    <row r="161" customFormat="false" ht="15" hidden="false" customHeight="false" outlineLevel="0" collapsed="false">
      <c r="A161" s="11"/>
      <c r="B161" s="12"/>
      <c r="C161" s="6" t="str">
        <f aca="false">IF(B161="","",CHOOSE(WEEKDAY(B161,2),"Mo","Di","Mi","Do","Fr","Sa","So"))</f>
        <v/>
      </c>
      <c r="D161" s="16"/>
      <c r="E161" s="16"/>
      <c r="F161" s="11"/>
      <c r="G161" s="11"/>
      <c r="H161" s="7" t="str">
        <f aca="false">IF(G161="","",LEN(G161))</f>
        <v/>
      </c>
      <c r="I161" s="11"/>
      <c r="J161" s="6" t="str">
        <f aca="false">IF(I161="","",IF(COUNTIFS(Freigaben!$B$5:$B$58,I161,Freigaben!$M$5:$M$58,"freigegeben")&gt;0,"ja","nein"))</f>
        <v/>
      </c>
      <c r="K161" s="6" t="str">
        <f aca="false">IF(I161="","",IFERROR(IF(INDEX(Freigaben!$N$5:$N$58,MATCH(I161,Freigaben!$B$5:$B$58,0))="","ohne Ampel",INDEX(Freigaben!$N$5:$N$58,MATCH(I161,Freigaben!$B$5:$B$58,0))),"nicht in Freigaben"))</f>
        <v/>
      </c>
      <c r="L161" s="11"/>
      <c r="M161" s="12"/>
      <c r="N161" s="11"/>
      <c r="O161" s="11"/>
      <c r="P161" s="11"/>
      <c r="Q161" s="11"/>
      <c r="R161" s="11"/>
      <c r="S161" s="11"/>
      <c r="T161" s="6" t="str">
        <f aca="false">IF(F161="","",IF(AND(J161="ja",M161&lt;&gt;"",OR(K161="grün",K161="gelb"),LEN(G161)&lt;=60),"ja","nein"))</f>
        <v/>
      </c>
      <c r="U161" s="6" t="str">
        <f aca="false">IF(T161&lt;&gt;"nein","",IF(J161&lt;&gt;"ja","keine Freigabe",IF(M161="","nicht an der Quelle bestätigt",IF(K161="rot","Ampel rot — nicht öffentlich",IF(OR(K161="ohne Ampel",K161="nicht in Freigaben"),"Ampel fehlt",IF(LEN(G161)&gt;60,"Kurzinfo zu lang",""))))))</f>
        <v/>
      </c>
      <c r="V161" s="11"/>
    </row>
    <row r="162" customFormat="false" ht="15" hidden="false" customHeight="false" outlineLevel="0" collapsed="false">
      <c r="A162" s="11"/>
      <c r="B162" s="12"/>
      <c r="C162" s="6" t="str">
        <f aca="false">IF(B162="","",CHOOSE(WEEKDAY(B162,2),"Mo","Di","Mi","Do","Fr","Sa","So"))</f>
        <v/>
      </c>
      <c r="D162" s="16"/>
      <c r="E162" s="16"/>
      <c r="F162" s="11"/>
      <c r="G162" s="11"/>
      <c r="H162" s="7" t="str">
        <f aca="false">IF(G162="","",LEN(G162))</f>
        <v/>
      </c>
      <c r="I162" s="11"/>
      <c r="J162" s="6" t="str">
        <f aca="false">IF(I162="","",IF(COUNTIFS(Freigaben!$B$5:$B$58,I162,Freigaben!$M$5:$M$58,"freigegeben")&gt;0,"ja","nein"))</f>
        <v/>
      </c>
      <c r="K162" s="6" t="str">
        <f aca="false">IF(I162="","",IFERROR(IF(INDEX(Freigaben!$N$5:$N$58,MATCH(I162,Freigaben!$B$5:$B$58,0))="","ohne Ampel",INDEX(Freigaben!$N$5:$N$58,MATCH(I162,Freigaben!$B$5:$B$58,0))),"nicht in Freigaben"))</f>
        <v/>
      </c>
      <c r="L162" s="11"/>
      <c r="M162" s="12"/>
      <c r="N162" s="11"/>
      <c r="O162" s="11"/>
      <c r="P162" s="11"/>
      <c r="Q162" s="11"/>
      <c r="R162" s="11"/>
      <c r="S162" s="11"/>
      <c r="T162" s="6" t="str">
        <f aca="false">IF(F162="","",IF(AND(J162="ja",M162&lt;&gt;"",OR(K162="grün",K162="gelb"),LEN(G162)&lt;=60),"ja","nein"))</f>
        <v/>
      </c>
      <c r="U162" s="6" t="str">
        <f aca="false">IF(T162&lt;&gt;"nein","",IF(J162&lt;&gt;"ja","keine Freigabe",IF(M162="","nicht an der Quelle bestätigt",IF(K162="rot","Ampel rot — nicht öffentlich",IF(OR(K162="ohne Ampel",K162="nicht in Freigaben"),"Ampel fehlt",IF(LEN(G162)&gt;60,"Kurzinfo zu lang",""))))))</f>
        <v/>
      </c>
      <c r="V162" s="11"/>
    </row>
    <row r="163" customFormat="false" ht="15" hidden="false" customHeight="false" outlineLevel="0" collapsed="false">
      <c r="A163" s="11"/>
      <c r="B163" s="12"/>
      <c r="C163" s="6" t="str">
        <f aca="false">IF(B163="","",CHOOSE(WEEKDAY(B163,2),"Mo","Di","Mi","Do","Fr","Sa","So"))</f>
        <v/>
      </c>
      <c r="D163" s="16"/>
      <c r="E163" s="16"/>
      <c r="F163" s="11"/>
      <c r="G163" s="11"/>
      <c r="H163" s="7" t="str">
        <f aca="false">IF(G163="","",LEN(G163))</f>
        <v/>
      </c>
      <c r="I163" s="11"/>
      <c r="J163" s="6" t="str">
        <f aca="false">IF(I163="","",IF(COUNTIFS(Freigaben!$B$5:$B$58,I163,Freigaben!$M$5:$M$58,"freigegeben")&gt;0,"ja","nein"))</f>
        <v/>
      </c>
      <c r="K163" s="6" t="str">
        <f aca="false">IF(I163="","",IFERROR(IF(INDEX(Freigaben!$N$5:$N$58,MATCH(I163,Freigaben!$B$5:$B$58,0))="","ohne Ampel",INDEX(Freigaben!$N$5:$N$58,MATCH(I163,Freigaben!$B$5:$B$58,0))),"nicht in Freigaben"))</f>
        <v/>
      </c>
      <c r="L163" s="11"/>
      <c r="M163" s="12"/>
      <c r="N163" s="11"/>
      <c r="O163" s="11"/>
      <c r="P163" s="11"/>
      <c r="Q163" s="11"/>
      <c r="R163" s="11"/>
      <c r="S163" s="11"/>
      <c r="T163" s="6" t="str">
        <f aca="false">IF(F163="","",IF(AND(J163="ja",M163&lt;&gt;"",OR(K163="grün",K163="gelb"),LEN(G163)&lt;=60),"ja","nein"))</f>
        <v/>
      </c>
      <c r="U163" s="6" t="str">
        <f aca="false">IF(T163&lt;&gt;"nein","",IF(J163&lt;&gt;"ja","keine Freigabe",IF(M163="","nicht an der Quelle bestätigt",IF(K163="rot","Ampel rot — nicht öffentlich",IF(OR(K163="ohne Ampel",K163="nicht in Freigaben"),"Ampel fehlt",IF(LEN(G163)&gt;60,"Kurzinfo zu lang",""))))))</f>
        <v/>
      </c>
      <c r="V163" s="11"/>
    </row>
    <row r="164" customFormat="false" ht="15" hidden="false" customHeight="false" outlineLevel="0" collapsed="false">
      <c r="A164" s="11"/>
      <c r="B164" s="12"/>
      <c r="C164" s="6" t="str">
        <f aca="false">IF(B164="","",CHOOSE(WEEKDAY(B164,2),"Mo","Di","Mi","Do","Fr","Sa","So"))</f>
        <v/>
      </c>
      <c r="D164" s="16"/>
      <c r="E164" s="16"/>
      <c r="F164" s="11"/>
      <c r="G164" s="11"/>
      <c r="H164" s="7" t="str">
        <f aca="false">IF(G164="","",LEN(G164))</f>
        <v/>
      </c>
      <c r="I164" s="11"/>
      <c r="J164" s="6" t="str">
        <f aca="false">IF(I164="","",IF(COUNTIFS(Freigaben!$B$5:$B$58,I164,Freigaben!$M$5:$M$58,"freigegeben")&gt;0,"ja","nein"))</f>
        <v/>
      </c>
      <c r="K164" s="6" t="str">
        <f aca="false">IF(I164="","",IFERROR(IF(INDEX(Freigaben!$N$5:$N$58,MATCH(I164,Freigaben!$B$5:$B$58,0))="","ohne Ampel",INDEX(Freigaben!$N$5:$N$58,MATCH(I164,Freigaben!$B$5:$B$58,0))),"nicht in Freigaben"))</f>
        <v/>
      </c>
      <c r="L164" s="11"/>
      <c r="M164" s="12"/>
      <c r="N164" s="11"/>
      <c r="O164" s="11"/>
      <c r="P164" s="11"/>
      <c r="Q164" s="11"/>
      <c r="R164" s="11"/>
      <c r="S164" s="11"/>
      <c r="T164" s="6" t="str">
        <f aca="false">IF(F164="","",IF(AND(J164="ja",M164&lt;&gt;"",OR(K164="grün",K164="gelb"),LEN(G164)&lt;=60),"ja","nein"))</f>
        <v/>
      </c>
      <c r="U164" s="6" t="str">
        <f aca="false">IF(T164&lt;&gt;"nein","",IF(J164&lt;&gt;"ja","keine Freigabe",IF(M164="","nicht an der Quelle bestätigt",IF(K164="rot","Ampel rot — nicht öffentlich",IF(OR(K164="ohne Ampel",K164="nicht in Freigaben"),"Ampel fehlt",IF(LEN(G164)&gt;60,"Kurzinfo zu lang",""))))))</f>
        <v/>
      </c>
      <c r="V164" s="11"/>
    </row>
    <row r="165" customFormat="false" ht="15" hidden="false" customHeight="false" outlineLevel="0" collapsed="false">
      <c r="A165" s="11"/>
      <c r="B165" s="12"/>
      <c r="C165" s="6" t="str">
        <f aca="false">IF(B165="","",CHOOSE(WEEKDAY(B165,2),"Mo","Di","Mi","Do","Fr","Sa","So"))</f>
        <v/>
      </c>
      <c r="D165" s="16"/>
      <c r="E165" s="16"/>
      <c r="F165" s="11"/>
      <c r="G165" s="11"/>
      <c r="H165" s="7" t="str">
        <f aca="false">IF(G165="","",LEN(G165))</f>
        <v/>
      </c>
      <c r="I165" s="11"/>
      <c r="J165" s="6" t="str">
        <f aca="false">IF(I165="","",IF(COUNTIFS(Freigaben!$B$5:$B$58,I165,Freigaben!$M$5:$M$58,"freigegeben")&gt;0,"ja","nein"))</f>
        <v/>
      </c>
      <c r="K165" s="6" t="str">
        <f aca="false">IF(I165="","",IFERROR(IF(INDEX(Freigaben!$N$5:$N$58,MATCH(I165,Freigaben!$B$5:$B$58,0))="","ohne Ampel",INDEX(Freigaben!$N$5:$N$58,MATCH(I165,Freigaben!$B$5:$B$58,0))),"nicht in Freigaben"))</f>
        <v/>
      </c>
      <c r="L165" s="11"/>
      <c r="M165" s="12"/>
      <c r="N165" s="11"/>
      <c r="O165" s="11"/>
      <c r="P165" s="11"/>
      <c r="Q165" s="11"/>
      <c r="R165" s="11"/>
      <c r="S165" s="11"/>
      <c r="T165" s="6" t="str">
        <f aca="false">IF(F165="","",IF(AND(J165="ja",M165&lt;&gt;"",OR(K165="grün",K165="gelb"),LEN(G165)&lt;=60),"ja","nein"))</f>
        <v/>
      </c>
      <c r="U165" s="6" t="str">
        <f aca="false">IF(T165&lt;&gt;"nein","",IF(J165&lt;&gt;"ja","keine Freigabe",IF(M165="","nicht an der Quelle bestätigt",IF(K165="rot","Ampel rot — nicht öffentlich",IF(OR(K165="ohne Ampel",K165="nicht in Freigaben"),"Ampel fehlt",IF(LEN(G165)&gt;60,"Kurzinfo zu lang",""))))))</f>
        <v/>
      </c>
      <c r="V165" s="11"/>
    </row>
    <row r="166" customFormat="false" ht="15" hidden="false" customHeight="false" outlineLevel="0" collapsed="false">
      <c r="A166" s="11"/>
      <c r="B166" s="12"/>
      <c r="C166" s="6" t="str">
        <f aca="false">IF(B166="","",CHOOSE(WEEKDAY(B166,2),"Mo","Di","Mi","Do","Fr","Sa","So"))</f>
        <v/>
      </c>
      <c r="D166" s="16"/>
      <c r="E166" s="16"/>
      <c r="F166" s="11"/>
      <c r="G166" s="11"/>
      <c r="H166" s="7" t="str">
        <f aca="false">IF(G166="","",LEN(G166))</f>
        <v/>
      </c>
      <c r="I166" s="11"/>
      <c r="J166" s="6" t="str">
        <f aca="false">IF(I166="","",IF(COUNTIFS(Freigaben!$B$5:$B$58,I166,Freigaben!$M$5:$M$58,"freigegeben")&gt;0,"ja","nein"))</f>
        <v/>
      </c>
      <c r="K166" s="6" t="str">
        <f aca="false">IF(I166="","",IFERROR(IF(INDEX(Freigaben!$N$5:$N$58,MATCH(I166,Freigaben!$B$5:$B$58,0))="","ohne Ampel",INDEX(Freigaben!$N$5:$N$58,MATCH(I166,Freigaben!$B$5:$B$58,0))),"nicht in Freigaben"))</f>
        <v/>
      </c>
      <c r="L166" s="11"/>
      <c r="M166" s="12"/>
      <c r="N166" s="11"/>
      <c r="O166" s="11"/>
      <c r="P166" s="11"/>
      <c r="Q166" s="11"/>
      <c r="R166" s="11"/>
      <c r="S166" s="11"/>
      <c r="T166" s="6" t="str">
        <f aca="false">IF(F166="","",IF(AND(J166="ja",M166&lt;&gt;"",OR(K166="grün",K166="gelb"),LEN(G166)&lt;=60),"ja","nein"))</f>
        <v/>
      </c>
      <c r="U166" s="6" t="str">
        <f aca="false">IF(T166&lt;&gt;"nein","",IF(J166&lt;&gt;"ja","keine Freigabe",IF(M166="","nicht an der Quelle bestätigt",IF(K166="rot","Ampel rot — nicht öffentlich",IF(OR(K166="ohne Ampel",K166="nicht in Freigaben"),"Ampel fehlt",IF(LEN(G166)&gt;60,"Kurzinfo zu lang",""))))))</f>
        <v/>
      </c>
      <c r="V166" s="11"/>
    </row>
    <row r="167" customFormat="false" ht="15" hidden="false" customHeight="false" outlineLevel="0" collapsed="false">
      <c r="A167" s="11"/>
      <c r="B167" s="12"/>
      <c r="C167" s="6" t="str">
        <f aca="false">IF(B167="","",CHOOSE(WEEKDAY(B167,2),"Mo","Di","Mi","Do","Fr","Sa","So"))</f>
        <v/>
      </c>
      <c r="D167" s="16"/>
      <c r="E167" s="16"/>
      <c r="F167" s="11"/>
      <c r="G167" s="11"/>
      <c r="H167" s="7" t="str">
        <f aca="false">IF(G167="","",LEN(G167))</f>
        <v/>
      </c>
      <c r="I167" s="11"/>
      <c r="J167" s="6" t="str">
        <f aca="false">IF(I167="","",IF(COUNTIFS(Freigaben!$B$5:$B$58,I167,Freigaben!$M$5:$M$58,"freigegeben")&gt;0,"ja","nein"))</f>
        <v/>
      </c>
      <c r="K167" s="6" t="str">
        <f aca="false">IF(I167="","",IFERROR(IF(INDEX(Freigaben!$N$5:$N$58,MATCH(I167,Freigaben!$B$5:$B$58,0))="","ohne Ampel",INDEX(Freigaben!$N$5:$N$58,MATCH(I167,Freigaben!$B$5:$B$58,0))),"nicht in Freigaben"))</f>
        <v/>
      </c>
      <c r="L167" s="11"/>
      <c r="M167" s="12"/>
      <c r="N167" s="11"/>
      <c r="O167" s="11"/>
      <c r="P167" s="11"/>
      <c r="Q167" s="11"/>
      <c r="R167" s="11"/>
      <c r="S167" s="11"/>
      <c r="T167" s="6" t="str">
        <f aca="false">IF(F167="","",IF(AND(J167="ja",M167&lt;&gt;"",OR(K167="grün",K167="gelb"),LEN(G167)&lt;=60),"ja","nein"))</f>
        <v/>
      </c>
      <c r="U167" s="6" t="str">
        <f aca="false">IF(T167&lt;&gt;"nein","",IF(J167&lt;&gt;"ja","keine Freigabe",IF(M167="","nicht an der Quelle bestätigt",IF(K167="rot","Ampel rot — nicht öffentlich",IF(OR(K167="ohne Ampel",K167="nicht in Freigaben"),"Ampel fehlt",IF(LEN(G167)&gt;60,"Kurzinfo zu lang",""))))))</f>
        <v/>
      </c>
      <c r="V167" s="11"/>
    </row>
    <row r="168" customFormat="false" ht="15" hidden="false" customHeight="false" outlineLevel="0" collapsed="false">
      <c r="A168" s="11"/>
      <c r="B168" s="12"/>
      <c r="C168" s="6" t="str">
        <f aca="false">IF(B168="","",CHOOSE(WEEKDAY(B168,2),"Mo","Di","Mi","Do","Fr","Sa","So"))</f>
        <v/>
      </c>
      <c r="D168" s="16"/>
      <c r="E168" s="16"/>
      <c r="F168" s="11"/>
      <c r="G168" s="11"/>
      <c r="H168" s="7" t="str">
        <f aca="false">IF(G168="","",LEN(G168))</f>
        <v/>
      </c>
      <c r="I168" s="11"/>
      <c r="J168" s="6" t="str">
        <f aca="false">IF(I168="","",IF(COUNTIFS(Freigaben!$B$5:$B$58,I168,Freigaben!$M$5:$M$58,"freigegeben")&gt;0,"ja","nein"))</f>
        <v/>
      </c>
      <c r="K168" s="6" t="str">
        <f aca="false">IF(I168="","",IFERROR(IF(INDEX(Freigaben!$N$5:$N$58,MATCH(I168,Freigaben!$B$5:$B$58,0))="","ohne Ampel",INDEX(Freigaben!$N$5:$N$58,MATCH(I168,Freigaben!$B$5:$B$58,0))),"nicht in Freigaben"))</f>
        <v/>
      </c>
      <c r="L168" s="11"/>
      <c r="M168" s="12"/>
      <c r="N168" s="11"/>
      <c r="O168" s="11"/>
      <c r="P168" s="11"/>
      <c r="Q168" s="11"/>
      <c r="R168" s="11"/>
      <c r="S168" s="11"/>
      <c r="T168" s="6" t="str">
        <f aca="false">IF(F168="","",IF(AND(J168="ja",M168&lt;&gt;"",OR(K168="grün",K168="gelb"),LEN(G168)&lt;=60),"ja","nein"))</f>
        <v/>
      </c>
      <c r="U168" s="6" t="str">
        <f aca="false">IF(T168&lt;&gt;"nein","",IF(J168&lt;&gt;"ja","keine Freigabe",IF(M168="","nicht an der Quelle bestätigt",IF(K168="rot","Ampel rot — nicht öffentlich",IF(OR(K168="ohne Ampel",K168="nicht in Freigaben"),"Ampel fehlt",IF(LEN(G168)&gt;60,"Kurzinfo zu lang",""))))))</f>
        <v/>
      </c>
      <c r="V168" s="11"/>
    </row>
    <row r="169" customFormat="false" ht="15" hidden="false" customHeight="false" outlineLevel="0" collapsed="false">
      <c r="A169" s="11"/>
      <c r="B169" s="12"/>
      <c r="C169" s="6" t="str">
        <f aca="false">IF(B169="","",CHOOSE(WEEKDAY(B169,2),"Mo","Di","Mi","Do","Fr","Sa","So"))</f>
        <v/>
      </c>
      <c r="D169" s="16"/>
      <c r="E169" s="16"/>
      <c r="F169" s="11"/>
      <c r="G169" s="11"/>
      <c r="H169" s="7" t="str">
        <f aca="false">IF(G169="","",LEN(G169))</f>
        <v/>
      </c>
      <c r="I169" s="11"/>
      <c r="J169" s="6" t="str">
        <f aca="false">IF(I169="","",IF(COUNTIFS(Freigaben!$B$5:$B$58,I169,Freigaben!$M$5:$M$58,"freigegeben")&gt;0,"ja","nein"))</f>
        <v/>
      </c>
      <c r="K169" s="6" t="str">
        <f aca="false">IF(I169="","",IFERROR(IF(INDEX(Freigaben!$N$5:$N$58,MATCH(I169,Freigaben!$B$5:$B$58,0))="","ohne Ampel",INDEX(Freigaben!$N$5:$N$58,MATCH(I169,Freigaben!$B$5:$B$58,0))),"nicht in Freigaben"))</f>
        <v/>
      </c>
      <c r="L169" s="11"/>
      <c r="M169" s="12"/>
      <c r="N169" s="11"/>
      <c r="O169" s="11"/>
      <c r="P169" s="11"/>
      <c r="Q169" s="11"/>
      <c r="R169" s="11"/>
      <c r="S169" s="11"/>
      <c r="T169" s="6" t="str">
        <f aca="false">IF(F169="","",IF(AND(J169="ja",M169&lt;&gt;"",OR(K169="grün",K169="gelb"),LEN(G169)&lt;=60),"ja","nein"))</f>
        <v/>
      </c>
      <c r="U169" s="6" t="str">
        <f aca="false">IF(T169&lt;&gt;"nein","",IF(J169&lt;&gt;"ja","keine Freigabe",IF(M169="","nicht an der Quelle bestätigt",IF(K169="rot","Ampel rot — nicht öffentlich",IF(OR(K169="ohne Ampel",K169="nicht in Freigaben"),"Ampel fehlt",IF(LEN(G169)&gt;60,"Kurzinfo zu lang",""))))))</f>
        <v/>
      </c>
      <c r="V169" s="11"/>
    </row>
    <row r="170" customFormat="false" ht="15" hidden="false" customHeight="false" outlineLevel="0" collapsed="false">
      <c r="A170" s="11"/>
      <c r="B170" s="12"/>
      <c r="C170" s="6" t="str">
        <f aca="false">IF(B170="","",CHOOSE(WEEKDAY(B170,2),"Mo","Di","Mi","Do","Fr","Sa","So"))</f>
        <v/>
      </c>
      <c r="D170" s="16"/>
      <c r="E170" s="16"/>
      <c r="F170" s="11"/>
      <c r="G170" s="11"/>
      <c r="H170" s="7" t="str">
        <f aca="false">IF(G170="","",LEN(G170))</f>
        <v/>
      </c>
      <c r="I170" s="11"/>
      <c r="J170" s="6" t="str">
        <f aca="false">IF(I170="","",IF(COUNTIFS(Freigaben!$B$5:$B$58,I170,Freigaben!$M$5:$M$58,"freigegeben")&gt;0,"ja","nein"))</f>
        <v/>
      </c>
      <c r="K170" s="6" t="str">
        <f aca="false">IF(I170="","",IFERROR(IF(INDEX(Freigaben!$N$5:$N$58,MATCH(I170,Freigaben!$B$5:$B$58,0))="","ohne Ampel",INDEX(Freigaben!$N$5:$N$58,MATCH(I170,Freigaben!$B$5:$B$58,0))),"nicht in Freigaben"))</f>
        <v/>
      </c>
      <c r="L170" s="11"/>
      <c r="M170" s="12"/>
      <c r="N170" s="11"/>
      <c r="O170" s="11"/>
      <c r="P170" s="11"/>
      <c r="Q170" s="11"/>
      <c r="R170" s="11"/>
      <c r="S170" s="11"/>
      <c r="T170" s="6" t="str">
        <f aca="false">IF(F170="","",IF(AND(J170="ja",M170&lt;&gt;"",OR(K170="grün",K170="gelb"),LEN(G170)&lt;=60),"ja","nein"))</f>
        <v/>
      </c>
      <c r="U170" s="6" t="str">
        <f aca="false">IF(T170&lt;&gt;"nein","",IF(J170&lt;&gt;"ja","keine Freigabe",IF(M170="","nicht an der Quelle bestätigt",IF(K170="rot","Ampel rot — nicht öffentlich",IF(OR(K170="ohne Ampel",K170="nicht in Freigaben"),"Ampel fehlt",IF(LEN(G170)&gt;60,"Kurzinfo zu lang",""))))))</f>
        <v/>
      </c>
      <c r="V170" s="11"/>
    </row>
    <row r="171" customFormat="false" ht="15" hidden="false" customHeight="false" outlineLevel="0" collapsed="false">
      <c r="A171" s="11"/>
      <c r="B171" s="12"/>
      <c r="C171" s="6" t="str">
        <f aca="false">IF(B171="","",CHOOSE(WEEKDAY(B171,2),"Mo","Di","Mi","Do","Fr","Sa","So"))</f>
        <v/>
      </c>
      <c r="D171" s="16"/>
      <c r="E171" s="16"/>
      <c r="F171" s="11"/>
      <c r="G171" s="11"/>
      <c r="H171" s="7" t="str">
        <f aca="false">IF(G171="","",LEN(G171))</f>
        <v/>
      </c>
      <c r="I171" s="11"/>
      <c r="J171" s="6" t="str">
        <f aca="false">IF(I171="","",IF(COUNTIFS(Freigaben!$B$5:$B$58,I171,Freigaben!$M$5:$M$58,"freigegeben")&gt;0,"ja","nein"))</f>
        <v/>
      </c>
      <c r="K171" s="6" t="str">
        <f aca="false">IF(I171="","",IFERROR(IF(INDEX(Freigaben!$N$5:$N$58,MATCH(I171,Freigaben!$B$5:$B$58,0))="","ohne Ampel",INDEX(Freigaben!$N$5:$N$58,MATCH(I171,Freigaben!$B$5:$B$58,0))),"nicht in Freigaben"))</f>
        <v/>
      </c>
      <c r="L171" s="11"/>
      <c r="M171" s="12"/>
      <c r="N171" s="11"/>
      <c r="O171" s="11"/>
      <c r="P171" s="11"/>
      <c r="Q171" s="11"/>
      <c r="R171" s="11"/>
      <c r="S171" s="11"/>
      <c r="T171" s="6" t="str">
        <f aca="false">IF(F171="","",IF(AND(J171="ja",M171&lt;&gt;"",OR(K171="grün",K171="gelb"),LEN(G171)&lt;=60),"ja","nein"))</f>
        <v/>
      </c>
      <c r="U171" s="6" t="str">
        <f aca="false">IF(T171&lt;&gt;"nein","",IF(J171&lt;&gt;"ja","keine Freigabe",IF(M171="","nicht an der Quelle bestätigt",IF(K171="rot","Ampel rot — nicht öffentlich",IF(OR(K171="ohne Ampel",K171="nicht in Freigaben"),"Ampel fehlt",IF(LEN(G171)&gt;60,"Kurzinfo zu lang",""))))))</f>
        <v/>
      </c>
      <c r="V171" s="11"/>
    </row>
    <row r="172" customFormat="false" ht="15" hidden="false" customHeight="false" outlineLevel="0" collapsed="false">
      <c r="A172" s="11"/>
      <c r="B172" s="12"/>
      <c r="C172" s="6" t="str">
        <f aca="false">IF(B172="","",CHOOSE(WEEKDAY(B172,2),"Mo","Di","Mi","Do","Fr","Sa","So"))</f>
        <v/>
      </c>
      <c r="D172" s="16"/>
      <c r="E172" s="16"/>
      <c r="F172" s="11"/>
      <c r="G172" s="11"/>
      <c r="H172" s="7" t="str">
        <f aca="false">IF(G172="","",LEN(G172))</f>
        <v/>
      </c>
      <c r="I172" s="11"/>
      <c r="J172" s="6" t="str">
        <f aca="false">IF(I172="","",IF(COUNTIFS(Freigaben!$B$5:$B$58,I172,Freigaben!$M$5:$M$58,"freigegeben")&gt;0,"ja","nein"))</f>
        <v/>
      </c>
      <c r="K172" s="6" t="str">
        <f aca="false">IF(I172="","",IFERROR(IF(INDEX(Freigaben!$N$5:$N$58,MATCH(I172,Freigaben!$B$5:$B$58,0))="","ohne Ampel",INDEX(Freigaben!$N$5:$N$58,MATCH(I172,Freigaben!$B$5:$B$58,0))),"nicht in Freigaben"))</f>
        <v/>
      </c>
      <c r="L172" s="11"/>
      <c r="M172" s="12"/>
      <c r="N172" s="11"/>
      <c r="O172" s="11"/>
      <c r="P172" s="11"/>
      <c r="Q172" s="11"/>
      <c r="R172" s="11"/>
      <c r="S172" s="11"/>
      <c r="T172" s="6" t="str">
        <f aca="false">IF(F172="","",IF(AND(J172="ja",M172&lt;&gt;"",OR(K172="grün",K172="gelb"),LEN(G172)&lt;=60),"ja","nein"))</f>
        <v/>
      </c>
      <c r="U172" s="6" t="str">
        <f aca="false">IF(T172&lt;&gt;"nein","",IF(J172&lt;&gt;"ja","keine Freigabe",IF(M172="","nicht an der Quelle bestätigt",IF(K172="rot","Ampel rot — nicht öffentlich",IF(OR(K172="ohne Ampel",K172="nicht in Freigaben"),"Ampel fehlt",IF(LEN(G172)&gt;60,"Kurzinfo zu lang",""))))))</f>
        <v/>
      </c>
      <c r="V172" s="11"/>
    </row>
    <row r="173" customFormat="false" ht="15" hidden="false" customHeight="false" outlineLevel="0" collapsed="false">
      <c r="A173" s="11"/>
      <c r="B173" s="12"/>
      <c r="C173" s="6" t="str">
        <f aca="false">IF(B173="","",CHOOSE(WEEKDAY(B173,2),"Mo","Di","Mi","Do","Fr","Sa","So"))</f>
        <v/>
      </c>
      <c r="D173" s="16"/>
      <c r="E173" s="16"/>
      <c r="F173" s="11"/>
      <c r="G173" s="11"/>
      <c r="H173" s="7" t="str">
        <f aca="false">IF(G173="","",LEN(G173))</f>
        <v/>
      </c>
      <c r="I173" s="11"/>
      <c r="J173" s="6" t="str">
        <f aca="false">IF(I173="","",IF(COUNTIFS(Freigaben!$B$5:$B$58,I173,Freigaben!$M$5:$M$58,"freigegeben")&gt;0,"ja","nein"))</f>
        <v/>
      </c>
      <c r="K173" s="6" t="str">
        <f aca="false">IF(I173="","",IFERROR(IF(INDEX(Freigaben!$N$5:$N$58,MATCH(I173,Freigaben!$B$5:$B$58,0))="","ohne Ampel",INDEX(Freigaben!$N$5:$N$58,MATCH(I173,Freigaben!$B$5:$B$58,0))),"nicht in Freigaben"))</f>
        <v/>
      </c>
      <c r="L173" s="11"/>
      <c r="M173" s="12"/>
      <c r="N173" s="11"/>
      <c r="O173" s="11"/>
      <c r="P173" s="11"/>
      <c r="Q173" s="11"/>
      <c r="R173" s="11"/>
      <c r="S173" s="11"/>
      <c r="T173" s="6" t="str">
        <f aca="false">IF(F173="","",IF(AND(J173="ja",M173&lt;&gt;"",OR(K173="grün",K173="gelb"),LEN(G173)&lt;=60),"ja","nein"))</f>
        <v/>
      </c>
      <c r="U173" s="6" t="str">
        <f aca="false">IF(T173&lt;&gt;"nein","",IF(J173&lt;&gt;"ja","keine Freigabe",IF(M173="","nicht an der Quelle bestätigt",IF(K173="rot","Ampel rot — nicht öffentlich",IF(OR(K173="ohne Ampel",K173="nicht in Freigaben"),"Ampel fehlt",IF(LEN(G173)&gt;60,"Kurzinfo zu lang",""))))))</f>
        <v/>
      </c>
      <c r="V173" s="11"/>
    </row>
    <row r="174" customFormat="false" ht="15" hidden="false" customHeight="false" outlineLevel="0" collapsed="false">
      <c r="A174" s="11"/>
      <c r="B174" s="12"/>
      <c r="C174" s="6" t="str">
        <f aca="false">IF(B174="","",CHOOSE(WEEKDAY(B174,2),"Mo","Di","Mi","Do","Fr","Sa","So"))</f>
        <v/>
      </c>
      <c r="D174" s="16"/>
      <c r="E174" s="16"/>
      <c r="F174" s="11"/>
      <c r="G174" s="11"/>
      <c r="H174" s="7" t="str">
        <f aca="false">IF(G174="","",LEN(G174))</f>
        <v/>
      </c>
      <c r="I174" s="11"/>
      <c r="J174" s="6" t="str">
        <f aca="false">IF(I174="","",IF(COUNTIFS(Freigaben!$B$5:$B$58,I174,Freigaben!$M$5:$M$58,"freigegeben")&gt;0,"ja","nein"))</f>
        <v/>
      </c>
      <c r="K174" s="6" t="str">
        <f aca="false">IF(I174="","",IFERROR(IF(INDEX(Freigaben!$N$5:$N$58,MATCH(I174,Freigaben!$B$5:$B$58,0))="","ohne Ampel",INDEX(Freigaben!$N$5:$N$58,MATCH(I174,Freigaben!$B$5:$B$58,0))),"nicht in Freigaben"))</f>
        <v/>
      </c>
      <c r="L174" s="11"/>
      <c r="M174" s="12"/>
      <c r="N174" s="11"/>
      <c r="O174" s="11"/>
      <c r="P174" s="11"/>
      <c r="Q174" s="11"/>
      <c r="R174" s="11"/>
      <c r="S174" s="11"/>
      <c r="T174" s="6" t="str">
        <f aca="false">IF(F174="","",IF(AND(J174="ja",M174&lt;&gt;"",OR(K174="grün",K174="gelb"),LEN(G174)&lt;=60),"ja","nein"))</f>
        <v/>
      </c>
      <c r="U174" s="6" t="str">
        <f aca="false">IF(T174&lt;&gt;"nein","",IF(J174&lt;&gt;"ja","keine Freigabe",IF(M174="","nicht an der Quelle bestätigt",IF(K174="rot","Ampel rot — nicht öffentlich",IF(OR(K174="ohne Ampel",K174="nicht in Freigaben"),"Ampel fehlt",IF(LEN(G174)&gt;60,"Kurzinfo zu lang",""))))))</f>
        <v/>
      </c>
      <c r="V174" s="11"/>
    </row>
    <row r="175" customFormat="false" ht="15" hidden="false" customHeight="false" outlineLevel="0" collapsed="false">
      <c r="A175" s="11"/>
      <c r="B175" s="12"/>
      <c r="C175" s="6" t="str">
        <f aca="false">IF(B175="","",CHOOSE(WEEKDAY(B175,2),"Mo","Di","Mi","Do","Fr","Sa","So"))</f>
        <v/>
      </c>
      <c r="D175" s="16"/>
      <c r="E175" s="16"/>
      <c r="F175" s="11"/>
      <c r="G175" s="11"/>
      <c r="H175" s="7" t="str">
        <f aca="false">IF(G175="","",LEN(G175))</f>
        <v/>
      </c>
      <c r="I175" s="11"/>
      <c r="J175" s="6" t="str">
        <f aca="false">IF(I175="","",IF(COUNTIFS(Freigaben!$B$5:$B$58,I175,Freigaben!$M$5:$M$58,"freigegeben")&gt;0,"ja","nein"))</f>
        <v/>
      </c>
      <c r="K175" s="6" t="str">
        <f aca="false">IF(I175="","",IFERROR(IF(INDEX(Freigaben!$N$5:$N$58,MATCH(I175,Freigaben!$B$5:$B$58,0))="","ohne Ampel",INDEX(Freigaben!$N$5:$N$58,MATCH(I175,Freigaben!$B$5:$B$58,0))),"nicht in Freigaben"))</f>
        <v/>
      </c>
      <c r="L175" s="11"/>
      <c r="M175" s="12"/>
      <c r="N175" s="11"/>
      <c r="O175" s="11"/>
      <c r="P175" s="11"/>
      <c r="Q175" s="11"/>
      <c r="R175" s="11"/>
      <c r="S175" s="11"/>
      <c r="T175" s="6" t="str">
        <f aca="false">IF(F175="","",IF(AND(J175="ja",M175&lt;&gt;"",OR(K175="grün",K175="gelb"),LEN(G175)&lt;=60),"ja","nein"))</f>
        <v/>
      </c>
      <c r="U175" s="6" t="str">
        <f aca="false">IF(T175&lt;&gt;"nein","",IF(J175&lt;&gt;"ja","keine Freigabe",IF(M175="","nicht an der Quelle bestätigt",IF(K175="rot","Ampel rot — nicht öffentlich",IF(OR(K175="ohne Ampel",K175="nicht in Freigaben"),"Ampel fehlt",IF(LEN(G175)&gt;60,"Kurzinfo zu lang",""))))))</f>
        <v/>
      </c>
      <c r="V175" s="11"/>
    </row>
    <row r="176" customFormat="false" ht="15" hidden="false" customHeight="false" outlineLevel="0" collapsed="false">
      <c r="A176" s="11"/>
      <c r="B176" s="12"/>
      <c r="C176" s="6" t="str">
        <f aca="false">IF(B176="","",CHOOSE(WEEKDAY(B176,2),"Mo","Di","Mi","Do","Fr","Sa","So"))</f>
        <v/>
      </c>
      <c r="D176" s="16"/>
      <c r="E176" s="16"/>
      <c r="F176" s="11"/>
      <c r="G176" s="11"/>
      <c r="H176" s="7" t="str">
        <f aca="false">IF(G176="","",LEN(G176))</f>
        <v/>
      </c>
      <c r="I176" s="11"/>
      <c r="J176" s="6" t="str">
        <f aca="false">IF(I176="","",IF(COUNTIFS(Freigaben!$B$5:$B$58,I176,Freigaben!$M$5:$M$58,"freigegeben")&gt;0,"ja","nein"))</f>
        <v/>
      </c>
      <c r="K176" s="6" t="str">
        <f aca="false">IF(I176="","",IFERROR(IF(INDEX(Freigaben!$N$5:$N$58,MATCH(I176,Freigaben!$B$5:$B$58,0))="","ohne Ampel",INDEX(Freigaben!$N$5:$N$58,MATCH(I176,Freigaben!$B$5:$B$58,0))),"nicht in Freigaben"))</f>
        <v/>
      </c>
      <c r="L176" s="11"/>
      <c r="M176" s="12"/>
      <c r="N176" s="11"/>
      <c r="O176" s="11"/>
      <c r="P176" s="11"/>
      <c r="Q176" s="11"/>
      <c r="R176" s="11"/>
      <c r="S176" s="11"/>
      <c r="T176" s="6" t="str">
        <f aca="false">IF(F176="","",IF(AND(J176="ja",M176&lt;&gt;"",OR(K176="grün",K176="gelb"),LEN(G176)&lt;=60),"ja","nein"))</f>
        <v/>
      </c>
      <c r="U176" s="6" t="str">
        <f aca="false">IF(T176&lt;&gt;"nein","",IF(J176&lt;&gt;"ja","keine Freigabe",IF(M176="","nicht an der Quelle bestätigt",IF(K176="rot","Ampel rot — nicht öffentlich",IF(OR(K176="ohne Ampel",K176="nicht in Freigaben"),"Ampel fehlt",IF(LEN(G176)&gt;60,"Kurzinfo zu lang",""))))))</f>
        <v/>
      </c>
      <c r="V176" s="11"/>
    </row>
    <row r="177" customFormat="false" ht="15" hidden="false" customHeight="false" outlineLevel="0" collapsed="false">
      <c r="A177" s="11"/>
      <c r="B177" s="12"/>
      <c r="C177" s="6" t="str">
        <f aca="false">IF(B177="","",CHOOSE(WEEKDAY(B177,2),"Mo","Di","Mi","Do","Fr","Sa","So"))</f>
        <v/>
      </c>
      <c r="D177" s="16"/>
      <c r="E177" s="16"/>
      <c r="F177" s="11"/>
      <c r="G177" s="11"/>
      <c r="H177" s="7" t="str">
        <f aca="false">IF(G177="","",LEN(G177))</f>
        <v/>
      </c>
      <c r="I177" s="11"/>
      <c r="J177" s="6" t="str">
        <f aca="false">IF(I177="","",IF(COUNTIFS(Freigaben!$B$5:$B$58,I177,Freigaben!$M$5:$M$58,"freigegeben")&gt;0,"ja","nein"))</f>
        <v/>
      </c>
      <c r="K177" s="6" t="str">
        <f aca="false">IF(I177="","",IFERROR(IF(INDEX(Freigaben!$N$5:$N$58,MATCH(I177,Freigaben!$B$5:$B$58,0))="","ohne Ampel",INDEX(Freigaben!$N$5:$N$58,MATCH(I177,Freigaben!$B$5:$B$58,0))),"nicht in Freigaben"))</f>
        <v/>
      </c>
      <c r="L177" s="11"/>
      <c r="M177" s="12"/>
      <c r="N177" s="11"/>
      <c r="O177" s="11"/>
      <c r="P177" s="11"/>
      <c r="Q177" s="11"/>
      <c r="R177" s="11"/>
      <c r="S177" s="11"/>
      <c r="T177" s="6" t="str">
        <f aca="false">IF(F177="","",IF(AND(J177="ja",M177&lt;&gt;"",OR(K177="grün",K177="gelb"),LEN(G177)&lt;=60),"ja","nein"))</f>
        <v/>
      </c>
      <c r="U177" s="6" t="str">
        <f aca="false">IF(T177&lt;&gt;"nein","",IF(J177&lt;&gt;"ja","keine Freigabe",IF(M177="","nicht an der Quelle bestätigt",IF(K177="rot","Ampel rot — nicht öffentlich",IF(OR(K177="ohne Ampel",K177="nicht in Freigaben"),"Ampel fehlt",IF(LEN(G177)&gt;60,"Kurzinfo zu lang",""))))))</f>
        <v/>
      </c>
      <c r="V177" s="11"/>
    </row>
    <row r="178" customFormat="false" ht="15" hidden="false" customHeight="false" outlineLevel="0" collapsed="false">
      <c r="A178" s="11"/>
      <c r="B178" s="12"/>
      <c r="C178" s="6" t="str">
        <f aca="false">IF(B178="","",CHOOSE(WEEKDAY(B178,2),"Mo","Di","Mi","Do","Fr","Sa","So"))</f>
        <v/>
      </c>
      <c r="D178" s="16"/>
      <c r="E178" s="16"/>
      <c r="F178" s="11"/>
      <c r="G178" s="11"/>
      <c r="H178" s="7" t="str">
        <f aca="false">IF(G178="","",LEN(G178))</f>
        <v/>
      </c>
      <c r="I178" s="11"/>
      <c r="J178" s="6" t="str">
        <f aca="false">IF(I178="","",IF(COUNTIFS(Freigaben!$B$5:$B$58,I178,Freigaben!$M$5:$M$58,"freigegeben")&gt;0,"ja","nein"))</f>
        <v/>
      </c>
      <c r="K178" s="6" t="str">
        <f aca="false">IF(I178="","",IFERROR(IF(INDEX(Freigaben!$N$5:$N$58,MATCH(I178,Freigaben!$B$5:$B$58,0))="","ohne Ampel",INDEX(Freigaben!$N$5:$N$58,MATCH(I178,Freigaben!$B$5:$B$58,0))),"nicht in Freigaben"))</f>
        <v/>
      </c>
      <c r="L178" s="11"/>
      <c r="M178" s="12"/>
      <c r="N178" s="11"/>
      <c r="O178" s="11"/>
      <c r="P178" s="11"/>
      <c r="Q178" s="11"/>
      <c r="R178" s="11"/>
      <c r="S178" s="11"/>
      <c r="T178" s="6" t="str">
        <f aca="false">IF(F178="","",IF(AND(J178="ja",M178&lt;&gt;"",OR(K178="grün",K178="gelb"),LEN(G178)&lt;=60),"ja","nein"))</f>
        <v/>
      </c>
      <c r="U178" s="6" t="str">
        <f aca="false">IF(T178&lt;&gt;"nein","",IF(J178&lt;&gt;"ja","keine Freigabe",IF(M178="","nicht an der Quelle bestätigt",IF(K178="rot","Ampel rot — nicht öffentlich",IF(OR(K178="ohne Ampel",K178="nicht in Freigaben"),"Ampel fehlt",IF(LEN(G178)&gt;60,"Kurzinfo zu lang",""))))))</f>
        <v/>
      </c>
      <c r="V178" s="11"/>
    </row>
    <row r="179" customFormat="false" ht="15" hidden="false" customHeight="false" outlineLevel="0" collapsed="false">
      <c r="A179" s="11"/>
      <c r="B179" s="12"/>
      <c r="C179" s="6" t="str">
        <f aca="false">IF(B179="","",CHOOSE(WEEKDAY(B179,2),"Mo","Di","Mi","Do","Fr","Sa","So"))</f>
        <v/>
      </c>
      <c r="D179" s="16"/>
      <c r="E179" s="16"/>
      <c r="F179" s="11"/>
      <c r="G179" s="11"/>
      <c r="H179" s="7" t="str">
        <f aca="false">IF(G179="","",LEN(G179))</f>
        <v/>
      </c>
      <c r="I179" s="11"/>
      <c r="J179" s="6" t="str">
        <f aca="false">IF(I179="","",IF(COUNTIFS(Freigaben!$B$5:$B$58,I179,Freigaben!$M$5:$M$58,"freigegeben")&gt;0,"ja","nein"))</f>
        <v/>
      </c>
      <c r="K179" s="6" t="str">
        <f aca="false">IF(I179="","",IFERROR(IF(INDEX(Freigaben!$N$5:$N$58,MATCH(I179,Freigaben!$B$5:$B$58,0))="","ohne Ampel",INDEX(Freigaben!$N$5:$N$58,MATCH(I179,Freigaben!$B$5:$B$58,0))),"nicht in Freigaben"))</f>
        <v/>
      </c>
      <c r="L179" s="11"/>
      <c r="M179" s="12"/>
      <c r="N179" s="11"/>
      <c r="O179" s="11"/>
      <c r="P179" s="11"/>
      <c r="Q179" s="11"/>
      <c r="R179" s="11"/>
      <c r="S179" s="11"/>
      <c r="T179" s="6" t="str">
        <f aca="false">IF(F179="","",IF(AND(J179="ja",M179&lt;&gt;"",OR(K179="grün",K179="gelb"),LEN(G179)&lt;=60),"ja","nein"))</f>
        <v/>
      </c>
      <c r="U179" s="6" t="str">
        <f aca="false">IF(T179&lt;&gt;"nein","",IF(J179&lt;&gt;"ja","keine Freigabe",IF(M179="","nicht an der Quelle bestätigt",IF(K179="rot","Ampel rot — nicht öffentlich",IF(OR(K179="ohne Ampel",K179="nicht in Freigaben"),"Ampel fehlt",IF(LEN(G179)&gt;60,"Kurzinfo zu lang",""))))))</f>
        <v/>
      </c>
      <c r="V179" s="11"/>
    </row>
    <row r="180" customFormat="false" ht="15" hidden="false" customHeight="false" outlineLevel="0" collapsed="false">
      <c r="A180" s="11"/>
      <c r="B180" s="12"/>
      <c r="C180" s="6" t="str">
        <f aca="false">IF(B180="","",CHOOSE(WEEKDAY(B180,2),"Mo","Di","Mi","Do","Fr","Sa","So"))</f>
        <v/>
      </c>
      <c r="D180" s="16"/>
      <c r="E180" s="16"/>
      <c r="F180" s="11"/>
      <c r="G180" s="11"/>
      <c r="H180" s="7" t="str">
        <f aca="false">IF(G180="","",LEN(G180))</f>
        <v/>
      </c>
      <c r="I180" s="11"/>
      <c r="J180" s="6" t="str">
        <f aca="false">IF(I180="","",IF(COUNTIFS(Freigaben!$B$5:$B$58,I180,Freigaben!$M$5:$M$58,"freigegeben")&gt;0,"ja","nein"))</f>
        <v/>
      </c>
      <c r="K180" s="6" t="str">
        <f aca="false">IF(I180="","",IFERROR(IF(INDEX(Freigaben!$N$5:$N$58,MATCH(I180,Freigaben!$B$5:$B$58,0))="","ohne Ampel",INDEX(Freigaben!$N$5:$N$58,MATCH(I180,Freigaben!$B$5:$B$58,0))),"nicht in Freigaben"))</f>
        <v/>
      </c>
      <c r="L180" s="11"/>
      <c r="M180" s="12"/>
      <c r="N180" s="11"/>
      <c r="O180" s="11"/>
      <c r="P180" s="11"/>
      <c r="Q180" s="11"/>
      <c r="R180" s="11"/>
      <c r="S180" s="11"/>
      <c r="T180" s="6" t="str">
        <f aca="false">IF(F180="","",IF(AND(J180="ja",M180&lt;&gt;"",OR(K180="grün",K180="gelb"),LEN(G180)&lt;=60),"ja","nein"))</f>
        <v/>
      </c>
      <c r="U180" s="6" t="str">
        <f aca="false">IF(T180&lt;&gt;"nein","",IF(J180&lt;&gt;"ja","keine Freigabe",IF(M180="","nicht an der Quelle bestätigt",IF(K180="rot","Ampel rot — nicht öffentlich",IF(OR(K180="ohne Ampel",K180="nicht in Freigaben"),"Ampel fehlt",IF(LEN(G180)&gt;60,"Kurzinfo zu lang",""))))))</f>
        <v/>
      </c>
      <c r="V180" s="11"/>
    </row>
    <row r="181" customFormat="false" ht="15" hidden="false" customHeight="false" outlineLevel="0" collapsed="false">
      <c r="A181" s="11"/>
      <c r="B181" s="12"/>
      <c r="C181" s="6" t="str">
        <f aca="false">IF(B181="","",CHOOSE(WEEKDAY(B181,2),"Mo","Di","Mi","Do","Fr","Sa","So"))</f>
        <v/>
      </c>
      <c r="D181" s="16"/>
      <c r="E181" s="16"/>
      <c r="F181" s="11"/>
      <c r="G181" s="11"/>
      <c r="H181" s="7" t="str">
        <f aca="false">IF(G181="","",LEN(G181))</f>
        <v/>
      </c>
      <c r="I181" s="11"/>
      <c r="J181" s="6" t="str">
        <f aca="false">IF(I181="","",IF(COUNTIFS(Freigaben!$B$5:$B$58,I181,Freigaben!$M$5:$M$58,"freigegeben")&gt;0,"ja","nein"))</f>
        <v/>
      </c>
      <c r="K181" s="6" t="str">
        <f aca="false">IF(I181="","",IFERROR(IF(INDEX(Freigaben!$N$5:$N$58,MATCH(I181,Freigaben!$B$5:$B$58,0))="","ohne Ampel",INDEX(Freigaben!$N$5:$N$58,MATCH(I181,Freigaben!$B$5:$B$58,0))),"nicht in Freigaben"))</f>
        <v/>
      </c>
      <c r="L181" s="11"/>
      <c r="M181" s="12"/>
      <c r="N181" s="11"/>
      <c r="O181" s="11"/>
      <c r="P181" s="11"/>
      <c r="Q181" s="11"/>
      <c r="R181" s="11"/>
      <c r="S181" s="11"/>
      <c r="T181" s="6" t="str">
        <f aca="false">IF(F181="","",IF(AND(J181="ja",M181&lt;&gt;"",OR(K181="grün",K181="gelb"),LEN(G181)&lt;=60),"ja","nein"))</f>
        <v/>
      </c>
      <c r="U181" s="6" t="str">
        <f aca="false">IF(T181&lt;&gt;"nein","",IF(J181&lt;&gt;"ja","keine Freigabe",IF(M181="","nicht an der Quelle bestätigt",IF(K181="rot","Ampel rot — nicht öffentlich",IF(OR(K181="ohne Ampel",K181="nicht in Freigaben"),"Ampel fehlt",IF(LEN(G181)&gt;60,"Kurzinfo zu lang",""))))))</f>
        <v/>
      </c>
      <c r="V181" s="11"/>
    </row>
    <row r="182" customFormat="false" ht="15" hidden="false" customHeight="false" outlineLevel="0" collapsed="false">
      <c r="A182" s="11"/>
      <c r="B182" s="12"/>
      <c r="C182" s="6" t="str">
        <f aca="false">IF(B182="","",CHOOSE(WEEKDAY(B182,2),"Mo","Di","Mi","Do","Fr","Sa","So"))</f>
        <v/>
      </c>
      <c r="D182" s="16"/>
      <c r="E182" s="16"/>
      <c r="F182" s="11"/>
      <c r="G182" s="11"/>
      <c r="H182" s="7" t="str">
        <f aca="false">IF(G182="","",LEN(G182))</f>
        <v/>
      </c>
      <c r="I182" s="11"/>
      <c r="J182" s="6" t="str">
        <f aca="false">IF(I182="","",IF(COUNTIFS(Freigaben!$B$5:$B$58,I182,Freigaben!$M$5:$M$58,"freigegeben")&gt;0,"ja","nein"))</f>
        <v/>
      </c>
      <c r="K182" s="6" t="str">
        <f aca="false">IF(I182="","",IFERROR(IF(INDEX(Freigaben!$N$5:$N$58,MATCH(I182,Freigaben!$B$5:$B$58,0))="","ohne Ampel",INDEX(Freigaben!$N$5:$N$58,MATCH(I182,Freigaben!$B$5:$B$58,0))),"nicht in Freigaben"))</f>
        <v/>
      </c>
      <c r="L182" s="11"/>
      <c r="M182" s="12"/>
      <c r="N182" s="11"/>
      <c r="O182" s="11"/>
      <c r="P182" s="11"/>
      <c r="Q182" s="11"/>
      <c r="R182" s="11"/>
      <c r="S182" s="11"/>
      <c r="T182" s="6" t="str">
        <f aca="false">IF(F182="","",IF(AND(J182="ja",M182&lt;&gt;"",OR(K182="grün",K182="gelb"),LEN(G182)&lt;=60),"ja","nein"))</f>
        <v/>
      </c>
      <c r="U182" s="6" t="str">
        <f aca="false">IF(T182&lt;&gt;"nein","",IF(J182&lt;&gt;"ja","keine Freigabe",IF(M182="","nicht an der Quelle bestätigt",IF(K182="rot","Ampel rot — nicht öffentlich",IF(OR(K182="ohne Ampel",K182="nicht in Freigaben"),"Ampel fehlt",IF(LEN(G182)&gt;60,"Kurzinfo zu lang",""))))))</f>
        <v/>
      </c>
      <c r="V182" s="11"/>
    </row>
    <row r="183" customFormat="false" ht="15" hidden="false" customHeight="false" outlineLevel="0" collapsed="false">
      <c r="A183" s="11"/>
      <c r="B183" s="12"/>
      <c r="C183" s="6" t="str">
        <f aca="false">IF(B183="","",CHOOSE(WEEKDAY(B183,2),"Mo","Di","Mi","Do","Fr","Sa","So"))</f>
        <v/>
      </c>
      <c r="D183" s="16"/>
      <c r="E183" s="16"/>
      <c r="F183" s="11"/>
      <c r="G183" s="11"/>
      <c r="H183" s="7" t="str">
        <f aca="false">IF(G183="","",LEN(G183))</f>
        <v/>
      </c>
      <c r="I183" s="11"/>
      <c r="J183" s="6" t="str">
        <f aca="false">IF(I183="","",IF(COUNTIFS(Freigaben!$B$5:$B$58,I183,Freigaben!$M$5:$M$58,"freigegeben")&gt;0,"ja","nein"))</f>
        <v/>
      </c>
      <c r="K183" s="6" t="str">
        <f aca="false">IF(I183="","",IFERROR(IF(INDEX(Freigaben!$N$5:$N$58,MATCH(I183,Freigaben!$B$5:$B$58,0))="","ohne Ampel",INDEX(Freigaben!$N$5:$N$58,MATCH(I183,Freigaben!$B$5:$B$58,0))),"nicht in Freigaben"))</f>
        <v/>
      </c>
      <c r="L183" s="11"/>
      <c r="M183" s="12"/>
      <c r="N183" s="11"/>
      <c r="O183" s="11"/>
      <c r="P183" s="11"/>
      <c r="Q183" s="11"/>
      <c r="R183" s="11"/>
      <c r="S183" s="11"/>
      <c r="T183" s="6" t="str">
        <f aca="false">IF(F183="","",IF(AND(J183="ja",M183&lt;&gt;"",OR(K183="grün",K183="gelb"),LEN(G183)&lt;=60),"ja","nein"))</f>
        <v/>
      </c>
      <c r="U183" s="6" t="str">
        <f aca="false">IF(T183&lt;&gt;"nein","",IF(J183&lt;&gt;"ja","keine Freigabe",IF(M183="","nicht an der Quelle bestätigt",IF(K183="rot","Ampel rot — nicht öffentlich",IF(OR(K183="ohne Ampel",K183="nicht in Freigaben"),"Ampel fehlt",IF(LEN(G183)&gt;60,"Kurzinfo zu lang",""))))))</f>
        <v/>
      </c>
      <c r="V183" s="11"/>
    </row>
    <row r="184" customFormat="false" ht="15" hidden="false" customHeight="false" outlineLevel="0" collapsed="false">
      <c r="A184" s="11"/>
      <c r="B184" s="12"/>
      <c r="C184" s="6" t="str">
        <f aca="false">IF(B184="","",CHOOSE(WEEKDAY(B184,2),"Mo","Di","Mi","Do","Fr","Sa","So"))</f>
        <v/>
      </c>
      <c r="D184" s="16"/>
      <c r="E184" s="16"/>
      <c r="F184" s="11"/>
      <c r="G184" s="11"/>
      <c r="H184" s="7" t="str">
        <f aca="false">IF(G184="","",LEN(G184))</f>
        <v/>
      </c>
      <c r="I184" s="11"/>
      <c r="J184" s="6" t="str">
        <f aca="false">IF(I184="","",IF(COUNTIFS(Freigaben!$B$5:$B$58,I184,Freigaben!$M$5:$M$58,"freigegeben")&gt;0,"ja","nein"))</f>
        <v/>
      </c>
      <c r="K184" s="6" t="str">
        <f aca="false">IF(I184="","",IFERROR(IF(INDEX(Freigaben!$N$5:$N$58,MATCH(I184,Freigaben!$B$5:$B$58,0))="","ohne Ampel",INDEX(Freigaben!$N$5:$N$58,MATCH(I184,Freigaben!$B$5:$B$58,0))),"nicht in Freigaben"))</f>
        <v/>
      </c>
      <c r="L184" s="11"/>
      <c r="M184" s="12"/>
      <c r="N184" s="11"/>
      <c r="O184" s="11"/>
      <c r="P184" s="11"/>
      <c r="Q184" s="11"/>
      <c r="R184" s="11"/>
      <c r="S184" s="11"/>
      <c r="T184" s="6" t="str">
        <f aca="false">IF(F184="","",IF(AND(J184="ja",M184&lt;&gt;"",OR(K184="grün",K184="gelb"),LEN(G184)&lt;=60),"ja","nein"))</f>
        <v/>
      </c>
      <c r="U184" s="6" t="str">
        <f aca="false">IF(T184&lt;&gt;"nein","",IF(J184&lt;&gt;"ja","keine Freigabe",IF(M184="","nicht an der Quelle bestätigt",IF(K184="rot","Ampel rot — nicht öffentlich",IF(OR(K184="ohne Ampel",K184="nicht in Freigaben"),"Ampel fehlt",IF(LEN(G184)&gt;60,"Kurzinfo zu lang",""))))))</f>
        <v/>
      </c>
      <c r="V184" s="11"/>
    </row>
    <row r="185" customFormat="false" ht="15" hidden="false" customHeight="false" outlineLevel="0" collapsed="false">
      <c r="A185" s="11"/>
      <c r="B185" s="12"/>
      <c r="C185" s="6" t="str">
        <f aca="false">IF(B185="","",CHOOSE(WEEKDAY(B185,2),"Mo","Di","Mi","Do","Fr","Sa","So"))</f>
        <v/>
      </c>
      <c r="D185" s="16"/>
      <c r="E185" s="16"/>
      <c r="F185" s="11"/>
      <c r="G185" s="11"/>
      <c r="H185" s="7" t="str">
        <f aca="false">IF(G185="","",LEN(G185))</f>
        <v/>
      </c>
      <c r="I185" s="11"/>
      <c r="J185" s="6" t="str">
        <f aca="false">IF(I185="","",IF(COUNTIFS(Freigaben!$B$5:$B$58,I185,Freigaben!$M$5:$M$58,"freigegeben")&gt;0,"ja","nein"))</f>
        <v/>
      </c>
      <c r="K185" s="6" t="str">
        <f aca="false">IF(I185="","",IFERROR(IF(INDEX(Freigaben!$N$5:$N$58,MATCH(I185,Freigaben!$B$5:$B$58,0))="","ohne Ampel",INDEX(Freigaben!$N$5:$N$58,MATCH(I185,Freigaben!$B$5:$B$58,0))),"nicht in Freigaben"))</f>
        <v/>
      </c>
      <c r="L185" s="11"/>
      <c r="M185" s="12"/>
      <c r="N185" s="11"/>
      <c r="O185" s="11"/>
      <c r="P185" s="11"/>
      <c r="Q185" s="11"/>
      <c r="R185" s="11"/>
      <c r="S185" s="11"/>
      <c r="T185" s="6" t="str">
        <f aca="false">IF(F185="","",IF(AND(J185="ja",M185&lt;&gt;"",OR(K185="grün",K185="gelb"),LEN(G185)&lt;=60),"ja","nein"))</f>
        <v/>
      </c>
      <c r="U185" s="6" t="str">
        <f aca="false">IF(T185&lt;&gt;"nein","",IF(J185&lt;&gt;"ja","keine Freigabe",IF(M185="","nicht an der Quelle bestätigt",IF(K185="rot","Ampel rot — nicht öffentlich",IF(OR(K185="ohne Ampel",K185="nicht in Freigaben"),"Ampel fehlt",IF(LEN(G185)&gt;60,"Kurzinfo zu lang",""))))))</f>
        <v/>
      </c>
      <c r="V185" s="11"/>
    </row>
    <row r="186" customFormat="false" ht="15" hidden="false" customHeight="false" outlineLevel="0" collapsed="false">
      <c r="A186" s="11"/>
      <c r="B186" s="12"/>
      <c r="C186" s="6" t="str">
        <f aca="false">IF(B186="","",CHOOSE(WEEKDAY(B186,2),"Mo","Di","Mi","Do","Fr","Sa","So"))</f>
        <v/>
      </c>
      <c r="D186" s="16"/>
      <c r="E186" s="16"/>
      <c r="F186" s="11"/>
      <c r="G186" s="11"/>
      <c r="H186" s="7" t="str">
        <f aca="false">IF(G186="","",LEN(G186))</f>
        <v/>
      </c>
      <c r="I186" s="11"/>
      <c r="J186" s="6" t="str">
        <f aca="false">IF(I186="","",IF(COUNTIFS(Freigaben!$B$5:$B$58,I186,Freigaben!$M$5:$M$58,"freigegeben")&gt;0,"ja","nein"))</f>
        <v/>
      </c>
      <c r="K186" s="6" t="str">
        <f aca="false">IF(I186="","",IFERROR(IF(INDEX(Freigaben!$N$5:$N$58,MATCH(I186,Freigaben!$B$5:$B$58,0))="","ohne Ampel",INDEX(Freigaben!$N$5:$N$58,MATCH(I186,Freigaben!$B$5:$B$58,0))),"nicht in Freigaben"))</f>
        <v/>
      </c>
      <c r="L186" s="11"/>
      <c r="M186" s="12"/>
      <c r="N186" s="11"/>
      <c r="O186" s="11"/>
      <c r="P186" s="11"/>
      <c r="Q186" s="11"/>
      <c r="R186" s="11"/>
      <c r="S186" s="11"/>
      <c r="T186" s="6" t="str">
        <f aca="false">IF(F186="","",IF(AND(J186="ja",M186&lt;&gt;"",OR(K186="grün",K186="gelb"),LEN(G186)&lt;=60),"ja","nein"))</f>
        <v/>
      </c>
      <c r="U186" s="6" t="str">
        <f aca="false">IF(T186&lt;&gt;"nein","",IF(J186&lt;&gt;"ja","keine Freigabe",IF(M186="","nicht an der Quelle bestätigt",IF(K186="rot","Ampel rot — nicht öffentlich",IF(OR(K186="ohne Ampel",K186="nicht in Freigaben"),"Ampel fehlt",IF(LEN(G186)&gt;60,"Kurzinfo zu lang",""))))))</f>
        <v/>
      </c>
      <c r="V186" s="11"/>
    </row>
    <row r="187" customFormat="false" ht="15" hidden="false" customHeight="false" outlineLevel="0" collapsed="false">
      <c r="A187" s="11"/>
      <c r="B187" s="12"/>
      <c r="C187" s="6" t="str">
        <f aca="false">IF(B187="","",CHOOSE(WEEKDAY(B187,2),"Mo","Di","Mi","Do","Fr","Sa","So"))</f>
        <v/>
      </c>
      <c r="D187" s="16"/>
      <c r="E187" s="16"/>
      <c r="F187" s="11"/>
      <c r="G187" s="11"/>
      <c r="H187" s="7" t="str">
        <f aca="false">IF(G187="","",LEN(G187))</f>
        <v/>
      </c>
      <c r="I187" s="11"/>
      <c r="J187" s="6" t="str">
        <f aca="false">IF(I187="","",IF(COUNTIFS(Freigaben!$B$5:$B$58,I187,Freigaben!$M$5:$M$58,"freigegeben")&gt;0,"ja","nein"))</f>
        <v/>
      </c>
      <c r="K187" s="6" t="str">
        <f aca="false">IF(I187="","",IFERROR(IF(INDEX(Freigaben!$N$5:$N$58,MATCH(I187,Freigaben!$B$5:$B$58,0))="","ohne Ampel",INDEX(Freigaben!$N$5:$N$58,MATCH(I187,Freigaben!$B$5:$B$58,0))),"nicht in Freigaben"))</f>
        <v/>
      </c>
      <c r="L187" s="11"/>
      <c r="M187" s="12"/>
      <c r="N187" s="11"/>
      <c r="O187" s="11"/>
      <c r="P187" s="11"/>
      <c r="Q187" s="11"/>
      <c r="R187" s="11"/>
      <c r="S187" s="11"/>
      <c r="T187" s="6" t="str">
        <f aca="false">IF(F187="","",IF(AND(J187="ja",M187&lt;&gt;"",OR(K187="grün",K187="gelb"),LEN(G187)&lt;=60),"ja","nein"))</f>
        <v/>
      </c>
      <c r="U187" s="6" t="str">
        <f aca="false">IF(T187&lt;&gt;"nein","",IF(J187&lt;&gt;"ja","keine Freigabe",IF(M187="","nicht an der Quelle bestätigt",IF(K187="rot","Ampel rot — nicht öffentlich",IF(OR(K187="ohne Ampel",K187="nicht in Freigaben"),"Ampel fehlt",IF(LEN(G187)&gt;60,"Kurzinfo zu lang",""))))))</f>
        <v/>
      </c>
      <c r="V187" s="11"/>
    </row>
    <row r="188" customFormat="false" ht="15" hidden="false" customHeight="false" outlineLevel="0" collapsed="false">
      <c r="A188" s="11"/>
      <c r="B188" s="12"/>
      <c r="C188" s="6" t="str">
        <f aca="false">IF(B188="","",CHOOSE(WEEKDAY(B188,2),"Mo","Di","Mi","Do","Fr","Sa","So"))</f>
        <v/>
      </c>
      <c r="D188" s="16"/>
      <c r="E188" s="16"/>
      <c r="F188" s="11"/>
      <c r="G188" s="11"/>
      <c r="H188" s="7" t="str">
        <f aca="false">IF(G188="","",LEN(G188))</f>
        <v/>
      </c>
      <c r="I188" s="11"/>
      <c r="J188" s="6" t="str">
        <f aca="false">IF(I188="","",IF(COUNTIFS(Freigaben!$B$5:$B$58,I188,Freigaben!$M$5:$M$58,"freigegeben")&gt;0,"ja","nein"))</f>
        <v/>
      </c>
      <c r="K188" s="6" t="str">
        <f aca="false">IF(I188="","",IFERROR(IF(INDEX(Freigaben!$N$5:$N$58,MATCH(I188,Freigaben!$B$5:$B$58,0))="","ohne Ampel",INDEX(Freigaben!$N$5:$N$58,MATCH(I188,Freigaben!$B$5:$B$58,0))),"nicht in Freigaben"))</f>
        <v/>
      </c>
      <c r="L188" s="11"/>
      <c r="M188" s="12"/>
      <c r="N188" s="11"/>
      <c r="O188" s="11"/>
      <c r="P188" s="11"/>
      <c r="Q188" s="11"/>
      <c r="R188" s="11"/>
      <c r="S188" s="11"/>
      <c r="T188" s="6" t="str">
        <f aca="false">IF(F188="","",IF(AND(J188="ja",M188&lt;&gt;"",OR(K188="grün",K188="gelb"),LEN(G188)&lt;=60),"ja","nein"))</f>
        <v/>
      </c>
      <c r="U188" s="6" t="str">
        <f aca="false">IF(T188&lt;&gt;"nein","",IF(J188&lt;&gt;"ja","keine Freigabe",IF(M188="","nicht an der Quelle bestätigt",IF(K188="rot","Ampel rot — nicht öffentlich",IF(OR(K188="ohne Ampel",K188="nicht in Freigaben"),"Ampel fehlt",IF(LEN(G188)&gt;60,"Kurzinfo zu lang",""))))))</f>
        <v/>
      </c>
      <c r="V188" s="11"/>
    </row>
    <row r="189" customFormat="false" ht="15" hidden="false" customHeight="false" outlineLevel="0" collapsed="false">
      <c r="A189" s="11"/>
      <c r="B189" s="12"/>
      <c r="C189" s="6" t="str">
        <f aca="false">IF(B189="","",CHOOSE(WEEKDAY(B189,2),"Mo","Di","Mi","Do","Fr","Sa","So"))</f>
        <v/>
      </c>
      <c r="D189" s="16"/>
      <c r="E189" s="16"/>
      <c r="F189" s="11"/>
      <c r="G189" s="11"/>
      <c r="H189" s="7" t="str">
        <f aca="false">IF(G189="","",LEN(G189))</f>
        <v/>
      </c>
      <c r="I189" s="11"/>
      <c r="J189" s="6" t="str">
        <f aca="false">IF(I189="","",IF(COUNTIFS(Freigaben!$B$5:$B$58,I189,Freigaben!$M$5:$M$58,"freigegeben")&gt;0,"ja","nein"))</f>
        <v/>
      </c>
      <c r="K189" s="6" t="str">
        <f aca="false">IF(I189="","",IFERROR(IF(INDEX(Freigaben!$N$5:$N$58,MATCH(I189,Freigaben!$B$5:$B$58,0))="","ohne Ampel",INDEX(Freigaben!$N$5:$N$58,MATCH(I189,Freigaben!$B$5:$B$58,0))),"nicht in Freigaben"))</f>
        <v/>
      </c>
      <c r="L189" s="11"/>
      <c r="M189" s="12"/>
      <c r="N189" s="11"/>
      <c r="O189" s="11"/>
      <c r="P189" s="11"/>
      <c r="Q189" s="11"/>
      <c r="R189" s="11"/>
      <c r="S189" s="11"/>
      <c r="T189" s="6" t="str">
        <f aca="false">IF(F189="","",IF(AND(J189="ja",M189&lt;&gt;"",OR(K189="grün",K189="gelb"),LEN(G189)&lt;=60),"ja","nein"))</f>
        <v/>
      </c>
      <c r="U189" s="6" t="str">
        <f aca="false">IF(T189&lt;&gt;"nein","",IF(J189&lt;&gt;"ja","keine Freigabe",IF(M189="","nicht an der Quelle bestätigt",IF(K189="rot","Ampel rot — nicht öffentlich",IF(OR(K189="ohne Ampel",K189="nicht in Freigaben"),"Ampel fehlt",IF(LEN(G189)&gt;60,"Kurzinfo zu lang",""))))))</f>
        <v/>
      </c>
      <c r="V189" s="11"/>
    </row>
    <row r="190" customFormat="false" ht="15" hidden="false" customHeight="false" outlineLevel="0" collapsed="false">
      <c r="A190" s="11"/>
      <c r="B190" s="12"/>
      <c r="C190" s="6" t="str">
        <f aca="false">IF(B190="","",CHOOSE(WEEKDAY(B190,2),"Mo","Di","Mi","Do","Fr","Sa","So"))</f>
        <v/>
      </c>
      <c r="D190" s="16"/>
      <c r="E190" s="16"/>
      <c r="F190" s="11"/>
      <c r="G190" s="11"/>
      <c r="H190" s="7" t="str">
        <f aca="false">IF(G190="","",LEN(G190))</f>
        <v/>
      </c>
      <c r="I190" s="11"/>
      <c r="J190" s="6" t="str">
        <f aca="false">IF(I190="","",IF(COUNTIFS(Freigaben!$B$5:$B$58,I190,Freigaben!$M$5:$M$58,"freigegeben")&gt;0,"ja","nein"))</f>
        <v/>
      </c>
      <c r="K190" s="6" t="str">
        <f aca="false">IF(I190="","",IFERROR(IF(INDEX(Freigaben!$N$5:$N$58,MATCH(I190,Freigaben!$B$5:$B$58,0))="","ohne Ampel",INDEX(Freigaben!$N$5:$N$58,MATCH(I190,Freigaben!$B$5:$B$58,0))),"nicht in Freigaben"))</f>
        <v/>
      </c>
      <c r="L190" s="11"/>
      <c r="M190" s="12"/>
      <c r="N190" s="11"/>
      <c r="O190" s="11"/>
      <c r="P190" s="11"/>
      <c r="Q190" s="11"/>
      <c r="R190" s="11"/>
      <c r="S190" s="11"/>
      <c r="T190" s="6" t="str">
        <f aca="false">IF(F190="","",IF(AND(J190="ja",M190&lt;&gt;"",OR(K190="grün",K190="gelb"),LEN(G190)&lt;=60),"ja","nein"))</f>
        <v/>
      </c>
      <c r="U190" s="6" t="str">
        <f aca="false">IF(T190&lt;&gt;"nein","",IF(J190&lt;&gt;"ja","keine Freigabe",IF(M190="","nicht an der Quelle bestätigt",IF(K190="rot","Ampel rot — nicht öffentlich",IF(OR(K190="ohne Ampel",K190="nicht in Freigaben"),"Ampel fehlt",IF(LEN(G190)&gt;60,"Kurzinfo zu lang",""))))))</f>
        <v/>
      </c>
      <c r="V190" s="11"/>
    </row>
    <row r="191" customFormat="false" ht="15" hidden="false" customHeight="false" outlineLevel="0" collapsed="false">
      <c r="A191" s="11"/>
      <c r="B191" s="12"/>
      <c r="C191" s="6" t="str">
        <f aca="false">IF(B191="","",CHOOSE(WEEKDAY(B191,2),"Mo","Di","Mi","Do","Fr","Sa","So"))</f>
        <v/>
      </c>
      <c r="D191" s="16"/>
      <c r="E191" s="16"/>
      <c r="F191" s="11"/>
      <c r="G191" s="11"/>
      <c r="H191" s="7" t="str">
        <f aca="false">IF(G191="","",LEN(G191))</f>
        <v/>
      </c>
      <c r="I191" s="11"/>
      <c r="J191" s="6" t="str">
        <f aca="false">IF(I191="","",IF(COUNTIFS(Freigaben!$B$5:$B$58,I191,Freigaben!$M$5:$M$58,"freigegeben")&gt;0,"ja","nein"))</f>
        <v/>
      </c>
      <c r="K191" s="6" t="str">
        <f aca="false">IF(I191="","",IFERROR(IF(INDEX(Freigaben!$N$5:$N$58,MATCH(I191,Freigaben!$B$5:$B$58,0))="","ohne Ampel",INDEX(Freigaben!$N$5:$N$58,MATCH(I191,Freigaben!$B$5:$B$58,0))),"nicht in Freigaben"))</f>
        <v/>
      </c>
      <c r="L191" s="11"/>
      <c r="M191" s="12"/>
      <c r="N191" s="11"/>
      <c r="O191" s="11"/>
      <c r="P191" s="11"/>
      <c r="Q191" s="11"/>
      <c r="R191" s="11"/>
      <c r="S191" s="11"/>
      <c r="T191" s="6" t="str">
        <f aca="false">IF(F191="","",IF(AND(J191="ja",M191&lt;&gt;"",OR(K191="grün",K191="gelb"),LEN(G191)&lt;=60),"ja","nein"))</f>
        <v/>
      </c>
      <c r="U191" s="6" t="str">
        <f aca="false">IF(T191&lt;&gt;"nein","",IF(J191&lt;&gt;"ja","keine Freigabe",IF(M191="","nicht an der Quelle bestätigt",IF(K191="rot","Ampel rot — nicht öffentlich",IF(OR(K191="ohne Ampel",K191="nicht in Freigaben"),"Ampel fehlt",IF(LEN(G191)&gt;60,"Kurzinfo zu lang",""))))))</f>
        <v/>
      </c>
      <c r="V191" s="11"/>
    </row>
    <row r="192" customFormat="false" ht="15" hidden="false" customHeight="false" outlineLevel="0" collapsed="false">
      <c r="A192" s="11"/>
      <c r="B192" s="12"/>
      <c r="C192" s="6" t="str">
        <f aca="false">IF(B192="","",CHOOSE(WEEKDAY(B192,2),"Mo","Di","Mi","Do","Fr","Sa","So"))</f>
        <v/>
      </c>
      <c r="D192" s="16"/>
      <c r="E192" s="16"/>
      <c r="F192" s="11"/>
      <c r="G192" s="11"/>
      <c r="H192" s="7" t="str">
        <f aca="false">IF(G192="","",LEN(G192))</f>
        <v/>
      </c>
      <c r="I192" s="11"/>
      <c r="J192" s="6" t="str">
        <f aca="false">IF(I192="","",IF(COUNTIFS(Freigaben!$B$5:$B$58,I192,Freigaben!$M$5:$M$58,"freigegeben")&gt;0,"ja","nein"))</f>
        <v/>
      </c>
      <c r="K192" s="6" t="str">
        <f aca="false">IF(I192="","",IFERROR(IF(INDEX(Freigaben!$N$5:$N$58,MATCH(I192,Freigaben!$B$5:$B$58,0))="","ohne Ampel",INDEX(Freigaben!$N$5:$N$58,MATCH(I192,Freigaben!$B$5:$B$58,0))),"nicht in Freigaben"))</f>
        <v/>
      </c>
      <c r="L192" s="11"/>
      <c r="M192" s="12"/>
      <c r="N192" s="11"/>
      <c r="O192" s="11"/>
      <c r="P192" s="11"/>
      <c r="Q192" s="11"/>
      <c r="R192" s="11"/>
      <c r="S192" s="11"/>
      <c r="T192" s="6" t="str">
        <f aca="false">IF(F192="","",IF(AND(J192="ja",M192&lt;&gt;"",OR(K192="grün",K192="gelb"),LEN(G192)&lt;=60),"ja","nein"))</f>
        <v/>
      </c>
      <c r="U192" s="6" t="str">
        <f aca="false">IF(T192&lt;&gt;"nein","",IF(J192&lt;&gt;"ja","keine Freigabe",IF(M192="","nicht an der Quelle bestätigt",IF(K192="rot","Ampel rot — nicht öffentlich",IF(OR(K192="ohne Ampel",K192="nicht in Freigaben"),"Ampel fehlt",IF(LEN(G192)&gt;60,"Kurzinfo zu lang",""))))))</f>
        <v/>
      </c>
      <c r="V192" s="11"/>
    </row>
    <row r="193" customFormat="false" ht="15" hidden="false" customHeight="false" outlineLevel="0" collapsed="false">
      <c r="A193" s="11"/>
      <c r="B193" s="12"/>
      <c r="C193" s="6" t="str">
        <f aca="false">IF(B193="","",CHOOSE(WEEKDAY(B193,2),"Mo","Di","Mi","Do","Fr","Sa","So"))</f>
        <v/>
      </c>
      <c r="D193" s="16"/>
      <c r="E193" s="16"/>
      <c r="F193" s="11"/>
      <c r="G193" s="11"/>
      <c r="H193" s="7" t="str">
        <f aca="false">IF(G193="","",LEN(G193))</f>
        <v/>
      </c>
      <c r="I193" s="11"/>
      <c r="J193" s="6" t="str">
        <f aca="false">IF(I193="","",IF(COUNTIFS(Freigaben!$B$5:$B$58,I193,Freigaben!$M$5:$M$58,"freigegeben")&gt;0,"ja","nein"))</f>
        <v/>
      </c>
      <c r="K193" s="6" t="str">
        <f aca="false">IF(I193="","",IFERROR(IF(INDEX(Freigaben!$N$5:$N$58,MATCH(I193,Freigaben!$B$5:$B$58,0))="","ohne Ampel",INDEX(Freigaben!$N$5:$N$58,MATCH(I193,Freigaben!$B$5:$B$58,0))),"nicht in Freigaben"))</f>
        <v/>
      </c>
      <c r="L193" s="11"/>
      <c r="M193" s="12"/>
      <c r="N193" s="11"/>
      <c r="O193" s="11"/>
      <c r="P193" s="11"/>
      <c r="Q193" s="11"/>
      <c r="R193" s="11"/>
      <c r="S193" s="11"/>
      <c r="T193" s="6" t="str">
        <f aca="false">IF(F193="","",IF(AND(J193="ja",M193&lt;&gt;"",OR(K193="grün",K193="gelb"),LEN(G193)&lt;=60),"ja","nein"))</f>
        <v/>
      </c>
      <c r="U193" s="6" t="str">
        <f aca="false">IF(T193&lt;&gt;"nein","",IF(J193&lt;&gt;"ja","keine Freigabe",IF(M193="","nicht an der Quelle bestätigt",IF(K193="rot","Ampel rot — nicht öffentlich",IF(OR(K193="ohne Ampel",K193="nicht in Freigaben"),"Ampel fehlt",IF(LEN(G193)&gt;60,"Kurzinfo zu lang",""))))))</f>
        <v/>
      </c>
      <c r="V193" s="11"/>
    </row>
    <row r="194" customFormat="false" ht="15" hidden="false" customHeight="false" outlineLevel="0" collapsed="false">
      <c r="A194" s="11"/>
      <c r="B194" s="12"/>
      <c r="C194" s="6" t="str">
        <f aca="false">IF(B194="","",CHOOSE(WEEKDAY(B194,2),"Mo","Di","Mi","Do","Fr","Sa","So"))</f>
        <v/>
      </c>
      <c r="D194" s="16"/>
      <c r="E194" s="16"/>
      <c r="F194" s="11"/>
      <c r="G194" s="11"/>
      <c r="H194" s="7" t="str">
        <f aca="false">IF(G194="","",LEN(G194))</f>
        <v/>
      </c>
      <c r="I194" s="11"/>
      <c r="J194" s="6" t="str">
        <f aca="false">IF(I194="","",IF(COUNTIFS(Freigaben!$B$5:$B$58,I194,Freigaben!$M$5:$M$58,"freigegeben")&gt;0,"ja","nein"))</f>
        <v/>
      </c>
      <c r="K194" s="6" t="str">
        <f aca="false">IF(I194="","",IFERROR(IF(INDEX(Freigaben!$N$5:$N$58,MATCH(I194,Freigaben!$B$5:$B$58,0))="","ohne Ampel",INDEX(Freigaben!$N$5:$N$58,MATCH(I194,Freigaben!$B$5:$B$58,0))),"nicht in Freigaben"))</f>
        <v/>
      </c>
      <c r="L194" s="11"/>
      <c r="M194" s="12"/>
      <c r="N194" s="11"/>
      <c r="O194" s="11"/>
      <c r="P194" s="11"/>
      <c r="Q194" s="11"/>
      <c r="R194" s="11"/>
      <c r="S194" s="11"/>
      <c r="T194" s="6" t="str">
        <f aca="false">IF(F194="","",IF(AND(J194="ja",M194&lt;&gt;"",OR(K194="grün",K194="gelb"),LEN(G194)&lt;=60),"ja","nein"))</f>
        <v/>
      </c>
      <c r="U194" s="6" t="str">
        <f aca="false">IF(T194&lt;&gt;"nein","",IF(J194&lt;&gt;"ja","keine Freigabe",IF(M194="","nicht an der Quelle bestätigt",IF(K194="rot","Ampel rot — nicht öffentlich",IF(OR(K194="ohne Ampel",K194="nicht in Freigaben"),"Ampel fehlt",IF(LEN(G194)&gt;60,"Kurzinfo zu lang",""))))))</f>
        <v/>
      </c>
      <c r="V194" s="11"/>
    </row>
    <row r="195" customFormat="false" ht="15" hidden="false" customHeight="false" outlineLevel="0" collapsed="false">
      <c r="A195" s="11"/>
      <c r="B195" s="12"/>
      <c r="C195" s="6" t="str">
        <f aca="false">IF(B195="","",CHOOSE(WEEKDAY(B195,2),"Mo","Di","Mi","Do","Fr","Sa","So"))</f>
        <v/>
      </c>
      <c r="D195" s="16"/>
      <c r="E195" s="16"/>
      <c r="F195" s="11"/>
      <c r="G195" s="11"/>
      <c r="H195" s="7" t="str">
        <f aca="false">IF(G195="","",LEN(G195))</f>
        <v/>
      </c>
      <c r="I195" s="11"/>
      <c r="J195" s="6" t="str">
        <f aca="false">IF(I195="","",IF(COUNTIFS(Freigaben!$B$5:$B$58,I195,Freigaben!$M$5:$M$58,"freigegeben")&gt;0,"ja","nein"))</f>
        <v/>
      </c>
      <c r="K195" s="6" t="str">
        <f aca="false">IF(I195="","",IFERROR(IF(INDEX(Freigaben!$N$5:$N$58,MATCH(I195,Freigaben!$B$5:$B$58,0))="","ohne Ampel",INDEX(Freigaben!$N$5:$N$58,MATCH(I195,Freigaben!$B$5:$B$58,0))),"nicht in Freigaben"))</f>
        <v/>
      </c>
      <c r="L195" s="11"/>
      <c r="M195" s="12"/>
      <c r="N195" s="11"/>
      <c r="O195" s="11"/>
      <c r="P195" s="11"/>
      <c r="Q195" s="11"/>
      <c r="R195" s="11"/>
      <c r="S195" s="11"/>
      <c r="T195" s="6" t="str">
        <f aca="false">IF(F195="","",IF(AND(J195="ja",M195&lt;&gt;"",OR(K195="grün",K195="gelb"),LEN(G195)&lt;=60),"ja","nein"))</f>
        <v/>
      </c>
      <c r="U195" s="6" t="str">
        <f aca="false">IF(T195&lt;&gt;"nein","",IF(J195&lt;&gt;"ja","keine Freigabe",IF(M195="","nicht an der Quelle bestätigt",IF(K195="rot","Ampel rot — nicht öffentlich",IF(OR(K195="ohne Ampel",K195="nicht in Freigaben"),"Ampel fehlt",IF(LEN(G195)&gt;60,"Kurzinfo zu lang",""))))))</f>
        <v/>
      </c>
      <c r="V195" s="11"/>
    </row>
    <row r="196" customFormat="false" ht="15" hidden="false" customHeight="false" outlineLevel="0" collapsed="false">
      <c r="A196" s="11"/>
      <c r="B196" s="12"/>
      <c r="C196" s="6" t="str">
        <f aca="false">IF(B196="","",CHOOSE(WEEKDAY(B196,2),"Mo","Di","Mi","Do","Fr","Sa","So"))</f>
        <v/>
      </c>
      <c r="D196" s="16"/>
      <c r="E196" s="16"/>
      <c r="F196" s="11"/>
      <c r="G196" s="11"/>
      <c r="H196" s="7" t="str">
        <f aca="false">IF(G196="","",LEN(G196))</f>
        <v/>
      </c>
      <c r="I196" s="11"/>
      <c r="J196" s="6" t="str">
        <f aca="false">IF(I196="","",IF(COUNTIFS(Freigaben!$B$5:$B$58,I196,Freigaben!$M$5:$M$58,"freigegeben")&gt;0,"ja","nein"))</f>
        <v/>
      </c>
      <c r="K196" s="6" t="str">
        <f aca="false">IF(I196="","",IFERROR(IF(INDEX(Freigaben!$N$5:$N$58,MATCH(I196,Freigaben!$B$5:$B$58,0))="","ohne Ampel",INDEX(Freigaben!$N$5:$N$58,MATCH(I196,Freigaben!$B$5:$B$58,0))),"nicht in Freigaben"))</f>
        <v/>
      </c>
      <c r="L196" s="11"/>
      <c r="M196" s="12"/>
      <c r="N196" s="11"/>
      <c r="O196" s="11"/>
      <c r="P196" s="11"/>
      <c r="Q196" s="11"/>
      <c r="R196" s="11"/>
      <c r="S196" s="11"/>
      <c r="T196" s="6" t="str">
        <f aca="false">IF(F196="","",IF(AND(J196="ja",M196&lt;&gt;"",OR(K196="grün",K196="gelb"),LEN(G196)&lt;=60),"ja","nein"))</f>
        <v/>
      </c>
      <c r="U196" s="6" t="str">
        <f aca="false">IF(T196&lt;&gt;"nein","",IF(J196&lt;&gt;"ja","keine Freigabe",IF(M196="","nicht an der Quelle bestätigt",IF(K196="rot","Ampel rot — nicht öffentlich",IF(OR(K196="ohne Ampel",K196="nicht in Freigaben"),"Ampel fehlt",IF(LEN(G196)&gt;60,"Kurzinfo zu lang",""))))))</f>
        <v/>
      </c>
      <c r="V196" s="11"/>
    </row>
    <row r="197" customFormat="false" ht="15" hidden="false" customHeight="false" outlineLevel="0" collapsed="false">
      <c r="A197" s="11"/>
      <c r="B197" s="12"/>
      <c r="C197" s="6" t="str">
        <f aca="false">IF(B197="","",CHOOSE(WEEKDAY(B197,2),"Mo","Di","Mi","Do","Fr","Sa","So"))</f>
        <v/>
      </c>
      <c r="D197" s="16"/>
      <c r="E197" s="16"/>
      <c r="F197" s="11"/>
      <c r="G197" s="11"/>
      <c r="H197" s="7" t="str">
        <f aca="false">IF(G197="","",LEN(G197))</f>
        <v/>
      </c>
      <c r="I197" s="11"/>
      <c r="J197" s="6" t="str">
        <f aca="false">IF(I197="","",IF(COUNTIFS(Freigaben!$B$5:$B$58,I197,Freigaben!$M$5:$M$58,"freigegeben")&gt;0,"ja","nein"))</f>
        <v/>
      </c>
      <c r="K197" s="6" t="str">
        <f aca="false">IF(I197="","",IFERROR(IF(INDEX(Freigaben!$N$5:$N$58,MATCH(I197,Freigaben!$B$5:$B$58,0))="","ohne Ampel",INDEX(Freigaben!$N$5:$N$58,MATCH(I197,Freigaben!$B$5:$B$58,0))),"nicht in Freigaben"))</f>
        <v/>
      </c>
      <c r="L197" s="11"/>
      <c r="M197" s="12"/>
      <c r="N197" s="11"/>
      <c r="O197" s="11"/>
      <c r="P197" s="11"/>
      <c r="Q197" s="11"/>
      <c r="R197" s="11"/>
      <c r="S197" s="11"/>
      <c r="T197" s="6" t="str">
        <f aca="false">IF(F197="","",IF(AND(J197="ja",M197&lt;&gt;"",OR(K197="grün",K197="gelb"),LEN(G197)&lt;=60),"ja","nein"))</f>
        <v/>
      </c>
      <c r="U197" s="6" t="str">
        <f aca="false">IF(T197&lt;&gt;"nein","",IF(J197&lt;&gt;"ja","keine Freigabe",IF(M197="","nicht an der Quelle bestätigt",IF(K197="rot","Ampel rot — nicht öffentlich",IF(OR(K197="ohne Ampel",K197="nicht in Freigaben"),"Ampel fehlt",IF(LEN(G197)&gt;60,"Kurzinfo zu lang",""))))))</f>
        <v/>
      </c>
      <c r="V197" s="11"/>
    </row>
    <row r="198" customFormat="false" ht="15" hidden="false" customHeight="false" outlineLevel="0" collapsed="false">
      <c r="A198" s="11"/>
      <c r="B198" s="12"/>
      <c r="C198" s="6" t="str">
        <f aca="false">IF(B198="","",CHOOSE(WEEKDAY(B198,2),"Mo","Di","Mi","Do","Fr","Sa","So"))</f>
        <v/>
      </c>
      <c r="D198" s="16"/>
      <c r="E198" s="16"/>
      <c r="F198" s="11"/>
      <c r="G198" s="11"/>
      <c r="H198" s="7" t="str">
        <f aca="false">IF(G198="","",LEN(G198))</f>
        <v/>
      </c>
      <c r="I198" s="11"/>
      <c r="J198" s="6" t="str">
        <f aca="false">IF(I198="","",IF(COUNTIFS(Freigaben!$B$5:$B$58,I198,Freigaben!$M$5:$M$58,"freigegeben")&gt;0,"ja","nein"))</f>
        <v/>
      </c>
      <c r="K198" s="6" t="str">
        <f aca="false">IF(I198="","",IFERROR(IF(INDEX(Freigaben!$N$5:$N$58,MATCH(I198,Freigaben!$B$5:$B$58,0))="","ohne Ampel",INDEX(Freigaben!$N$5:$N$58,MATCH(I198,Freigaben!$B$5:$B$58,0))),"nicht in Freigaben"))</f>
        <v/>
      </c>
      <c r="L198" s="11"/>
      <c r="M198" s="12"/>
      <c r="N198" s="11"/>
      <c r="O198" s="11"/>
      <c r="P198" s="11"/>
      <c r="Q198" s="11"/>
      <c r="R198" s="11"/>
      <c r="S198" s="11"/>
      <c r="T198" s="6" t="str">
        <f aca="false">IF(F198="","",IF(AND(J198="ja",M198&lt;&gt;"",OR(K198="grün",K198="gelb"),LEN(G198)&lt;=60),"ja","nein"))</f>
        <v/>
      </c>
      <c r="U198" s="6" t="str">
        <f aca="false">IF(T198&lt;&gt;"nein","",IF(J198&lt;&gt;"ja","keine Freigabe",IF(M198="","nicht an der Quelle bestätigt",IF(K198="rot","Ampel rot — nicht öffentlich",IF(OR(K198="ohne Ampel",K198="nicht in Freigaben"),"Ampel fehlt",IF(LEN(G198)&gt;60,"Kurzinfo zu lang",""))))))</f>
        <v/>
      </c>
      <c r="V198" s="11"/>
    </row>
    <row r="199" customFormat="false" ht="15" hidden="false" customHeight="false" outlineLevel="0" collapsed="false">
      <c r="A199" s="11"/>
      <c r="B199" s="12"/>
      <c r="C199" s="6" t="str">
        <f aca="false">IF(B199="","",CHOOSE(WEEKDAY(B199,2),"Mo","Di","Mi","Do","Fr","Sa","So"))</f>
        <v/>
      </c>
      <c r="D199" s="16"/>
      <c r="E199" s="16"/>
      <c r="F199" s="11"/>
      <c r="G199" s="11"/>
      <c r="H199" s="7" t="str">
        <f aca="false">IF(G199="","",LEN(G199))</f>
        <v/>
      </c>
      <c r="I199" s="11"/>
      <c r="J199" s="6" t="str">
        <f aca="false">IF(I199="","",IF(COUNTIFS(Freigaben!$B$5:$B$58,I199,Freigaben!$M$5:$M$58,"freigegeben")&gt;0,"ja","nein"))</f>
        <v/>
      </c>
      <c r="K199" s="6" t="str">
        <f aca="false">IF(I199="","",IFERROR(IF(INDEX(Freigaben!$N$5:$N$58,MATCH(I199,Freigaben!$B$5:$B$58,0))="","ohne Ampel",INDEX(Freigaben!$N$5:$N$58,MATCH(I199,Freigaben!$B$5:$B$58,0))),"nicht in Freigaben"))</f>
        <v/>
      </c>
      <c r="L199" s="11"/>
      <c r="M199" s="12"/>
      <c r="N199" s="11"/>
      <c r="O199" s="11"/>
      <c r="P199" s="11"/>
      <c r="Q199" s="11"/>
      <c r="R199" s="11"/>
      <c r="S199" s="11"/>
      <c r="T199" s="6" t="str">
        <f aca="false">IF(F199="","",IF(AND(J199="ja",M199&lt;&gt;"",OR(K199="grün",K199="gelb"),LEN(G199)&lt;=60),"ja","nein"))</f>
        <v/>
      </c>
      <c r="U199" s="6" t="str">
        <f aca="false">IF(T199&lt;&gt;"nein","",IF(J199&lt;&gt;"ja","keine Freigabe",IF(M199="","nicht an der Quelle bestätigt",IF(K199="rot","Ampel rot — nicht öffentlich",IF(OR(K199="ohne Ampel",K199="nicht in Freigaben"),"Ampel fehlt",IF(LEN(G199)&gt;60,"Kurzinfo zu lang",""))))))</f>
        <v/>
      </c>
      <c r="V199" s="11"/>
    </row>
    <row r="200" customFormat="false" ht="15" hidden="false" customHeight="false" outlineLevel="0" collapsed="false">
      <c r="A200" s="11"/>
      <c r="B200" s="12"/>
      <c r="C200" s="6" t="str">
        <f aca="false">IF(B200="","",CHOOSE(WEEKDAY(B200,2),"Mo","Di","Mi","Do","Fr","Sa","So"))</f>
        <v/>
      </c>
      <c r="D200" s="16"/>
      <c r="E200" s="16"/>
      <c r="F200" s="11"/>
      <c r="G200" s="11"/>
      <c r="H200" s="7" t="str">
        <f aca="false">IF(G200="","",LEN(G200))</f>
        <v/>
      </c>
      <c r="I200" s="11"/>
      <c r="J200" s="6" t="str">
        <f aca="false">IF(I200="","",IF(COUNTIFS(Freigaben!$B$5:$B$58,I200,Freigaben!$M$5:$M$58,"freigegeben")&gt;0,"ja","nein"))</f>
        <v/>
      </c>
      <c r="K200" s="6" t="str">
        <f aca="false">IF(I200="","",IFERROR(IF(INDEX(Freigaben!$N$5:$N$58,MATCH(I200,Freigaben!$B$5:$B$58,0))="","ohne Ampel",INDEX(Freigaben!$N$5:$N$58,MATCH(I200,Freigaben!$B$5:$B$58,0))),"nicht in Freigaben"))</f>
        <v/>
      </c>
      <c r="L200" s="11"/>
      <c r="M200" s="12"/>
      <c r="N200" s="11"/>
      <c r="O200" s="11"/>
      <c r="P200" s="11"/>
      <c r="Q200" s="11"/>
      <c r="R200" s="11"/>
      <c r="S200" s="11"/>
      <c r="T200" s="6" t="str">
        <f aca="false">IF(F200="","",IF(AND(J200="ja",M200&lt;&gt;"",OR(K200="grün",K200="gelb"),LEN(G200)&lt;=60),"ja","nein"))</f>
        <v/>
      </c>
      <c r="U200" s="6" t="str">
        <f aca="false">IF(T200&lt;&gt;"nein","",IF(J200&lt;&gt;"ja","keine Freigabe",IF(M200="","nicht an der Quelle bestätigt",IF(K200="rot","Ampel rot — nicht öffentlich",IF(OR(K200="ohne Ampel",K200="nicht in Freigaben"),"Ampel fehlt",IF(LEN(G200)&gt;60,"Kurzinfo zu lang",""))))))</f>
        <v/>
      </c>
      <c r="V200" s="11"/>
    </row>
    <row r="201" customFormat="false" ht="15" hidden="false" customHeight="false" outlineLevel="0" collapsed="false">
      <c r="A201" s="11"/>
      <c r="B201" s="12"/>
      <c r="C201" s="6" t="str">
        <f aca="false">IF(B201="","",CHOOSE(WEEKDAY(B201,2),"Mo","Di","Mi","Do","Fr","Sa","So"))</f>
        <v/>
      </c>
      <c r="D201" s="16"/>
      <c r="E201" s="16"/>
      <c r="F201" s="11"/>
      <c r="G201" s="11"/>
      <c r="H201" s="7" t="str">
        <f aca="false">IF(G201="","",LEN(G201))</f>
        <v/>
      </c>
      <c r="I201" s="11"/>
      <c r="J201" s="6" t="str">
        <f aca="false">IF(I201="","",IF(COUNTIFS(Freigaben!$B$5:$B$58,I201,Freigaben!$M$5:$M$58,"freigegeben")&gt;0,"ja","nein"))</f>
        <v/>
      </c>
      <c r="K201" s="6" t="str">
        <f aca="false">IF(I201="","",IFERROR(IF(INDEX(Freigaben!$N$5:$N$58,MATCH(I201,Freigaben!$B$5:$B$58,0))="","ohne Ampel",INDEX(Freigaben!$N$5:$N$58,MATCH(I201,Freigaben!$B$5:$B$58,0))),"nicht in Freigaben"))</f>
        <v/>
      </c>
      <c r="L201" s="11"/>
      <c r="M201" s="12"/>
      <c r="N201" s="11"/>
      <c r="O201" s="11"/>
      <c r="P201" s="11"/>
      <c r="Q201" s="11"/>
      <c r="R201" s="11"/>
      <c r="S201" s="11"/>
      <c r="T201" s="6" t="str">
        <f aca="false">IF(F201="","",IF(AND(J201="ja",M201&lt;&gt;"",OR(K201="grün",K201="gelb"),LEN(G201)&lt;=60),"ja","nein"))</f>
        <v/>
      </c>
      <c r="U201" s="6" t="str">
        <f aca="false">IF(T201&lt;&gt;"nein","",IF(J201&lt;&gt;"ja","keine Freigabe",IF(M201="","nicht an der Quelle bestätigt",IF(K201="rot","Ampel rot — nicht öffentlich",IF(OR(K201="ohne Ampel",K201="nicht in Freigaben"),"Ampel fehlt",IF(LEN(G201)&gt;60,"Kurzinfo zu lang",""))))))</f>
        <v/>
      </c>
      <c r="V201" s="11"/>
    </row>
    <row r="202" customFormat="false" ht="15" hidden="false" customHeight="false" outlineLevel="0" collapsed="false">
      <c r="A202" s="11"/>
      <c r="B202" s="12"/>
      <c r="C202" s="6" t="str">
        <f aca="false">IF(B202="","",CHOOSE(WEEKDAY(B202,2),"Mo","Di","Mi","Do","Fr","Sa","So"))</f>
        <v/>
      </c>
      <c r="D202" s="16"/>
      <c r="E202" s="16"/>
      <c r="F202" s="11"/>
      <c r="G202" s="11"/>
      <c r="H202" s="7" t="str">
        <f aca="false">IF(G202="","",LEN(G202))</f>
        <v/>
      </c>
      <c r="I202" s="11"/>
      <c r="J202" s="6" t="str">
        <f aca="false">IF(I202="","",IF(COUNTIFS(Freigaben!$B$5:$B$58,I202,Freigaben!$M$5:$M$58,"freigegeben")&gt;0,"ja","nein"))</f>
        <v/>
      </c>
      <c r="K202" s="6" t="str">
        <f aca="false">IF(I202="","",IFERROR(IF(INDEX(Freigaben!$N$5:$N$58,MATCH(I202,Freigaben!$B$5:$B$58,0))="","ohne Ampel",INDEX(Freigaben!$N$5:$N$58,MATCH(I202,Freigaben!$B$5:$B$58,0))),"nicht in Freigaben"))</f>
        <v/>
      </c>
      <c r="L202" s="11"/>
      <c r="M202" s="12"/>
      <c r="N202" s="11"/>
      <c r="O202" s="11"/>
      <c r="P202" s="11"/>
      <c r="Q202" s="11"/>
      <c r="R202" s="11"/>
      <c r="S202" s="11"/>
      <c r="T202" s="6" t="str">
        <f aca="false">IF(F202="","",IF(AND(J202="ja",M202&lt;&gt;"",OR(K202="grün",K202="gelb"),LEN(G202)&lt;=60),"ja","nein"))</f>
        <v/>
      </c>
      <c r="U202" s="6" t="str">
        <f aca="false">IF(T202&lt;&gt;"nein","",IF(J202&lt;&gt;"ja","keine Freigabe",IF(M202="","nicht an der Quelle bestätigt",IF(K202="rot","Ampel rot — nicht öffentlich",IF(OR(K202="ohne Ampel",K202="nicht in Freigaben"),"Ampel fehlt",IF(LEN(G202)&gt;60,"Kurzinfo zu lang",""))))))</f>
        <v/>
      </c>
      <c r="V202" s="11"/>
    </row>
    <row r="203" customFormat="false" ht="15" hidden="false" customHeight="false" outlineLevel="0" collapsed="false">
      <c r="A203" s="11"/>
      <c r="B203" s="12"/>
      <c r="C203" s="6" t="str">
        <f aca="false">IF(B203="","",CHOOSE(WEEKDAY(B203,2),"Mo","Di","Mi","Do","Fr","Sa","So"))</f>
        <v/>
      </c>
      <c r="D203" s="16"/>
      <c r="E203" s="16"/>
      <c r="F203" s="11"/>
      <c r="G203" s="11"/>
      <c r="H203" s="7" t="str">
        <f aca="false">IF(G203="","",LEN(G203))</f>
        <v/>
      </c>
      <c r="I203" s="11"/>
      <c r="J203" s="6" t="str">
        <f aca="false">IF(I203="","",IF(COUNTIFS(Freigaben!$B$5:$B$58,I203,Freigaben!$M$5:$M$58,"freigegeben")&gt;0,"ja","nein"))</f>
        <v/>
      </c>
      <c r="K203" s="6" t="str">
        <f aca="false">IF(I203="","",IFERROR(IF(INDEX(Freigaben!$N$5:$N$58,MATCH(I203,Freigaben!$B$5:$B$58,0))="","ohne Ampel",INDEX(Freigaben!$N$5:$N$58,MATCH(I203,Freigaben!$B$5:$B$58,0))),"nicht in Freigaben"))</f>
        <v/>
      </c>
      <c r="L203" s="11"/>
      <c r="M203" s="12"/>
      <c r="N203" s="11"/>
      <c r="O203" s="11"/>
      <c r="P203" s="11"/>
      <c r="Q203" s="11"/>
      <c r="R203" s="11"/>
      <c r="S203" s="11"/>
      <c r="T203" s="6" t="str">
        <f aca="false">IF(F203="","",IF(AND(J203="ja",M203&lt;&gt;"",OR(K203="grün",K203="gelb"),LEN(G203)&lt;=60),"ja","nein"))</f>
        <v/>
      </c>
      <c r="U203" s="6" t="str">
        <f aca="false">IF(T203&lt;&gt;"nein","",IF(J203&lt;&gt;"ja","keine Freigabe",IF(M203="","nicht an der Quelle bestätigt",IF(K203="rot","Ampel rot — nicht öffentlich",IF(OR(K203="ohne Ampel",K203="nicht in Freigaben"),"Ampel fehlt",IF(LEN(G203)&gt;60,"Kurzinfo zu lang",""))))))</f>
        <v/>
      </c>
      <c r="V203" s="11"/>
    </row>
    <row r="204" customFormat="false" ht="15" hidden="false" customHeight="false" outlineLevel="0" collapsed="false">
      <c r="A204" s="11"/>
      <c r="B204" s="12"/>
      <c r="C204" s="6" t="str">
        <f aca="false">IF(B204="","",CHOOSE(WEEKDAY(B204,2),"Mo","Di","Mi","Do","Fr","Sa","So"))</f>
        <v/>
      </c>
      <c r="D204" s="16"/>
      <c r="E204" s="16"/>
      <c r="F204" s="11"/>
      <c r="G204" s="11"/>
      <c r="H204" s="7" t="str">
        <f aca="false">IF(G204="","",LEN(G204))</f>
        <v/>
      </c>
      <c r="I204" s="11"/>
      <c r="J204" s="6" t="str">
        <f aca="false">IF(I204="","",IF(COUNTIFS(Freigaben!$B$5:$B$58,I204,Freigaben!$M$5:$M$58,"freigegeben")&gt;0,"ja","nein"))</f>
        <v/>
      </c>
      <c r="K204" s="6" t="str">
        <f aca="false">IF(I204="","",IFERROR(IF(INDEX(Freigaben!$N$5:$N$58,MATCH(I204,Freigaben!$B$5:$B$58,0))="","ohne Ampel",INDEX(Freigaben!$N$5:$N$58,MATCH(I204,Freigaben!$B$5:$B$58,0))),"nicht in Freigaben"))</f>
        <v/>
      </c>
      <c r="L204" s="11"/>
      <c r="M204" s="12"/>
      <c r="N204" s="11"/>
      <c r="O204" s="11"/>
      <c r="P204" s="11"/>
      <c r="Q204" s="11"/>
      <c r="R204" s="11"/>
      <c r="S204" s="11"/>
      <c r="T204" s="6" t="str">
        <f aca="false">IF(F204="","",IF(AND(J204="ja",M204&lt;&gt;"",OR(K204="grün",K204="gelb"),LEN(G204)&lt;=60),"ja","nein"))</f>
        <v/>
      </c>
      <c r="U204" s="6" t="str">
        <f aca="false">IF(T204&lt;&gt;"nein","",IF(J204&lt;&gt;"ja","keine Freigabe",IF(M204="","nicht an der Quelle bestätigt",IF(K204="rot","Ampel rot — nicht öffentlich",IF(OR(K204="ohne Ampel",K204="nicht in Freigaben"),"Ampel fehlt",IF(LEN(G204)&gt;60,"Kurzinfo zu lang",""))))))</f>
        <v/>
      </c>
      <c r="V204" s="11"/>
    </row>
  </sheetData>
  <autoFilter ref="A4:V204"/>
  <conditionalFormatting sqref="T5:T204">
    <cfRule type="expression" priority="2" aboveAverage="0" equalAverage="0" bottom="0" percent="0" rank="0" text="" dxfId="7">
      <formula>T5="nein"</formula>
    </cfRule>
    <cfRule type="expression" priority="3" aboveAverage="0" equalAverage="0" bottom="0" percent="0" rank="0" text="" dxfId="9">
      <formula>T5="ja"</formula>
    </cfRule>
  </conditionalFormatting>
  <conditionalFormatting sqref="K5:K204">
    <cfRule type="expression" priority="4" aboveAverage="0" equalAverage="0" bottom="0" percent="0" rank="0" text="" dxfId="7">
      <formula>K5="rot"</formula>
    </cfRule>
  </conditionalFormatting>
  <conditionalFormatting sqref="H5:H204">
    <cfRule type="expression" priority="5" aboveAverage="0" equalAverage="0" bottom="0" percent="0" rank="0" text="" dxfId="7">
      <formula>AND(ISNUMBER(H5),H5&gt;60)</formula>
    </cfRule>
  </conditionalFormatting>
  <dataValidations count="5">
    <dataValidation allowBlank="true" errorStyle="stop" operator="between" showDropDown="false" showErrorMessage="false" showInputMessage="false" sqref="N5:N204" type="list">
      <formula1>"termine@,Terminkanal des Veranstalters,Sammelkalender (nur Hinweis),Hinweis aus der Community"</formula1>
      <formula2>0</formula2>
    </dataValidation>
    <dataValidation allowBlank="true" errorStyle="stop" operator="between" showDropDown="false" showErrorMessage="false" showInputMessage="false" sqref="O5:O204" type="list">
      <formula1>"ja,nein"</formula1>
      <formula2>0</formula2>
    </dataValidation>
    <dataValidation allowBlank="true" errorStyle="stop" operator="between" showDropDown="false" showErrorMessage="false" showInputMessage="false" sqref="R5:R204" type="list">
      <formula1>"Story,Mail,beides"</formula1>
      <formula2>0</formula2>
    </dataValidation>
    <dataValidation allowBlank="true" errorStyle="stop" operator="between" showDropDown="false" showErrorMessage="false" showInputMessage="false" sqref="S5:S204" type="list">
      <formula1>"gesammelt,ausgewählt,veröffentlicht,abgesagt,verschoben"</formula1>
      <formula2>0</formula2>
    </dataValidation>
    <dataValidation allowBlank="true" errorStyle="stop" operator="between" showDropDown="false" showErrorMessage="false" showInputMessage="false" sqref="A5:A204" type="whole">
      <formula1>1</formula1>
      <formula2>13</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64"/>
    <col collapsed="false" customWidth="true" hidden="false" outlineLevel="0" max="8" min="4" style="0" width="11"/>
  </cols>
  <sheetData>
    <row r="1" customFormat="false" ht="19.7" hidden="false" customHeight="false" outlineLevel="0" collapsed="false">
      <c r="A1" s="1" t="s">
        <v>200</v>
      </c>
    </row>
    <row r="2" customFormat="false" ht="15" hidden="false" customHeight="false" outlineLevel="0" collapsed="false">
      <c r="A2" s="2" t="s">
        <v>1</v>
      </c>
    </row>
    <row r="3" customFormat="false" ht="15" hidden="false" customHeight="false" outlineLevel="0" collapsed="false">
      <c r="A3" s="2" t="s">
        <v>201</v>
      </c>
    </row>
    <row r="4" customFormat="false" ht="39.75" hidden="false" customHeight="true" outlineLevel="0" collapsed="false">
      <c r="D4" s="17" t="s">
        <v>202</v>
      </c>
      <c r="E4" s="17" t="s">
        <v>203</v>
      </c>
      <c r="F4" s="17" t="s">
        <v>204</v>
      </c>
      <c r="G4" s="17" t="s">
        <v>205</v>
      </c>
      <c r="H4" s="17" t="s">
        <v>206</v>
      </c>
    </row>
    <row r="5" customFormat="false" ht="15" hidden="false" customHeight="false" outlineLevel="0" collapsed="false">
      <c r="A5" s="4" t="s">
        <v>207</v>
      </c>
      <c r="B5" s="4" t="s">
        <v>176</v>
      </c>
      <c r="C5" s="4" t="s">
        <v>43</v>
      </c>
      <c r="D5" s="4" t="s">
        <v>208</v>
      </c>
      <c r="E5" s="4" t="s">
        <v>209</v>
      </c>
      <c r="F5" s="4" t="s">
        <v>210</v>
      </c>
      <c r="G5" s="4" t="s">
        <v>211</v>
      </c>
      <c r="H5" s="4" t="s">
        <v>212</v>
      </c>
    </row>
    <row r="6" customFormat="false" ht="23.85" hidden="false" customHeight="false" outlineLevel="0" collapsed="false">
      <c r="A6" s="5" t="s">
        <v>213</v>
      </c>
      <c r="B6" s="6" t="s">
        <v>214</v>
      </c>
      <c r="C6" s="6" t="s">
        <v>215</v>
      </c>
      <c r="D6" s="18" t="n">
        <v>15</v>
      </c>
      <c r="E6" s="18" t="n">
        <v>15</v>
      </c>
      <c r="F6" s="18" t="n">
        <v>15</v>
      </c>
      <c r="G6" s="18" t="n">
        <v>15</v>
      </c>
      <c r="H6" s="18" t="n">
        <v>15</v>
      </c>
    </row>
    <row r="7" customFormat="false" ht="35.05" hidden="false" customHeight="false" outlineLevel="0" collapsed="false">
      <c r="A7" s="5" t="s">
        <v>216</v>
      </c>
      <c r="B7" s="6" t="s">
        <v>217</v>
      </c>
      <c r="C7" s="6" t="s">
        <v>218</v>
      </c>
      <c r="D7" s="18" t="n">
        <v>20</v>
      </c>
      <c r="E7" s="18" t="n">
        <v>20</v>
      </c>
      <c r="F7" s="18" t="n">
        <v>20</v>
      </c>
      <c r="G7" s="18" t="n">
        <v>20</v>
      </c>
      <c r="H7" s="18" t="n">
        <v>20</v>
      </c>
    </row>
    <row r="8" customFormat="false" ht="23.85" hidden="false" customHeight="false" outlineLevel="0" collapsed="false">
      <c r="A8" s="5" t="s">
        <v>219</v>
      </c>
      <c r="B8" s="6" t="s">
        <v>220</v>
      </c>
      <c r="C8" s="6" t="s">
        <v>221</v>
      </c>
      <c r="D8" s="18" t="n">
        <v>25</v>
      </c>
      <c r="E8" s="18" t="n">
        <v>25</v>
      </c>
      <c r="F8" s="18" t="n">
        <v>25</v>
      </c>
      <c r="G8" s="18" t="n">
        <v>25</v>
      </c>
      <c r="H8" s="18" t="n">
        <v>25</v>
      </c>
    </row>
    <row r="9" customFormat="false" ht="23.85" hidden="false" customHeight="false" outlineLevel="0" collapsed="false">
      <c r="A9" s="5" t="s">
        <v>222</v>
      </c>
      <c r="B9" s="6" t="s">
        <v>223</v>
      </c>
      <c r="C9" s="6" t="s">
        <v>224</v>
      </c>
      <c r="D9" s="18" t="n">
        <v>35</v>
      </c>
      <c r="E9" s="18" t="n">
        <v>0</v>
      </c>
      <c r="F9" s="18" t="n">
        <v>35</v>
      </c>
      <c r="G9" s="18" t="n">
        <v>35</v>
      </c>
      <c r="H9" s="18" t="n">
        <v>35</v>
      </c>
    </row>
    <row r="10" customFormat="false" ht="23.85" hidden="false" customHeight="false" outlineLevel="0" collapsed="false">
      <c r="A10" s="5" t="s">
        <v>225</v>
      </c>
      <c r="B10" s="6" t="s">
        <v>223</v>
      </c>
      <c r="C10" s="6" t="s">
        <v>226</v>
      </c>
      <c r="D10" s="18" t="n">
        <v>15</v>
      </c>
      <c r="E10" s="18" t="n">
        <v>0</v>
      </c>
      <c r="F10" s="18" t="n">
        <v>15</v>
      </c>
      <c r="G10" s="18" t="n">
        <v>0</v>
      </c>
      <c r="H10" s="18" t="n">
        <v>0</v>
      </c>
    </row>
    <row r="11" customFormat="false" ht="23.85" hidden="false" customHeight="false" outlineLevel="0" collapsed="false">
      <c r="A11" s="5" t="s">
        <v>227</v>
      </c>
      <c r="B11" s="6" t="s">
        <v>223</v>
      </c>
      <c r="C11" s="6" t="s">
        <v>228</v>
      </c>
      <c r="D11" s="18" t="n">
        <v>10</v>
      </c>
      <c r="E11" s="18" t="n">
        <v>0</v>
      </c>
      <c r="F11" s="18" t="n">
        <v>10</v>
      </c>
      <c r="G11" s="18" t="n">
        <v>10</v>
      </c>
      <c r="H11" s="18" t="n">
        <v>10</v>
      </c>
    </row>
    <row r="12" customFormat="false" ht="23.85" hidden="false" customHeight="false" outlineLevel="0" collapsed="false">
      <c r="A12" s="5" t="s">
        <v>229</v>
      </c>
      <c r="B12" s="6" t="s">
        <v>230</v>
      </c>
      <c r="C12" s="6" t="s">
        <v>231</v>
      </c>
      <c r="D12" s="18" t="n">
        <v>18</v>
      </c>
      <c r="E12" s="18" t="n">
        <v>0</v>
      </c>
      <c r="F12" s="18" t="n">
        <v>18</v>
      </c>
      <c r="G12" s="18" t="n">
        <v>9</v>
      </c>
      <c r="H12" s="18" t="n">
        <v>9</v>
      </c>
    </row>
    <row r="13" customFormat="false" ht="23.85" hidden="false" customHeight="false" outlineLevel="0" collapsed="false">
      <c r="A13" s="5" t="s">
        <v>232</v>
      </c>
      <c r="B13" s="6" t="s">
        <v>223</v>
      </c>
      <c r="C13" s="6" t="s">
        <v>233</v>
      </c>
      <c r="D13" s="18" t="n">
        <v>0</v>
      </c>
      <c r="E13" s="18" t="n">
        <v>25</v>
      </c>
      <c r="F13" s="18" t="n">
        <v>15</v>
      </c>
      <c r="G13" s="18" t="n">
        <v>15</v>
      </c>
      <c r="H13" s="18" t="n">
        <v>15</v>
      </c>
    </row>
    <row r="14" customFormat="false" ht="23.85" hidden="false" customHeight="false" outlineLevel="0" collapsed="false">
      <c r="A14" s="5" t="s">
        <v>234</v>
      </c>
      <c r="B14" s="6" t="s">
        <v>223</v>
      </c>
      <c r="C14" s="6" t="s">
        <v>235</v>
      </c>
      <c r="D14" s="18" t="n">
        <v>0</v>
      </c>
      <c r="E14" s="18" t="n">
        <v>15</v>
      </c>
      <c r="F14" s="18" t="n">
        <v>10</v>
      </c>
      <c r="G14" s="18" t="n">
        <v>10</v>
      </c>
      <c r="H14" s="18" t="n">
        <v>0</v>
      </c>
    </row>
    <row r="15" customFormat="false" ht="23.85" hidden="false" customHeight="false" outlineLevel="0" collapsed="false">
      <c r="A15" s="5" t="s">
        <v>236</v>
      </c>
      <c r="B15" s="6" t="s">
        <v>237</v>
      </c>
      <c r="C15" s="6" t="s">
        <v>238</v>
      </c>
      <c r="D15" s="18" t="n">
        <v>15</v>
      </c>
      <c r="E15" s="18" t="n">
        <v>10</v>
      </c>
      <c r="F15" s="18" t="n">
        <v>20</v>
      </c>
      <c r="G15" s="18" t="n">
        <v>20</v>
      </c>
      <c r="H15" s="18" t="n">
        <v>15</v>
      </c>
    </row>
    <row r="16" customFormat="false" ht="23.85" hidden="false" customHeight="false" outlineLevel="0" collapsed="false">
      <c r="A16" s="5" t="s">
        <v>239</v>
      </c>
      <c r="B16" s="6" t="s">
        <v>214</v>
      </c>
      <c r="C16" s="6" t="s">
        <v>240</v>
      </c>
      <c r="D16" s="18" t="n">
        <v>10</v>
      </c>
      <c r="E16" s="18" t="n">
        <v>5</v>
      </c>
      <c r="F16" s="18" t="n">
        <v>15</v>
      </c>
      <c r="G16" s="18" t="n">
        <v>15</v>
      </c>
      <c r="H16" s="18" t="n">
        <v>10</v>
      </c>
    </row>
    <row r="17" customFormat="false" ht="15" hidden="false" customHeight="false" outlineLevel="0" collapsed="false">
      <c r="C17" s="5" t="s">
        <v>241</v>
      </c>
      <c r="D17" s="19" t="n">
        <f aca="false">SUM(D6:D16)</f>
        <v>163</v>
      </c>
      <c r="E17" s="19" t="n">
        <f aca="false">SUM(E6:E16)</f>
        <v>115</v>
      </c>
      <c r="F17" s="19" t="n">
        <f aca="false">SUM(F6:F16)</f>
        <v>198</v>
      </c>
      <c r="G17" s="19" t="n">
        <f aca="false">SUM(G6:G16)</f>
        <v>174</v>
      </c>
      <c r="H17" s="19" t="n">
        <f aca="false">SUM(H6:H16)</f>
        <v>154</v>
      </c>
    </row>
    <row r="18" customFormat="false" ht="15" hidden="false" customHeight="false" outlineLevel="0" collapsed="false">
      <c r="C18" s="5" t="s">
        <v>242</v>
      </c>
      <c r="D18" s="20" t="n">
        <f aca="false">D17/1440</f>
        <v>0.113194444444444</v>
      </c>
      <c r="E18" s="20" t="n">
        <f aca="false">E17/1440</f>
        <v>0.0798611111111111</v>
      </c>
      <c r="F18" s="20" t="n">
        <f aca="false">F17/1440</f>
        <v>0.1375</v>
      </c>
      <c r="G18" s="20" t="n">
        <f aca="false">G17/1440</f>
        <v>0.120833333333333</v>
      </c>
      <c r="H18" s="20" t="n">
        <f aca="false">H17/1440</f>
        <v>0.106944444444444</v>
      </c>
    </row>
    <row r="19" customFormat="false" ht="15" hidden="false" customHeight="false" outlineLevel="0" collapsed="false">
      <c r="C19" s="5" t="s">
        <v>243</v>
      </c>
      <c r="D19" s="21" t="str">
        <f aca="false">IF(D17&lt;180,"erfüllt","verfehlt")</f>
        <v>erfüllt</v>
      </c>
      <c r="E19" s="21" t="str">
        <f aca="false">IF(E17&lt;180,"erfüllt","verfehlt")</f>
        <v>erfüllt</v>
      </c>
      <c r="F19" s="21" t="str">
        <f aca="false">IF(F17&lt;180,"erfüllt","verfehlt")</f>
        <v>verfehlt</v>
      </c>
      <c r="G19" s="21" t="str">
        <f aca="false">IF(G17&lt;180,"erfüllt","verfehlt")</f>
        <v>erfüllt</v>
      </c>
      <c r="H19" s="21" t="str">
        <f aca="false">IF(H17&lt;180,"erfüllt","verfehlt")</f>
        <v>erfüllt</v>
      </c>
    </row>
    <row r="20" customFormat="false" ht="15" hidden="false" customHeight="false" outlineLevel="0" collapsed="false">
      <c r="C20" s="5" t="s">
        <v>244</v>
      </c>
      <c r="D20" s="22" t="n">
        <f aca="false">180-D17</f>
        <v>17</v>
      </c>
      <c r="E20" s="22" t="n">
        <f aca="false">180-E17</f>
        <v>65</v>
      </c>
      <c r="F20" s="22" t="n">
        <f aca="false">180-F17</f>
        <v>-18</v>
      </c>
      <c r="G20" s="22" t="n">
        <f aca="false">180-G17</f>
        <v>6</v>
      </c>
      <c r="H20" s="22" t="n">
        <f aca="false">180-H17</f>
        <v>26</v>
      </c>
    </row>
    <row r="22" customFormat="false" ht="15" hidden="false" customHeight="false" outlineLevel="0" collapsed="false">
      <c r="A22" s="5" t="s">
        <v>245</v>
      </c>
      <c r="B22" s="5" t="s">
        <v>246</v>
      </c>
      <c r="C22" s="23" t="s">
        <v>208</v>
      </c>
      <c r="D22" s="24" t="s">
        <v>247</v>
      </c>
    </row>
    <row r="23" customFormat="false" ht="15" hidden="false" customHeight="false" outlineLevel="0" collapsed="false">
      <c r="C23" s="5" t="s">
        <v>248</v>
      </c>
      <c r="D23" s="19" t="n">
        <f aca="false">INDEX(D17:H17,1,MATCH(C22,D5:H5,0))</f>
        <v>163</v>
      </c>
    </row>
    <row r="24" customFormat="false" ht="15" hidden="false" customHeight="false" outlineLevel="0" collapsed="false">
      <c r="C24" s="5" t="s">
        <v>249</v>
      </c>
      <c r="D24" s="19" t="str">
        <f aca="false">IF(COUNT(Messung!T6:T18)=0,"noch keine",AVERAGE(Messung!T6:T18))</f>
        <v>noch keine</v>
      </c>
    </row>
    <row r="25" customFormat="false" ht="15" hidden="false" customHeight="false" outlineLevel="0" collapsed="false">
      <c r="C25" s="5" t="s">
        <v>250</v>
      </c>
      <c r="D25" s="21" t="str">
        <f aca="false">IF(COUNT(Messung!T6:T18)=0,"—",IF(D24&lt;180,"erfüllt","verfehlt"))</f>
        <v>—</v>
      </c>
    </row>
    <row r="27" customFormat="false" ht="23.85" hidden="false" customHeight="false" outlineLevel="0" collapsed="false">
      <c r="C27" s="5" t="s">
        <v>251</v>
      </c>
      <c r="D27" s="18" t="n">
        <v>20</v>
      </c>
    </row>
    <row r="28" customFormat="false" ht="15" hidden="false" customHeight="false" outlineLevel="0" collapsed="false">
      <c r="C28" s="5" t="s">
        <v>252</v>
      </c>
      <c r="D28" s="19" t="n">
        <f aca="false">D17+D27</f>
        <v>183</v>
      </c>
    </row>
    <row r="29" customFormat="false" ht="15" hidden="false" customHeight="false" outlineLevel="0" collapsed="false">
      <c r="C29" s="5" t="s">
        <v>253</v>
      </c>
      <c r="D29" s="21" t="str">
        <f aca="false">IF(D28&lt;180,"erfüllt","verfehlt")</f>
        <v>verfehlt</v>
      </c>
    </row>
    <row r="30" customFormat="false" ht="23.85" hidden="false" customHeight="false" outlineLevel="0" collapsed="false">
      <c r="C30" s="5" t="s">
        <v>254</v>
      </c>
      <c r="D30" s="19" t="n">
        <f aca="false">D17</f>
        <v>163</v>
      </c>
    </row>
    <row r="32" customFormat="false" ht="23.85" hidden="false" customHeight="false" outlineLevel="0" collapsed="false">
      <c r="C32" s="5" t="s">
        <v>255</v>
      </c>
      <c r="D32" s="18" t="n">
        <v>10</v>
      </c>
    </row>
    <row r="34" customFormat="false" ht="15" hidden="false" customHeight="false" outlineLevel="0" collapsed="false">
      <c r="A34" s="25" t="s">
        <v>256</v>
      </c>
    </row>
    <row r="35" customFormat="false" ht="15" hidden="false" customHeight="false" outlineLevel="0" collapsed="false">
      <c r="C35" s="26" t="s">
        <v>257</v>
      </c>
    </row>
    <row r="36" customFormat="false" ht="15" hidden="false" customHeight="false" outlineLevel="0" collapsed="false">
      <c r="C36" s="26" t="s">
        <v>258</v>
      </c>
    </row>
    <row r="37" customFormat="false" ht="15" hidden="false" customHeight="false" outlineLevel="0" collapsed="false">
      <c r="C37" s="26" t="s">
        <v>259</v>
      </c>
    </row>
    <row r="38" customFormat="false" ht="15" hidden="false" customHeight="false" outlineLevel="0" collapsed="false">
      <c r="C38" s="26" t="s">
        <v>260</v>
      </c>
    </row>
    <row r="39" customFormat="false" ht="15" hidden="false" customHeight="false" outlineLevel="0" collapsed="false">
      <c r="C39" s="26" t="s">
        <v>261</v>
      </c>
    </row>
  </sheetData>
  <conditionalFormatting sqref="D19:H19">
    <cfRule type="expression" priority="2" aboveAverage="0" equalAverage="0" bottom="0" percent="0" rank="0" text="" dxfId="7">
      <formula>D19="verfehlt"</formula>
    </cfRule>
    <cfRule type="expression" priority="3" aboveAverage="0" equalAverage="0" bottom="0" percent="0" rank="0" text="" dxfId="9">
      <formula>D19="erfüllt"</formula>
    </cfRule>
  </conditionalFormatting>
  <dataValidations count="1">
    <dataValidation allowBlank="false" errorStyle="stop" operator="between" showDropDown="false" showErrorMessage="false" showInputMessage="false" sqref="C22" type="list">
      <formula1>"A,B,CV,CS,CM"</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12"/>
    <col collapsed="false" customWidth="true" hidden="false" outlineLevel="0" max="4" min="4" style="0" width="14"/>
    <col collapsed="false" customWidth="true" hidden="false" outlineLevel="0" max="6" min="5" style="0" width="12"/>
    <col collapsed="false" customWidth="true" hidden="false" outlineLevel="0" max="7" min="7" style="0" width="13"/>
    <col collapsed="false" customWidth="true" hidden="false" outlineLevel="0" max="12" min="8" style="0" width="12"/>
    <col collapsed="false" customWidth="true" hidden="false" outlineLevel="0" max="13" min="13" style="0" width="13"/>
    <col collapsed="false" customWidth="true" hidden="false" outlineLevel="0" max="16" min="14" style="0" width="12"/>
    <col collapsed="false" customWidth="true" hidden="false" outlineLevel="0" max="17" min="17" style="0" width="14"/>
    <col collapsed="false" customWidth="true" hidden="false" outlineLevel="0" max="18" min="18" style="0" width="12"/>
    <col collapsed="false" customWidth="true" hidden="false" outlineLevel="0" max="19" min="19" style="0" width="14"/>
    <col collapsed="false" customWidth="true" hidden="false" outlineLevel="0" max="20" min="20" style="0" width="13"/>
    <col collapsed="false" customWidth="true" hidden="false" outlineLevel="0" max="21" min="21" style="0" width="30"/>
  </cols>
  <sheetData>
    <row r="1" customFormat="false" ht="19.7" hidden="false" customHeight="false" outlineLevel="0" collapsed="false">
      <c r="A1" s="1" t="s">
        <v>262</v>
      </c>
    </row>
    <row r="2" customFormat="false" ht="15" hidden="false" customHeight="false" outlineLevel="0" collapsed="false">
      <c r="A2" s="2" t="s">
        <v>1</v>
      </c>
    </row>
    <row r="3" customFormat="false" ht="15" hidden="false" customHeight="false" outlineLevel="0" collapsed="false">
      <c r="A3" s="27" t="s">
        <v>263</v>
      </c>
      <c r="D3" s="28" t="n">
        <v>47031</v>
      </c>
      <c r="E3" s="29" t="s">
        <v>264</v>
      </c>
    </row>
    <row r="5" customFormat="false" ht="45" hidden="false" customHeight="true" outlineLevel="0" collapsed="false">
      <c r="A5" s="4" t="s">
        <v>265</v>
      </c>
      <c r="B5" s="4" t="s">
        <v>266</v>
      </c>
      <c r="C5" s="4" t="s">
        <v>267</v>
      </c>
      <c r="D5" s="4" t="s">
        <v>268</v>
      </c>
      <c r="E5" s="4" t="s">
        <v>269</v>
      </c>
      <c r="F5" s="4" t="s">
        <v>270</v>
      </c>
      <c r="G5" s="4" t="s">
        <v>271</v>
      </c>
      <c r="H5" s="4" t="s">
        <v>272</v>
      </c>
      <c r="I5" s="4" t="s">
        <v>273</v>
      </c>
      <c r="J5" s="4" t="s">
        <v>274</v>
      </c>
      <c r="K5" s="4" t="s">
        <v>275</v>
      </c>
      <c r="L5" s="4" t="s">
        <v>276</v>
      </c>
      <c r="M5" s="4" t="s">
        <v>277</v>
      </c>
      <c r="N5" s="4" t="s">
        <v>278</v>
      </c>
      <c r="O5" s="4" t="s">
        <v>279</v>
      </c>
      <c r="P5" s="4" t="s">
        <v>280</v>
      </c>
      <c r="Q5" s="4" t="s">
        <v>281</v>
      </c>
      <c r="R5" s="4" t="s">
        <v>282</v>
      </c>
      <c r="S5" s="4" t="s">
        <v>283</v>
      </c>
      <c r="T5" s="4" t="s">
        <v>284</v>
      </c>
      <c r="U5" s="4" t="s">
        <v>86</v>
      </c>
    </row>
    <row r="6" customFormat="false" ht="15" hidden="false" customHeight="false" outlineLevel="0" collapsed="false">
      <c r="A6" s="21" t="n">
        <v>1</v>
      </c>
      <c r="B6" s="30" t="n">
        <f aca="false">IF($D$3="","",$D$3+7*(A6-1))</f>
        <v>47031</v>
      </c>
      <c r="C6" s="31" t="n">
        <f aca="false">COUNTIFS(Termine!$A$6:$A$204,A6,Termine!$S$6:$S$204,"veröffentlicht")</f>
        <v>0</v>
      </c>
      <c r="D6" s="32"/>
      <c r="E6" s="32"/>
      <c r="F6" s="32"/>
      <c r="G6" s="33" t="str">
        <f aca="false">IF(OR(E6="",F6="",N(E6)=0),"",F6/E6)</f>
        <v/>
      </c>
      <c r="H6" s="32"/>
      <c r="I6" s="32"/>
      <c r="J6" s="32"/>
      <c r="K6" s="32"/>
      <c r="L6" s="32"/>
      <c r="M6" s="32"/>
      <c r="N6" s="32"/>
      <c r="O6" s="32"/>
      <c r="P6" s="32"/>
      <c r="Q6" s="32"/>
      <c r="R6" s="32"/>
      <c r="S6" s="32"/>
      <c r="T6" s="32"/>
      <c r="U6" s="11"/>
    </row>
    <row r="7" customFormat="false" ht="15" hidden="false" customHeight="false" outlineLevel="0" collapsed="false">
      <c r="A7" s="21" t="n">
        <v>2</v>
      </c>
      <c r="B7" s="30" t="n">
        <f aca="false">IF($D$3="","",$D$3+7*(A7-1))</f>
        <v>47038</v>
      </c>
      <c r="C7" s="31" t="n">
        <f aca="false">COUNTIFS(Termine!$A$6:$A$204,A7,Termine!$S$6:$S$204,"veröffentlicht")</f>
        <v>0</v>
      </c>
      <c r="D7" s="32"/>
      <c r="E7" s="32"/>
      <c r="F7" s="32"/>
      <c r="G7" s="33" t="str">
        <f aca="false">IF(OR(E7="",F7="",N(E7)=0),"",F7/E7)</f>
        <v/>
      </c>
      <c r="H7" s="32"/>
      <c r="I7" s="32"/>
      <c r="J7" s="32"/>
      <c r="K7" s="32"/>
      <c r="L7" s="32"/>
      <c r="M7" s="32"/>
      <c r="N7" s="32"/>
      <c r="O7" s="32"/>
      <c r="P7" s="32"/>
      <c r="Q7" s="32"/>
      <c r="R7" s="32"/>
      <c r="S7" s="32"/>
      <c r="T7" s="32"/>
      <c r="U7" s="11"/>
    </row>
    <row r="8" customFormat="false" ht="15" hidden="false" customHeight="false" outlineLevel="0" collapsed="false">
      <c r="A8" s="21" t="n">
        <v>3</v>
      </c>
      <c r="B8" s="30" t="n">
        <f aca="false">IF($D$3="","",$D$3+7*(A8-1))</f>
        <v>47045</v>
      </c>
      <c r="C8" s="31" t="n">
        <f aca="false">COUNTIFS(Termine!$A$6:$A$204,A8,Termine!$S$6:$S$204,"veröffentlicht")</f>
        <v>0</v>
      </c>
      <c r="D8" s="32"/>
      <c r="E8" s="32"/>
      <c r="F8" s="32"/>
      <c r="G8" s="33" t="str">
        <f aca="false">IF(OR(E8="",F8="",N(E8)=0),"",F8/E8)</f>
        <v/>
      </c>
      <c r="H8" s="32"/>
      <c r="I8" s="32"/>
      <c r="J8" s="32"/>
      <c r="K8" s="32"/>
      <c r="L8" s="32"/>
      <c r="M8" s="32"/>
      <c r="N8" s="32"/>
      <c r="O8" s="32"/>
      <c r="P8" s="32"/>
      <c r="Q8" s="32"/>
      <c r="R8" s="32"/>
      <c r="S8" s="32"/>
      <c r="T8" s="32"/>
      <c r="U8" s="11"/>
    </row>
    <row r="9" customFormat="false" ht="15" hidden="false" customHeight="false" outlineLevel="0" collapsed="false">
      <c r="A9" s="21" t="n">
        <v>4</v>
      </c>
      <c r="B9" s="30" t="n">
        <f aca="false">IF($D$3="","",$D$3+7*(A9-1))</f>
        <v>47052</v>
      </c>
      <c r="C9" s="31" t="n">
        <f aca="false">COUNTIFS(Termine!$A$6:$A$204,A9,Termine!$S$6:$S$204,"veröffentlicht")</f>
        <v>0</v>
      </c>
      <c r="D9" s="32"/>
      <c r="E9" s="32"/>
      <c r="F9" s="32"/>
      <c r="G9" s="33" t="str">
        <f aca="false">IF(OR(E9="",F9="",N(E9)=0),"",F9/E9)</f>
        <v/>
      </c>
      <c r="H9" s="32"/>
      <c r="I9" s="32"/>
      <c r="J9" s="32"/>
      <c r="K9" s="32"/>
      <c r="L9" s="32"/>
      <c r="M9" s="32"/>
      <c r="N9" s="32"/>
      <c r="O9" s="32"/>
      <c r="P9" s="32"/>
      <c r="Q9" s="32"/>
      <c r="R9" s="32"/>
      <c r="S9" s="32"/>
      <c r="T9" s="32"/>
      <c r="U9" s="11"/>
    </row>
    <row r="10" customFormat="false" ht="15" hidden="false" customHeight="false" outlineLevel="0" collapsed="false">
      <c r="A10" s="21" t="n">
        <v>5</v>
      </c>
      <c r="B10" s="30" t="n">
        <f aca="false">IF($D$3="","",$D$3+7*(A10-1))</f>
        <v>47059</v>
      </c>
      <c r="C10" s="31" t="n">
        <f aca="false">COUNTIFS(Termine!$A$6:$A$204,A10,Termine!$S$6:$S$204,"veröffentlicht")</f>
        <v>0</v>
      </c>
      <c r="D10" s="32"/>
      <c r="E10" s="32"/>
      <c r="F10" s="32"/>
      <c r="G10" s="33" t="str">
        <f aca="false">IF(OR(E10="",F10="",N(E10)=0),"",F10/E10)</f>
        <v/>
      </c>
      <c r="H10" s="32"/>
      <c r="I10" s="32"/>
      <c r="J10" s="32"/>
      <c r="K10" s="32"/>
      <c r="L10" s="32"/>
      <c r="M10" s="32"/>
      <c r="N10" s="32"/>
      <c r="O10" s="32"/>
      <c r="P10" s="32"/>
      <c r="Q10" s="32"/>
      <c r="R10" s="32"/>
      <c r="S10" s="32"/>
      <c r="T10" s="32"/>
      <c r="U10" s="11"/>
    </row>
    <row r="11" customFormat="false" ht="15" hidden="false" customHeight="false" outlineLevel="0" collapsed="false">
      <c r="A11" s="21" t="n">
        <v>6</v>
      </c>
      <c r="B11" s="30" t="n">
        <f aca="false">IF($D$3="","",$D$3+7*(A11-1))</f>
        <v>47066</v>
      </c>
      <c r="C11" s="31" t="n">
        <f aca="false">COUNTIFS(Termine!$A$6:$A$204,A11,Termine!$S$6:$S$204,"veröffentlicht")</f>
        <v>0</v>
      </c>
      <c r="D11" s="32"/>
      <c r="E11" s="32"/>
      <c r="F11" s="32"/>
      <c r="G11" s="33" t="str">
        <f aca="false">IF(OR(E11="",F11="",N(E11)=0),"",F11/E11)</f>
        <v/>
      </c>
      <c r="H11" s="32"/>
      <c r="I11" s="32"/>
      <c r="J11" s="32"/>
      <c r="K11" s="32"/>
      <c r="L11" s="32"/>
      <c r="M11" s="32"/>
      <c r="N11" s="32"/>
      <c r="O11" s="32"/>
      <c r="P11" s="32"/>
      <c r="Q11" s="32"/>
      <c r="R11" s="32"/>
      <c r="S11" s="32"/>
      <c r="T11" s="32"/>
      <c r="U11" s="11"/>
    </row>
    <row r="12" customFormat="false" ht="15" hidden="false" customHeight="false" outlineLevel="0" collapsed="false">
      <c r="A12" s="21" t="n">
        <v>7</v>
      </c>
      <c r="B12" s="30" t="n">
        <f aca="false">IF($D$3="","",$D$3+7*(A12-1))</f>
        <v>47073</v>
      </c>
      <c r="C12" s="31" t="n">
        <f aca="false">COUNTIFS(Termine!$A$6:$A$204,A12,Termine!$S$6:$S$204,"veröffentlicht")</f>
        <v>0</v>
      </c>
      <c r="D12" s="32"/>
      <c r="E12" s="32"/>
      <c r="F12" s="32"/>
      <c r="G12" s="33" t="str">
        <f aca="false">IF(OR(E12="",F12="",N(E12)=0),"",F12/E12)</f>
        <v/>
      </c>
      <c r="H12" s="32"/>
      <c r="I12" s="32"/>
      <c r="J12" s="32"/>
      <c r="K12" s="32"/>
      <c r="L12" s="32"/>
      <c r="M12" s="32"/>
      <c r="N12" s="32"/>
      <c r="O12" s="32"/>
      <c r="P12" s="32"/>
      <c r="Q12" s="32"/>
      <c r="R12" s="32"/>
      <c r="S12" s="32"/>
      <c r="T12" s="32"/>
      <c r="U12" s="11"/>
    </row>
    <row r="13" customFormat="false" ht="15" hidden="false" customHeight="false" outlineLevel="0" collapsed="false">
      <c r="A13" s="21" t="n">
        <v>8</v>
      </c>
      <c r="B13" s="30" t="n">
        <f aca="false">IF($D$3="","",$D$3+7*(A13-1))</f>
        <v>47080</v>
      </c>
      <c r="C13" s="31" t="n">
        <f aca="false">COUNTIFS(Termine!$A$6:$A$204,A13,Termine!$S$6:$S$204,"veröffentlicht")</f>
        <v>0</v>
      </c>
      <c r="D13" s="32"/>
      <c r="E13" s="32"/>
      <c r="F13" s="32"/>
      <c r="G13" s="33" t="str">
        <f aca="false">IF(OR(E13="",F13="",N(E13)=0),"",F13/E13)</f>
        <v/>
      </c>
      <c r="H13" s="32"/>
      <c r="I13" s="32"/>
      <c r="J13" s="32"/>
      <c r="K13" s="32"/>
      <c r="L13" s="32"/>
      <c r="M13" s="32"/>
      <c r="N13" s="32"/>
      <c r="O13" s="32"/>
      <c r="P13" s="32"/>
      <c r="Q13" s="32"/>
      <c r="R13" s="32"/>
      <c r="S13" s="32"/>
      <c r="T13" s="32"/>
      <c r="U13" s="11"/>
    </row>
    <row r="14" customFormat="false" ht="15" hidden="false" customHeight="false" outlineLevel="0" collapsed="false">
      <c r="A14" s="21" t="n">
        <v>9</v>
      </c>
      <c r="B14" s="30" t="n">
        <f aca="false">IF($D$3="","",$D$3+7*(A14-1))</f>
        <v>47087</v>
      </c>
      <c r="C14" s="31" t="n">
        <f aca="false">COUNTIFS(Termine!$A$6:$A$204,A14,Termine!$S$6:$S$204,"veröffentlicht")</f>
        <v>0</v>
      </c>
      <c r="D14" s="32"/>
      <c r="E14" s="32"/>
      <c r="F14" s="32"/>
      <c r="G14" s="33" t="str">
        <f aca="false">IF(OR(E14="",F14="",N(E14)=0),"",F14/E14)</f>
        <v/>
      </c>
      <c r="H14" s="32"/>
      <c r="I14" s="32"/>
      <c r="J14" s="32"/>
      <c r="K14" s="32"/>
      <c r="L14" s="32"/>
      <c r="M14" s="32"/>
      <c r="N14" s="32"/>
      <c r="O14" s="32"/>
      <c r="P14" s="32"/>
      <c r="Q14" s="32"/>
      <c r="R14" s="32"/>
      <c r="S14" s="32"/>
      <c r="T14" s="32"/>
      <c r="U14" s="11"/>
    </row>
    <row r="15" customFormat="false" ht="15" hidden="false" customHeight="false" outlineLevel="0" collapsed="false">
      <c r="A15" s="21" t="n">
        <v>10</v>
      </c>
      <c r="B15" s="30" t="n">
        <f aca="false">IF($D$3="","",$D$3+7*(A15-1))</f>
        <v>47094</v>
      </c>
      <c r="C15" s="31" t="n">
        <f aca="false">COUNTIFS(Termine!$A$6:$A$204,A15,Termine!$S$6:$S$204,"veröffentlicht")</f>
        <v>0</v>
      </c>
      <c r="D15" s="32"/>
      <c r="E15" s="32"/>
      <c r="F15" s="32"/>
      <c r="G15" s="33" t="str">
        <f aca="false">IF(OR(E15="",F15="",N(E15)=0),"",F15/E15)</f>
        <v/>
      </c>
      <c r="H15" s="32"/>
      <c r="I15" s="32"/>
      <c r="J15" s="32"/>
      <c r="K15" s="32"/>
      <c r="L15" s="32"/>
      <c r="M15" s="32"/>
      <c r="N15" s="32"/>
      <c r="O15" s="32"/>
      <c r="P15" s="32"/>
      <c r="Q15" s="32"/>
      <c r="R15" s="32"/>
      <c r="S15" s="32"/>
      <c r="T15" s="32"/>
      <c r="U15" s="11"/>
    </row>
    <row r="16" customFormat="false" ht="15" hidden="false" customHeight="false" outlineLevel="0" collapsed="false">
      <c r="A16" s="21" t="n">
        <v>11</v>
      </c>
      <c r="B16" s="30" t="n">
        <f aca="false">IF($D$3="","",$D$3+7*(A16-1))</f>
        <v>47101</v>
      </c>
      <c r="C16" s="31" t="n">
        <f aca="false">COUNTIFS(Termine!$A$6:$A$204,A16,Termine!$S$6:$S$204,"veröffentlicht")</f>
        <v>0</v>
      </c>
      <c r="D16" s="32"/>
      <c r="E16" s="32"/>
      <c r="F16" s="32"/>
      <c r="G16" s="33" t="str">
        <f aca="false">IF(OR(E16="",F16="",N(E16)=0),"",F16/E16)</f>
        <v/>
      </c>
      <c r="H16" s="32"/>
      <c r="I16" s="32"/>
      <c r="J16" s="32"/>
      <c r="K16" s="32"/>
      <c r="L16" s="32"/>
      <c r="M16" s="32"/>
      <c r="N16" s="32"/>
      <c r="O16" s="32"/>
      <c r="P16" s="32"/>
      <c r="Q16" s="32"/>
      <c r="R16" s="32"/>
      <c r="S16" s="32"/>
      <c r="T16" s="32"/>
      <c r="U16" s="11"/>
    </row>
    <row r="17" customFormat="false" ht="15" hidden="false" customHeight="false" outlineLevel="0" collapsed="false">
      <c r="A17" s="21" t="n">
        <v>12</v>
      </c>
      <c r="B17" s="30" t="n">
        <f aca="false">IF($D$3="","",$D$3+7*(A17-1))</f>
        <v>47108</v>
      </c>
      <c r="C17" s="31" t="n">
        <f aca="false">COUNTIFS(Termine!$A$6:$A$204,A17,Termine!$S$6:$S$204,"veröffentlicht")</f>
        <v>0</v>
      </c>
      <c r="D17" s="32"/>
      <c r="E17" s="32"/>
      <c r="F17" s="32"/>
      <c r="G17" s="33" t="str">
        <f aca="false">IF(OR(E17="",F17="",N(E17)=0),"",F17/E17)</f>
        <v/>
      </c>
      <c r="H17" s="32"/>
      <c r="I17" s="32"/>
      <c r="J17" s="32"/>
      <c r="K17" s="32"/>
      <c r="L17" s="32"/>
      <c r="M17" s="32"/>
      <c r="N17" s="32"/>
      <c r="O17" s="32"/>
      <c r="P17" s="32"/>
      <c r="Q17" s="32"/>
      <c r="R17" s="32"/>
      <c r="S17" s="32"/>
      <c r="T17" s="32"/>
      <c r="U17" s="11"/>
    </row>
    <row r="18" customFormat="false" ht="15" hidden="false" customHeight="false" outlineLevel="0" collapsed="false">
      <c r="A18" s="21" t="n">
        <v>13</v>
      </c>
      <c r="B18" s="30" t="n">
        <f aca="false">IF($D$3="","",$D$3+7*(A18-1))</f>
        <v>47115</v>
      </c>
      <c r="C18" s="31" t="n">
        <f aca="false">COUNTIFS(Termine!$A$6:$A$204,A18,Termine!$S$6:$S$204,"veröffentlicht")</f>
        <v>0</v>
      </c>
      <c r="D18" s="32"/>
      <c r="E18" s="32"/>
      <c r="F18" s="32"/>
      <c r="G18" s="33" t="str">
        <f aca="false">IF(OR(E18="",F18="",N(E18)=0),"",F18/E18)</f>
        <v/>
      </c>
      <c r="H18" s="32"/>
      <c r="I18" s="32"/>
      <c r="J18" s="32"/>
      <c r="K18" s="32"/>
      <c r="L18" s="32"/>
      <c r="M18" s="32"/>
      <c r="N18" s="32"/>
      <c r="O18" s="32"/>
      <c r="P18" s="32"/>
      <c r="Q18" s="32"/>
      <c r="R18" s="32"/>
      <c r="S18" s="32"/>
      <c r="T18" s="32"/>
      <c r="U18" s="11"/>
    </row>
    <row r="19" customFormat="false" ht="32.8" hidden="false" customHeight="false" outlineLevel="0" collapsed="false">
      <c r="A19" s="34" t="s">
        <v>285</v>
      </c>
      <c r="C19" s="19" t="n">
        <f aca="false">SUM(C6:C18)</f>
        <v>0</v>
      </c>
      <c r="D19" s="19" t="str">
        <f aca="false">IF(COUNT(D6:D18)=0,"",INDEX(D6:D18,MATCH(9.99E+307,D6:D18)))</f>
        <v/>
      </c>
      <c r="E19" s="19" t="str">
        <f aca="false">IF(COUNT(E6:E18)=0,"",AVERAGE(E6:E18))</f>
        <v/>
      </c>
      <c r="F19" s="19" t="str">
        <f aca="false">IF(COUNT(F6:F18)=0,"",AVERAGE(F6:F18))</f>
        <v/>
      </c>
      <c r="G19" s="35" t="str">
        <f aca="false">IF(COUNT(G6:G18)=0,"",AVERAGE(G6:G18))</f>
        <v/>
      </c>
      <c r="H19" s="19" t="str">
        <f aca="false">IF(COUNT(H6:H18)=0,"",SUM(H6:H18))</f>
        <v/>
      </c>
      <c r="I19" s="19" t="str">
        <f aca="false">IF(COUNT(I6:I18)=0,"",SUM(I6:I18))</f>
        <v/>
      </c>
      <c r="J19" s="19" t="str">
        <f aca="false">IF(COUNT(J6:J18)=0,"",SUM(J6:J18))</f>
        <v/>
      </c>
      <c r="K19" s="19" t="str">
        <f aca="false">IF(COUNT(K6:K18)=0,"",SUM(K6:K18))</f>
        <v/>
      </c>
      <c r="L19" s="19" t="str">
        <f aca="false">IF(COUNT(L6:L18)=0,"",SUM(L6:L18))</f>
        <v/>
      </c>
      <c r="M19" s="19" t="str">
        <f aca="false">IF(COUNT(M6:M18)=0,"",SUM(M6:M18))</f>
        <v/>
      </c>
      <c r="N19" s="19" t="str">
        <f aca="false">IF(COUNT(N6:N18)=0,"",SUM(N6:N18))</f>
        <v/>
      </c>
      <c r="O19" s="19" t="str">
        <f aca="false">IF(COUNT(O6:O18)=0,"",SUM(O6:O18))</f>
        <v/>
      </c>
      <c r="P19" s="19" t="str">
        <f aca="false">IF(COUNT(P6:P18)=0,"",SUM(P6:P18))</f>
        <v/>
      </c>
      <c r="Q19" s="19" t="str">
        <f aca="false">IF(COUNT(Q6:Q18)=0,"",SUM(Q6:Q18))</f>
        <v/>
      </c>
      <c r="R19" s="19" t="str">
        <f aca="false">IF(COUNT(R6:R18)=0,"",SUM(R6:R18))</f>
        <v/>
      </c>
      <c r="S19" s="19" t="str">
        <f aca="false">IF(COUNT(S6:S18)=0,"",SUM(S6:S18))</f>
        <v/>
      </c>
      <c r="T19" s="19" t="str">
        <f aca="false">IF(COUNT(T6:T18)=0,"",AVERAGE(T6:T18))</f>
        <v/>
      </c>
      <c r="U19" s="36" t="s">
        <v>286</v>
      </c>
    </row>
    <row r="21" customFormat="false" ht="15" hidden="false" customHeight="false" outlineLevel="0" collapsed="false">
      <c r="A21" s="3" t="s">
        <v>287</v>
      </c>
    </row>
    <row r="22" customFormat="false" ht="15" hidden="false" customHeight="true" outlineLevel="0" collapsed="false">
      <c r="B22" s="4" t="s">
        <v>288</v>
      </c>
      <c r="C22" s="4"/>
      <c r="D22" s="4"/>
      <c r="E22" s="4" t="s">
        <v>289</v>
      </c>
      <c r="F22" s="4" t="s">
        <v>290</v>
      </c>
      <c r="G22" s="4" t="s">
        <v>291</v>
      </c>
      <c r="H22" s="4"/>
      <c r="I22" s="4"/>
    </row>
    <row r="23" customFormat="false" ht="15" hidden="false" customHeight="true" outlineLevel="0" collapsed="false">
      <c r="B23" s="5" t="s">
        <v>292</v>
      </c>
      <c r="C23" s="5"/>
      <c r="D23" s="5"/>
      <c r="E23" s="37"/>
      <c r="F23" s="31" t="str">
        <f aca="false">E19</f>
        <v/>
      </c>
      <c r="G23" s="38" t="str">
        <f aca="false">IF(E23="","kein Soll festgelegt",IF(F23="","noch kein Ist",IF(F23&gt;=E23,"erreicht","nicht erreicht")))</f>
        <v>kein Soll festgelegt</v>
      </c>
      <c r="H23" s="38"/>
      <c r="I23" s="38"/>
    </row>
    <row r="24" customFormat="false" ht="15" hidden="false" customHeight="true" outlineLevel="0" collapsed="false">
      <c r="B24" s="5" t="s">
        <v>293</v>
      </c>
      <c r="C24" s="5"/>
      <c r="D24" s="5"/>
      <c r="E24" s="39"/>
      <c r="F24" s="33" t="str">
        <f aca="false">G19</f>
        <v/>
      </c>
      <c r="G24" s="38" t="str">
        <f aca="false">IF(E24="","kein Soll festgelegt",IF(F24="","noch kein Ist",IF(F24&gt;=E24,"erreicht","nicht erreicht")))</f>
        <v>kein Soll festgelegt</v>
      </c>
      <c r="H24" s="38"/>
      <c r="I24" s="38"/>
    </row>
    <row r="25" customFormat="false" ht="15" hidden="false" customHeight="true" outlineLevel="0" collapsed="false">
      <c r="B25" s="5" t="s">
        <v>294</v>
      </c>
      <c r="C25" s="5"/>
      <c r="D25" s="5"/>
      <c r="E25" s="37"/>
      <c r="F25" s="31" t="str">
        <f aca="false">H19</f>
        <v/>
      </c>
      <c r="G25" s="38" t="str">
        <f aca="false">IF(E25="","kein Soll festgelegt",IF(F25="","noch kein Ist",IF(F25&gt;=E25,"erreicht","nicht erreicht")))</f>
        <v>kein Soll festgelegt</v>
      </c>
      <c r="H25" s="38"/>
      <c r="I25" s="38"/>
    </row>
    <row r="26" customFormat="false" ht="15" hidden="false" customHeight="true" outlineLevel="0" collapsed="false">
      <c r="B26" s="5" t="s">
        <v>295</v>
      </c>
      <c r="C26" s="5"/>
      <c r="D26" s="5"/>
      <c r="E26" s="37"/>
      <c r="F26" s="31" t="str">
        <f aca="false">I19</f>
        <v/>
      </c>
      <c r="G26" s="38" t="str">
        <f aca="false">IF(E26="","kein Soll festgelegt",IF(F26="","noch kein Ist",IF(F26&gt;=E26,"erreicht","nicht erreicht")))</f>
        <v>kein Soll festgelegt</v>
      </c>
      <c r="H26" s="38"/>
      <c r="I26" s="38"/>
    </row>
    <row r="27" customFormat="false" ht="15" hidden="false" customHeight="true" outlineLevel="0" collapsed="false">
      <c r="B27" s="5" t="s">
        <v>296</v>
      </c>
      <c r="C27" s="5"/>
      <c r="D27" s="5"/>
      <c r="E27" s="37"/>
      <c r="F27" s="31" t="str">
        <f aca="false">M19</f>
        <v/>
      </c>
      <c r="G27" s="38" t="str">
        <f aca="false">IF(E27="","kein Soll festgelegt",IF(F27="","noch kein Ist",IF(F27&gt;=E27,"erreicht","nicht erreicht")))</f>
        <v>kein Soll festgelegt</v>
      </c>
      <c r="H27" s="38"/>
      <c r="I27" s="38"/>
    </row>
    <row r="28" customFormat="false" ht="15" hidden="false" customHeight="true" outlineLevel="0" collapsed="false">
      <c r="B28" s="5" t="s">
        <v>297</v>
      </c>
      <c r="C28" s="5"/>
      <c r="D28" s="5"/>
      <c r="E28" s="37"/>
      <c r="F28" s="31" t="str">
        <f aca="false">Q19</f>
        <v/>
      </c>
      <c r="G28" s="38" t="str">
        <f aca="false">IF(E28="","kein Soll festgelegt",IF(F28="","noch kein Ist",IF(F28&gt;=E28,"erreicht","nicht erreicht")))</f>
        <v>kein Soll festgelegt</v>
      </c>
      <c r="H28" s="38"/>
      <c r="I28" s="38"/>
    </row>
    <row r="29" customFormat="false" ht="15" hidden="false" customHeight="true" outlineLevel="0" collapsed="false">
      <c r="B29" s="5" t="s">
        <v>298</v>
      </c>
      <c r="C29" s="5"/>
      <c r="D29" s="5"/>
      <c r="E29" s="37"/>
      <c r="F29" s="31" t="str">
        <f aca="false">D19</f>
        <v/>
      </c>
      <c r="G29" s="38" t="str">
        <f aca="false">IF(E29="","kein Soll festgelegt",IF(F29="","noch kein Ist",IF(F29&gt;=E29,"erreicht","nicht erreicht")))</f>
        <v>kein Soll festgelegt</v>
      </c>
      <c r="H29" s="38"/>
      <c r="I29" s="38"/>
    </row>
    <row r="30" customFormat="false" ht="15" hidden="false" customHeight="true" outlineLevel="0" collapsed="false">
      <c r="B30" s="5" t="s">
        <v>299</v>
      </c>
      <c r="C30" s="5"/>
      <c r="D30" s="5"/>
      <c r="E30" s="37"/>
      <c r="F30" s="31" t="str">
        <f aca="false">S19</f>
        <v/>
      </c>
      <c r="G30" s="38" t="str">
        <f aca="false">IF(E30="","kein Soll festgelegt",IF(F30="","noch kein Ist",IF(F30&gt;=E30,"erreicht","nicht erreicht")))</f>
        <v>kein Soll festgelegt</v>
      </c>
      <c r="H30" s="38"/>
      <c r="I30" s="38"/>
    </row>
    <row r="31" customFormat="false" ht="23.85" hidden="false" customHeight="true" outlineLevel="0" collapsed="false">
      <c r="B31" s="5" t="s">
        <v>300</v>
      </c>
      <c r="C31" s="5"/>
      <c r="D31" s="5"/>
      <c r="E31" s="37" t="n">
        <v>180</v>
      </c>
      <c r="F31" s="31" t="str">
        <f aca="false">T19</f>
        <v/>
      </c>
      <c r="G31" s="38" t="str">
        <f aca="false">IF(E31="","kein Soll festgelegt",IF(F31="","noch kein Ist",IF(F31&lt;E31,"erreicht","nicht erreicht")))</f>
        <v>noch kein Ist</v>
      </c>
      <c r="H31" s="38"/>
      <c r="I31" s="38"/>
    </row>
    <row r="33" customFormat="false" ht="15" hidden="false" customHeight="false" outlineLevel="0" collapsed="false">
      <c r="A33" s="3" t="s">
        <v>301</v>
      </c>
    </row>
    <row r="34" customFormat="false" ht="23.85" hidden="false" customHeight="true" outlineLevel="0" collapsed="false">
      <c r="B34" s="5" t="s">
        <v>302</v>
      </c>
      <c r="C34" s="5"/>
      <c r="D34" s="5"/>
      <c r="E34" s="11"/>
      <c r="F34" s="11"/>
      <c r="G34" s="11"/>
      <c r="H34" s="11"/>
      <c r="I34" s="11"/>
      <c r="J34" s="11"/>
      <c r="K34" s="11"/>
      <c r="L34" s="11"/>
    </row>
    <row r="35" customFormat="false" ht="15" hidden="false" customHeight="true" outlineLevel="0" collapsed="false">
      <c r="B35" s="5" t="s">
        <v>175</v>
      </c>
      <c r="C35" s="5"/>
      <c r="D35" s="5"/>
      <c r="E35" s="12"/>
      <c r="F35" s="12"/>
      <c r="G35" s="12"/>
      <c r="H35" s="12"/>
      <c r="I35" s="12"/>
      <c r="J35" s="12"/>
      <c r="K35" s="12"/>
      <c r="L35" s="12"/>
    </row>
    <row r="36" customFormat="false" ht="15" hidden="false" customHeight="true" outlineLevel="0" collapsed="false">
      <c r="B36" s="5" t="s">
        <v>303</v>
      </c>
      <c r="C36" s="5"/>
      <c r="D36" s="5"/>
      <c r="E36" s="11"/>
      <c r="F36" s="11"/>
      <c r="G36" s="11"/>
      <c r="H36" s="11"/>
      <c r="I36" s="11"/>
      <c r="J36" s="11"/>
      <c r="K36" s="11"/>
      <c r="L36" s="11"/>
    </row>
    <row r="37" customFormat="false" ht="15" hidden="false" customHeight="true" outlineLevel="0" collapsed="false">
      <c r="B37" s="5" t="s">
        <v>304</v>
      </c>
      <c r="C37" s="5"/>
      <c r="D37" s="5"/>
      <c r="E37" s="11"/>
      <c r="F37" s="11"/>
      <c r="G37" s="11"/>
      <c r="H37" s="11"/>
      <c r="I37" s="11"/>
      <c r="J37" s="11"/>
      <c r="K37" s="11"/>
      <c r="L37" s="11"/>
    </row>
    <row r="39" customFormat="false" ht="27.75" hidden="false" customHeight="true" outlineLevel="0" collapsed="false">
      <c r="B39" s="40" t="s">
        <v>305</v>
      </c>
      <c r="C39" s="40"/>
      <c r="D39" s="40"/>
      <c r="E39" s="40"/>
      <c r="F39" s="40"/>
      <c r="G39" s="40"/>
      <c r="H39" s="40"/>
      <c r="I39" s="40"/>
      <c r="J39" s="40"/>
      <c r="K39" s="40"/>
      <c r="L39" s="40"/>
      <c r="M39" s="40"/>
    </row>
  </sheetData>
  <mergeCells count="29">
    <mergeCell ref="B22:D22"/>
    <mergeCell ref="G22:I22"/>
    <mergeCell ref="B23:D23"/>
    <mergeCell ref="G23:I23"/>
    <mergeCell ref="B24:D24"/>
    <mergeCell ref="G24:I24"/>
    <mergeCell ref="B25:D25"/>
    <mergeCell ref="G25:I25"/>
    <mergeCell ref="B26:D26"/>
    <mergeCell ref="G26:I26"/>
    <mergeCell ref="B27:D27"/>
    <mergeCell ref="G27:I27"/>
    <mergeCell ref="B28:D28"/>
    <mergeCell ref="G28:I28"/>
    <mergeCell ref="B29:D29"/>
    <mergeCell ref="G29:I29"/>
    <mergeCell ref="B30:D30"/>
    <mergeCell ref="G30:I30"/>
    <mergeCell ref="B31:D31"/>
    <mergeCell ref="G31:I31"/>
    <mergeCell ref="B34:D34"/>
    <mergeCell ref="E34:L34"/>
    <mergeCell ref="B35:D35"/>
    <mergeCell ref="E35:L35"/>
    <mergeCell ref="B36:D36"/>
    <mergeCell ref="E36:L36"/>
    <mergeCell ref="B37:D37"/>
    <mergeCell ref="E37:L37"/>
    <mergeCell ref="B39:M39"/>
  </mergeCells>
  <dataValidations count="2">
    <dataValidation allowBlank="true" errorStyle="stop" operator="between" showDropDown="false" showErrorMessage="false" showInputMessage="false" sqref="E34" type="list">
      <formula1>"fortsetzen,Format ändern,einstellen"</formula1>
      <formula2>0</formula2>
    </dataValidation>
    <dataValidation allowBlank="true" errorStyle="stop" operator="between" showDropDown="false" showErrorMessage="false" showInputMessage="false" sqref="E37"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4"/>
    <col collapsed="false" customWidth="true" hidden="false" outlineLevel="0" max="4" min="4" style="0" width="80"/>
  </cols>
  <sheetData>
    <row r="1" customFormat="false" ht="19.7" hidden="false" customHeight="false" outlineLevel="0" collapsed="false">
      <c r="A1" s="1" t="s">
        <v>306</v>
      </c>
    </row>
    <row r="2" customFormat="false" ht="15" hidden="false" customHeight="false" outlineLevel="0" collapsed="false">
      <c r="A2" s="2" t="s">
        <v>1</v>
      </c>
    </row>
    <row r="3" customFormat="false" ht="15" hidden="false" customHeight="false" outlineLevel="0" collapsed="false">
      <c r="A3" s="2" t="s">
        <v>307</v>
      </c>
    </row>
    <row r="5" customFormat="false" ht="15" hidden="false" customHeight="false" outlineLevel="0" collapsed="false">
      <c r="A5" s="4" t="s">
        <v>308</v>
      </c>
      <c r="B5" s="4" t="s">
        <v>309</v>
      </c>
      <c r="C5" s="4" t="s">
        <v>310</v>
      </c>
      <c r="D5" s="4" t="s">
        <v>311</v>
      </c>
    </row>
    <row r="6" customFormat="false" ht="15" hidden="false" customHeight="false" outlineLevel="0" collapsed="false">
      <c r="A6" s="21" t="n">
        <v>1</v>
      </c>
      <c r="B6" s="30" t="n">
        <f aca="false">IF(Messung!$D$3="","",Messung!$D$3+7*(A6-1))</f>
        <v>47031</v>
      </c>
      <c r="C6" s="30" t="n">
        <f aca="false">IF(B6="","",B6+6)</f>
        <v>47037</v>
      </c>
      <c r="D6" s="6" t="str">
        <f aca="false">IFERROR(INDEX($B$24:$B$29,MATCH(A6,$C$24:$C$29,0)),"")</f>
        <v/>
      </c>
    </row>
    <row r="7" customFormat="false" ht="15" hidden="false" customHeight="false" outlineLevel="0" collapsed="false">
      <c r="A7" s="21" t="n">
        <v>2</v>
      </c>
      <c r="B7" s="30" t="n">
        <f aca="false">IF(Messung!$D$3="","",Messung!$D$3+7*(A7-1))</f>
        <v>47038</v>
      </c>
      <c r="C7" s="30" t="n">
        <f aca="false">IF(B7="","",B7+6)</f>
        <v>47044</v>
      </c>
      <c r="D7" s="6" t="str">
        <f aca="false">IFERROR(INDEX($B$24:$B$29,MATCH(A7,$C$24:$C$29,0)),"")</f>
        <v/>
      </c>
    </row>
    <row r="8" customFormat="false" ht="15" hidden="false" customHeight="false" outlineLevel="0" collapsed="false">
      <c r="A8" s="21" t="n">
        <v>3</v>
      </c>
      <c r="B8" s="30" t="n">
        <f aca="false">IF(Messung!$D$3="","",Messung!$D$3+7*(A8-1))</f>
        <v>47045</v>
      </c>
      <c r="C8" s="30" t="n">
        <f aca="false">IF(B8="","",B8+6)</f>
        <v>47051</v>
      </c>
      <c r="D8" s="6" t="str">
        <f aca="false">IFERROR(INDEX($B$24:$B$29,MATCH(A8,$C$24:$C$29,0)),"")</f>
        <v/>
      </c>
    </row>
    <row r="9" customFormat="false" ht="15" hidden="false" customHeight="false" outlineLevel="0" collapsed="false">
      <c r="A9" s="21" t="n">
        <v>4</v>
      </c>
      <c r="B9" s="30" t="n">
        <f aca="false">IF(Messung!$D$3="","",Messung!$D$3+7*(A9-1))</f>
        <v>47052</v>
      </c>
      <c r="C9" s="30" t="n">
        <f aca="false">IF(B9="","",B9+6)</f>
        <v>47058</v>
      </c>
      <c r="D9" s="6" t="str">
        <f aca="false">IFERROR(INDEX($B$24:$B$29,MATCH(A9,$C$24:$C$29,0)),"")</f>
        <v/>
      </c>
    </row>
    <row r="10" customFormat="false" ht="15" hidden="false" customHeight="false" outlineLevel="0" collapsed="false">
      <c r="A10" s="21" t="n">
        <v>5</v>
      </c>
      <c r="B10" s="30" t="n">
        <f aca="false">IF(Messung!$D$3="","",Messung!$D$3+7*(A10-1))</f>
        <v>47059</v>
      </c>
      <c r="C10" s="30" t="n">
        <f aca="false">IF(B10="","",B10+6)</f>
        <v>47065</v>
      </c>
      <c r="D10" s="6" t="str">
        <f aca="false">IFERROR(INDEX($B$24:$B$29,MATCH(A10,$C$24:$C$29,0)),"")</f>
        <v/>
      </c>
    </row>
    <row r="11" customFormat="false" ht="15" hidden="false" customHeight="false" outlineLevel="0" collapsed="false">
      <c r="A11" s="21" t="n">
        <v>6</v>
      </c>
      <c r="B11" s="30" t="n">
        <f aca="false">IF(Messung!$D$3="","",Messung!$D$3+7*(A11-1))</f>
        <v>47066</v>
      </c>
      <c r="C11" s="30" t="n">
        <f aca="false">IF(B11="","",B11+6)</f>
        <v>47072</v>
      </c>
      <c r="D11" s="6" t="str">
        <f aca="false">IFERROR(INDEX($B$24:$B$29,MATCH(A11,$C$24:$C$29,0)),"")</f>
        <v>Sessionsauftakt Karneval (Samstag)</v>
      </c>
    </row>
    <row r="12" customFormat="false" ht="15" hidden="false" customHeight="false" outlineLevel="0" collapsed="false">
      <c r="A12" s="21" t="n">
        <v>7</v>
      </c>
      <c r="B12" s="30" t="n">
        <f aca="false">IF(Messung!$D$3="","",Messung!$D$3+7*(A12-1))</f>
        <v>47073</v>
      </c>
      <c r="C12" s="30" t="n">
        <f aca="false">IF(B12="","",B12+6)</f>
        <v>47079</v>
      </c>
      <c r="D12" s="6" t="str">
        <f aca="false">IFERROR(INDEX($B$24:$B$29,MATCH(A12,$C$24:$C$29,0)),"")</f>
        <v/>
      </c>
    </row>
    <row r="13" customFormat="false" ht="15" hidden="false" customHeight="false" outlineLevel="0" collapsed="false">
      <c r="A13" s="21" t="n">
        <v>8</v>
      </c>
      <c r="B13" s="30" t="n">
        <f aca="false">IF(Messung!$D$3="","",Messung!$D$3+7*(A13-1))</f>
        <v>47080</v>
      </c>
      <c r="C13" s="30" t="n">
        <f aca="false">IF(B13="","",B13+6)</f>
        <v>47086</v>
      </c>
      <c r="D13" s="6" t="str">
        <f aca="false">IFERROR(INDEX($B$24:$B$29,MATCH(A13,$C$24:$C$29,0)),"")</f>
        <v/>
      </c>
    </row>
    <row r="14" customFormat="false" ht="15" hidden="false" customHeight="false" outlineLevel="0" collapsed="false">
      <c r="A14" s="21" t="n">
        <v>9</v>
      </c>
      <c r="B14" s="30" t="n">
        <f aca="false">IF(Messung!$D$3="","",Messung!$D$3+7*(A14-1))</f>
        <v>47087</v>
      </c>
      <c r="C14" s="30" t="n">
        <f aca="false">IF(B14="","",B14+6)</f>
        <v>47093</v>
      </c>
      <c r="D14" s="6" t="str">
        <f aca="false">IFERROR(INDEX($B$24:$B$29,MATCH(A14,$C$24:$C$29,0)),"")</f>
        <v>Welt-Aids-Tag (Freitag)</v>
      </c>
    </row>
    <row r="15" customFormat="false" ht="15" hidden="false" customHeight="false" outlineLevel="0" collapsed="false">
      <c r="A15" s="21" t="n">
        <v>10</v>
      </c>
      <c r="B15" s="30" t="n">
        <f aca="false">IF(Messung!$D$3="","",Messung!$D$3+7*(A15-1))</f>
        <v>47094</v>
      </c>
      <c r="C15" s="30" t="n">
        <f aca="false">IF(B15="","",B15+6)</f>
        <v>47100</v>
      </c>
      <c r="D15" s="6" t="str">
        <f aca="false">IFERROR(INDEX($B$24:$B$29,MATCH(A15,$C$24:$C$29,0)),"")</f>
        <v/>
      </c>
    </row>
    <row r="16" customFormat="false" ht="15" hidden="false" customHeight="false" outlineLevel="0" collapsed="false">
      <c r="A16" s="21" t="n">
        <v>11</v>
      </c>
      <c r="B16" s="30" t="n">
        <f aca="false">IF(Messung!$D$3="","",Messung!$D$3+7*(A16-1))</f>
        <v>47101</v>
      </c>
      <c r="C16" s="30" t="n">
        <f aca="false">IF(B16="","",B16+6)</f>
        <v>47107</v>
      </c>
      <c r="D16" s="6" t="str">
        <f aca="false">IFERROR(INDEX($B$24:$B$29,MATCH(A16,$C$24:$C$29,0)),"")</f>
        <v/>
      </c>
    </row>
    <row r="17" customFormat="false" ht="15" hidden="false" customHeight="false" outlineLevel="0" collapsed="false">
      <c r="A17" s="21" t="n">
        <v>12</v>
      </c>
      <c r="B17" s="30" t="n">
        <f aca="false">IF(Messung!$D$3="","",Messung!$D$3+7*(A17-1))</f>
        <v>47108</v>
      </c>
      <c r="C17" s="30" t="n">
        <f aca="false">IF(B17="","",B17+6)</f>
        <v>47114</v>
      </c>
      <c r="D17" s="6" t="str">
        <f aca="false">IFERROR(INDEX($B$24:$B$29,MATCH(A17,$C$24:$C$29,0)),"")</f>
        <v>Heiligabend (Sonntag)</v>
      </c>
    </row>
    <row r="18" customFormat="false" ht="15" hidden="false" customHeight="false" outlineLevel="0" collapsed="false">
      <c r="A18" s="21" t="n">
        <v>13</v>
      </c>
      <c r="B18" s="30" t="n">
        <f aca="false">IF(Messung!$D$3="","",Messung!$D$3+7*(A18-1))</f>
        <v>47115</v>
      </c>
      <c r="C18" s="30" t="n">
        <f aca="false">IF(B18="","",B18+6)</f>
        <v>47121</v>
      </c>
      <c r="D18" s="6" t="str">
        <f aca="false">IFERROR(INDEX($B$24:$B$29,MATCH(A18,$C$24:$C$29,0)),"")</f>
        <v>Silvester (Sonntag)</v>
      </c>
    </row>
    <row r="19" customFormat="false" ht="15" hidden="false" customHeight="false" outlineLevel="0" collapsed="false">
      <c r="D19" s="13" t="s">
        <v>312</v>
      </c>
    </row>
    <row r="22" customFormat="false" ht="15" hidden="false" customHeight="false" outlineLevel="0" collapsed="false">
      <c r="A22" s="3" t="s">
        <v>313</v>
      </c>
    </row>
    <row r="23" customFormat="false" ht="15" hidden="false" customHeight="false" outlineLevel="0" collapsed="false">
      <c r="A23" s="4" t="s">
        <v>175</v>
      </c>
      <c r="B23" s="4" t="s">
        <v>314</v>
      </c>
      <c r="C23" s="4" t="s">
        <v>315</v>
      </c>
      <c r="D23" s="4" t="s">
        <v>23</v>
      </c>
    </row>
    <row r="24" customFormat="false" ht="23.85" hidden="false" customHeight="false" outlineLevel="0" collapsed="false">
      <c r="A24" s="41" t="n">
        <v>47068</v>
      </c>
      <c r="B24" s="5" t="s">
        <v>316</v>
      </c>
      <c r="C24" s="42" t="n">
        <f aca="false">IF(Messung!$D$3="","",IF(AND(A24&gt;=Messung!$D$3,A24&lt;Messung!$D$3+91),INT((A24-Messung!$D$3)/7)+1,"außerhalb"))</f>
        <v>6</v>
      </c>
      <c r="D24" s="6" t="s">
        <v>317</v>
      </c>
    </row>
    <row r="25" customFormat="false" ht="23.85" hidden="false" customHeight="false" outlineLevel="0" collapsed="false">
      <c r="A25" s="41" t="n">
        <v>47088</v>
      </c>
      <c r="B25" s="5" t="s">
        <v>318</v>
      </c>
      <c r="C25" s="42" t="n">
        <f aca="false">IF(Messung!$D$3="","",IF(AND(A25&gt;=Messung!$D$3,A25&lt;Messung!$D$3+91),INT((A25-Messung!$D$3)/7)+1,"außerhalb"))</f>
        <v>9</v>
      </c>
      <c r="D25" s="6" t="s">
        <v>319</v>
      </c>
    </row>
    <row r="26" customFormat="false" ht="23.85" hidden="false" customHeight="false" outlineLevel="0" collapsed="false">
      <c r="A26" s="41" t="n">
        <v>47111</v>
      </c>
      <c r="B26" s="5" t="s">
        <v>320</v>
      </c>
      <c r="C26" s="42" t="n">
        <f aca="false">IF(Messung!$D$3="","",IF(AND(A26&gt;=Messung!$D$3,A26&lt;Messung!$D$3+91),INT((A26-Messung!$D$3)/7)+1,"außerhalb"))</f>
        <v>12</v>
      </c>
      <c r="D26" s="6" t="s">
        <v>321</v>
      </c>
    </row>
    <row r="27" customFormat="false" ht="15" hidden="false" customHeight="false" outlineLevel="0" collapsed="false">
      <c r="A27" s="41" t="n">
        <v>47118</v>
      </c>
      <c r="B27" s="5" t="s">
        <v>322</v>
      </c>
      <c r="C27" s="42" t="n">
        <f aca="false">IF(Messung!$D$3="","",IF(AND(A27&gt;=Messung!$D$3,A27&lt;Messung!$D$3+91),INT((A27-Messung!$D$3)/7)+1,"außerhalb"))</f>
        <v>13</v>
      </c>
      <c r="D27" s="6" t="s">
        <v>323</v>
      </c>
    </row>
    <row r="28" customFormat="false" ht="23.85" hidden="false" customHeight="false" outlineLevel="0" collapsed="false">
      <c r="A28" s="41" t="n">
        <v>47157</v>
      </c>
      <c r="B28" s="5" t="s">
        <v>324</v>
      </c>
      <c r="C28" s="42" t="str">
        <f aca="false">IF(Messung!$D$3="","",IF(AND(A28&gt;=Messung!$D$3,A28&lt;Messung!$D$3+91),INT((A28-Messung!$D$3)/7)+1,"außerhalb"))</f>
        <v>außerhalb</v>
      </c>
      <c r="D28" s="6" t="s">
        <v>325</v>
      </c>
    </row>
    <row r="29" customFormat="false" ht="15" hidden="false" customHeight="false" outlineLevel="0" collapsed="false">
      <c r="A29" s="41" t="n">
        <v>47161</v>
      </c>
      <c r="B29" s="5" t="s">
        <v>326</v>
      </c>
      <c r="C29" s="42" t="str">
        <f aca="false">IF(Messung!$D$3="","",IF(AND(A29&gt;=Messung!$D$3,A29&lt;Messung!$D$3+91),INT((A29-Messung!$D$3)/7)+1,"außerhalb"))</f>
        <v>außerhalb</v>
      </c>
      <c r="D29" s="6" t="s">
        <v>327</v>
      </c>
    </row>
    <row r="31" customFormat="false" ht="15" hidden="false" customHeight="false" outlineLevel="0" collapsed="false">
      <c r="A31" s="25" t="s">
        <v>328</v>
      </c>
    </row>
    <row r="32" customFormat="false" ht="15" hidden="false" customHeight="false" outlineLevel="0" collapsed="false">
      <c r="A32" s="26" t="s">
        <v>329</v>
      </c>
    </row>
    <row r="33" customFormat="false" ht="15" hidden="false" customHeight="false" outlineLevel="0" collapsed="false">
      <c r="A33" s="26" t="s">
        <v>330</v>
      </c>
    </row>
    <row r="34" customFormat="false" ht="15" hidden="false" customHeight="false" outlineLevel="0" collapsed="false">
      <c r="A34" s="24" t="s">
        <v>331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2026-09-15T18:45:01Z</dcterms:created>
  <dc:creator>openpyxl</dc:creator>
  <dc:description/>
  <dc:language>en-US</dc:language>
  <cp:lastModifiedBy/>
  <dcterms:modified xsi:type="dcterms:W3CDTF">2026-09-15T18:45:01Z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