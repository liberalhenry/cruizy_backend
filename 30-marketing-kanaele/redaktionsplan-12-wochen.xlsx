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aktionsplan" sheetId="1" state="visible" r:id="rId3"/>
    <sheet name="Formate &amp; Regel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<sst xmlns="http://schemas.openxmlformats.org/spreadsheetml/2006/main" count="753" uniqueCount="377">
  <si>
    <t xml:space="preserve">Redaktionsplan Instagram + TikTok — 12 Wochen</t>
  </si>
  <si>
    <t xml:space="preserve">ENTWURF · Aufgabe A-05 · erstellt 26.07.2026 · Grundlage: Handbuch B Teil VII (fünf Säulen, Kanalrollen, „Trenden ist ein Ergebnis, kein Plan") · Fenster V3 laut zeitplan-bis-start.md — die Wochen sind relativ nummeriert, nicht datiert.</t>
  </si>
  <si>
    <t xml:space="preserve">LEGENDE: Gelbe Spalten (Status, Veröffentlicht am, Notiz) sind zum Ausfüllen. Alles andere ist Vorschlag und darf überschrieben werden. Kein Beitrag geht ohne Freigabe eines Gründers online. Zeile 5 ist ein ausgefülltes Beispiel und wird vor Gebrauch gelöscht.</t>
  </si>
  <si>
    <t xml:space="preserve">Woche</t>
  </si>
  <si>
    <t xml:space="preserve">Kanal</t>
  </si>
  <si>
    <t xml:space="preserve">Säule</t>
  </si>
  <si>
    <t xml:space="preserve">Arbeitstitel</t>
  </si>
  <si>
    <t xml:space="preserve">Kernaussage</t>
  </si>
  <si>
    <t xml:space="preserve">Format</t>
  </si>
  <si>
    <t xml:space="preserve">CTA</t>
  </si>
  <si>
    <t xml:space="preserve">Ereignis-Anker</t>
  </si>
  <si>
    <t xml:space="preserve">Status</t>
  </si>
  <si>
    <t xml:space="preserve">Veröffentlicht am</t>
  </si>
  <si>
    <t xml:space="preserve">Notiz / Ergebnis</t>
  </si>
  <si>
    <t xml:space="preserve">TikTok</t>
  </si>
  <si>
    <t xml:space="preserve">Bauen</t>
  </si>
  <si>
    <t xml:space="preserve">BEISPIELZEILE — vor Gebrauch löschen</t>
  </si>
  <si>
    <t xml:space="preserve">So sieht eine ausgefüllte Zeile aus.</t>
  </si>
  <si>
    <t xml:space="preserve">Talking Head</t>
  </si>
  <si>
    <t xml:space="preserve">Folgen</t>
  </si>
  <si>
    <t xml:space="preserve">Auftakt</t>
  </si>
  <si>
    <t xml:space="preserve">veröffentlicht</t>
  </si>
  <si>
    <t xml:space="preserve">03.10.2027</t>
  </si>
  <si>
    <t xml:space="preserve">1.240 Aufrufe, 18 Kommentare</t>
  </si>
  <si>
    <t xml:space="preserve">Tag 1</t>
  </si>
  <si>
    <t xml:space="preserve">Wir sind zwei Leute aus Deutschland und fangen heute an, etwas zu bauen. Ihr seht alles — auch das, was schiefgeht.</t>
  </si>
  <si>
    <t xml:space="preserve">Haltung</t>
  </si>
  <si>
    <t xml:space="preserve">Was mich beim letzten Öffnen genervt hat</t>
  </si>
  <si>
    <t xml:space="preserve">Eine konkrete Szene aus der eigenen Nutzung, ohne Produktnennung. Der Ärger, den alle kennen und niemand ausspricht.</t>
  </si>
  <si>
    <t xml:space="preserve">Kommentieren</t>
  </si>
  <si>
    <t xml:space="preserve">Instagram</t>
  </si>
  <si>
    <t xml:space="preserve">Wer wir sind</t>
  </si>
  <si>
    <t xml:space="preserve">Zwei Namen, zwei Rollen, ein Satz warum. Keine Startup-Sprache, keine Vision.</t>
  </si>
  <si>
    <t xml:space="preserve">Carousel</t>
  </si>
  <si>
    <t xml:space="preserve">Community</t>
  </si>
  <si>
    <t xml:space="preserve">Was nervt euch am meisten?</t>
  </si>
  <si>
    <t xml:space="preserve">Offene Frage in die Kamera. Die Antworten sind Marktforschung und zugleich Reichweite.</t>
  </si>
  <si>
    <t xml:space="preserve">Drei Dinge, die in Dating-Apps kaputt sind</t>
  </si>
  <si>
    <t xml:space="preserve">Keine Anklage, eine Beobachtung. Jede der drei ist später eine Produktentscheidung.</t>
  </si>
  <si>
    <t xml:space="preserve">Speichern</t>
  </si>
  <si>
    <t xml:space="preserve">Warum wir das öffentlich machen</t>
  </si>
  <si>
    <t xml:space="preserve">Wer alles zeigt, kann sich hinterher nicht herausreden. Das ist der Punkt.</t>
  </si>
  <si>
    <t xml:space="preserve">Woche 1</t>
  </si>
  <si>
    <t xml:space="preserve">Wochenrückblick als Story-Serie. Vier Bilder, keine Inszenierung.</t>
  </si>
  <si>
    <t xml:space="preserve">Story</t>
  </si>
  <si>
    <t xml:space="preserve">Antworten</t>
  </si>
  <si>
    <t xml:space="preserve">Was passiert eigentlich mit deinem Standort?</t>
  </si>
  <si>
    <t xml:space="preserve">Was Apps technisch mit Standortdaten tun können — allgemein, belegbar, ohne Namen zu nennen.</t>
  </si>
  <si>
    <t xml:space="preserve">Text-Overlay</t>
  </si>
  <si>
    <t xml:space="preserve">Vier Stunden beim Anwalt</t>
  </si>
  <si>
    <t xml:space="preserve">Was wir gefragt haben und was wir gelernt haben. Recht ist kein Hintergrundgeräusch, es ist das Fundament.</t>
  </si>
  <si>
    <t xml:space="preserve">Ghosting ist kein Charakterfehler</t>
  </si>
  <si>
    <t xml:space="preserve">Den meisten fehlt die Formulierung, nicht der Anstand. Das ist ein Designproblem.</t>
  </si>
  <si>
    <t xml:space="preserve">Teilen</t>
  </si>
  <si>
    <t xml:space="preserve">Die schlimmste erste Nachricht</t>
  </si>
  <si>
    <t xml:space="preserve">Frage an die Community. Die Antworten begründen später eine Produktentscheidung.</t>
  </si>
  <si>
    <t xml:space="preserve">Was diese Woche passiert ist</t>
  </si>
  <si>
    <t xml:space="preserve">Zwischenstand ohne Erfolgsmeldung. Auch: was nicht geklappt hat.</t>
  </si>
  <si>
    <t xml:space="preserve">Ortsporträts</t>
  </si>
  <si>
    <t xml:space="preserve">Warum wir mit 40 Kneipen reden statt Werbung zu schalten</t>
  </si>
  <si>
    <t xml:space="preserve">Bezahlte Werbung rechnet sich für uns nicht — hier ist die Rechnung. Beziehungen schon.</t>
  </si>
  <si>
    <t xml:space="preserve">Zwischenstand</t>
  </si>
  <si>
    <t xml:space="preserve">Story-Serie mit drei Bildern vom Arbeitsplatz, ohne Bildschirminhalte.</t>
  </si>
  <si>
    <t xml:space="preserve">Wir haben heute eine Funktion gestrichen</t>
  </si>
  <si>
    <t xml:space="preserve">Sie hätte Geld gebracht. Warum sie trotzdem raus ist.</t>
  </si>
  <si>
    <t xml:space="preserve">Warum es bei uns keine blauen Haken gibt</t>
  </si>
  <si>
    <t xml:space="preserve">Ein Häkchen sagt nichts über Sicherheit. Was wir stattdessen zeigen.</t>
  </si>
  <si>
    <t xml:space="preserve">Die Streichliste</t>
  </si>
  <si>
    <t xml:space="preserve">Was wir bewusst nicht bauen — und je einen Satz warum.</t>
  </si>
  <si>
    <t xml:space="preserve">Wie ein Gespräch mit einem Barbetreiber wirklich läuft</t>
  </si>
  <si>
    <t xml:space="preserve">Kein Pitch, eine Frage: Was würde Ihnen helfen, mittwochs mehr Leute reinzubekommen?</t>
  </si>
  <si>
    <t xml:space="preserve">Vier Entfernungsstufen statt Meterangaben</t>
  </si>
  <si>
    <t xml:space="preserve">Warum genaue Entfernungen ein Sicherheitsproblem sind, das niemand anspricht.</t>
  </si>
  <si>
    <t xml:space="preserve">Der erste Bildschirm</t>
  </si>
  <si>
    <t xml:space="preserve">Was zuerst zu sehen ist und warum genau das.</t>
  </si>
  <si>
    <t xml:space="preserve">Was eine Szenebar am Mittwoch braucht</t>
  </si>
  <si>
    <t xml:space="preserve">Ortsperspektive ohne Namensnennung, bis eine Freigabe vorliegt.</t>
  </si>
  <si>
    <t xml:space="preserve">Warum die erste Nachricht nur Text ist</t>
  </si>
  <si>
    <t xml:space="preserve">Keine Moderationsregel — die App lässt es technisch nicht zu. Der Unterschied ist alles.</t>
  </si>
  <si>
    <t xml:space="preserve">Was diese Woche schiefging</t>
  </si>
  <si>
    <t xml:space="preserve">Ein echter Rückschlag, ungeschönt. Das ist der Beitrag, der geteilt wird.</t>
  </si>
  <si>
    <t xml:space="preserve">Wie eine Entscheidung bei uns fällt</t>
  </si>
  <si>
    <t xml:space="preserve">Vom Vorschlag zur Streichung in fünf Schritten.</t>
  </si>
  <si>
    <t xml:space="preserve">40 Orte, 40 Gespräche</t>
  </si>
  <si>
    <t xml:space="preserve">Warum wir jede Bar einzeln besuchen statt eine Rundmail zu schreiben.</t>
  </si>
  <si>
    <t xml:space="preserve">Was ein Prüfabzeichen bedeutet — und was nicht</t>
  </si>
  <si>
    <t xml:space="preserve">Geprüft heißt nicht sicher. Wir sagen das offen, weil alles andere gelogen wäre.</t>
  </si>
  <si>
    <t xml:space="preserve">Szeneservice</t>
  </si>
  <si>
    <t xml:space="preserve">Was läuft dieses Wochenende</t>
  </si>
  <si>
    <t xml:space="preserve">Leichte Fassung: fremde Termine fair zitiert, Quelle genannt, keine eigenen Grafiken.</t>
  </si>
  <si>
    <t xml:space="preserve">Szeneservice light</t>
  </si>
  <si>
    <t xml:space="preserve">Woche 4</t>
  </si>
  <si>
    <t xml:space="preserve">Wochenrückblick.</t>
  </si>
  <si>
    <t xml:space="preserve">Warum unsere App langweiliger aussieht als Grindr</t>
  </si>
  <si>
    <t xml:space="preserve">Mit Absicht. Ein Startbildschirm ist bei manchen Leuten ein Outing-Risiko.</t>
  </si>
  <si>
    <t xml:space="preserve">Absagen in einem Tipp</t>
  </si>
  <si>
    <t xml:space="preserve">Warum das eine Funktion ist und keine Höflichkeitsfloskel.</t>
  </si>
  <si>
    <t xml:space="preserve">Ortsporträt Nr. 1</t>
  </si>
  <si>
    <t xml:space="preserve">Erstes echtes Porträt — nur mit schriftlicher Freigabe des Ladens.</t>
  </si>
  <si>
    <t xml:space="preserve">erste Freigabe nötig</t>
  </si>
  <si>
    <t xml:space="preserve">Was heute auf dem Tisch lag</t>
  </si>
  <si>
    <t xml:space="preserve">Ein konkretes Problem des Tages, laut gedacht.</t>
  </si>
  <si>
    <t xml:space="preserve">Deutsche Server, kein US-Dienstleister</t>
  </si>
  <si>
    <t xml:space="preserve">Was das praktisch bedeutet — und was es nicht bedeutet.</t>
  </si>
  <si>
    <t xml:space="preserve">Was müsste passieren, damit du wechselst?</t>
  </si>
  <si>
    <t xml:space="preserve">Die ehrlichste Frage, die man einer Zielgruppe stellen kann.</t>
  </si>
  <si>
    <t xml:space="preserve">Woche 5</t>
  </si>
  <si>
    <t xml:space="preserve">Was andere Apps mit deinem Standort machen — und wir nicht</t>
  </si>
  <si>
    <t xml:space="preserve">Belegbar, sachlich, ohne Namen unter der Gürtellinie.</t>
  </si>
  <si>
    <t xml:space="preserve">Der Moment, in dem wir fast etwas Dummes gebaut hätten</t>
  </si>
  <si>
    <t xml:space="preserve">Beinahe-Fehler sind besser erzählbar als Erfolge.</t>
  </si>
  <si>
    <t xml:space="preserve">Sechs Wochen — was wir gelernt haben</t>
  </si>
  <si>
    <t xml:space="preserve">Zwischenbilanz mit einer Zahl, die uns nicht gefällt.</t>
  </si>
  <si>
    <t xml:space="preserve">Der zweite Besuch</t>
  </si>
  <si>
    <t xml:space="preserve">Beim ersten Gespräch reden wir nicht über die App. Beim zweiten schon. Warum.</t>
  </si>
  <si>
    <t xml:space="preserve">Was dich schützt, kostet nie etwas</t>
  </si>
  <si>
    <t xml:space="preserve">Die Zusage im Wortlaut und was alles darunterfällt.</t>
  </si>
  <si>
    <t xml:space="preserve">Wochenendtipps</t>
  </si>
  <si>
    <t xml:space="preserve">Szeneservice light, regional ausgespielt.</t>
  </si>
  <si>
    <t xml:space="preserve">Hinter der Theke</t>
  </si>
  <si>
    <t xml:space="preserve">Was Barbetreiber jeden Abend über Dates zu hören bekommen.</t>
  </si>
  <si>
    <t xml:space="preserve">Sessionsauftakt</t>
  </si>
  <si>
    <t xml:space="preserve">Der 11.11. ist in Köln kein normaler Dienstag. Was in der queeren Szene läuft.</t>
  </si>
  <si>
    <t xml:space="preserve">Karneval 11.11.</t>
  </si>
  <si>
    <t xml:space="preserve">Warum wir keine Serien und Punkte einbauen</t>
  </si>
  <si>
    <t xml:space="preserve">Zwanghafte Nutzung ist ein Geschäftsmodell. Nicht unseres.</t>
  </si>
  <si>
    <t xml:space="preserve">Karneval und Cruising</t>
  </si>
  <si>
    <t xml:space="preserve">Was sich an solchen Tagen in der Szene verändert — und was das für ein Produkt bedeutet.</t>
  </si>
  <si>
    <t xml:space="preserve">Kein Anmelden mit Google oder Meta</t>
  </si>
  <si>
    <t xml:space="preserve">Warum dieser eine Knopf fehlt und was er verraten würde.</t>
  </si>
  <si>
    <t xml:space="preserve">Woche 7</t>
  </si>
  <si>
    <t xml:space="preserve">Wochenrückblick, Karnevalsausgabe.</t>
  </si>
  <si>
    <t xml:space="preserve">Ein Laden, der nein gesagt hat</t>
  </si>
  <si>
    <t xml:space="preserve">Auch das gehört dazu. Was wir daraus gelernt haben.</t>
  </si>
  <si>
    <t xml:space="preserve">Push-Nachrichten ohne Absender</t>
  </si>
  <si>
    <t xml:space="preserve">Eine Vorschau auf dem Sperrbildschirm kann ein Outing sein.</t>
  </si>
  <si>
    <t xml:space="preserve">Die Funktion, über die wir am längsten gestritten haben</t>
  </si>
  <si>
    <t xml:space="preserve">Zwei Meinungen, eine Entscheidung, offen erzählt.</t>
  </si>
  <si>
    <t xml:space="preserve">Warum wir keinen KI-Chatbot einbauen</t>
  </si>
  <si>
    <t xml:space="preserve">Echtheit ist das ganze Versprechen. Ein Bot zerstört es an Tag eins.</t>
  </si>
  <si>
    <t xml:space="preserve">Ortsporträt Nr. 2</t>
  </si>
  <si>
    <t xml:space="preserve">Zweites Porträt, mit Freigabe.</t>
  </si>
  <si>
    <t xml:space="preserve">Freigabe nötig</t>
  </si>
  <si>
    <t xml:space="preserve">Was uns diese Woche Geld gekostet hat</t>
  </si>
  <si>
    <t xml:space="preserve">Transparenz über Ausgaben. Zwei Schüler, ein Budget.</t>
  </si>
  <si>
    <t xml:space="preserve">Wie wir arbeiten</t>
  </si>
  <si>
    <t xml:space="preserve">Wochenstruktur, Rollenverteilung, was neben der Schule realistisch ist.</t>
  </si>
  <si>
    <t xml:space="preserve">Was Läden von Apps halten</t>
  </si>
  <si>
    <t xml:space="preserve">Ehrliche Antworten, teils unbequem.</t>
  </si>
  <si>
    <t xml:space="preserve">Sicherheit ist nie absolut</t>
  </si>
  <si>
    <t xml:space="preserve">Warum wir nie „100 % sicher" sagen werden — und was wir stattdessen versprechen.</t>
  </si>
  <si>
    <t xml:space="preserve">Ein Tag im Rechtsteil</t>
  </si>
  <si>
    <t xml:space="preserve">Was wir über Jugendschutz gelernt haben, ohne Fachchinesisch.</t>
  </si>
  <si>
    <t xml:space="preserve">Warum wir keine Ausschlussfilter bauen</t>
  </si>
  <si>
    <t xml:space="preserve">Ethnie, Körperform, Status — dokumentierter Diskriminierungsschwerpunkt. Deshalb: nie.</t>
  </si>
  <si>
    <t xml:space="preserve">Was wir bis hierher gestrichen haben</t>
  </si>
  <si>
    <t xml:space="preserve">Sammelbeitrag: alle Streichungen mit je einem Satz.</t>
  </si>
  <si>
    <t xml:space="preserve">Der Ort, an dem alles anfing</t>
  </si>
  <si>
    <t xml:space="preserve">Warum Köln zuerst und nicht bundesweit.</t>
  </si>
  <si>
    <t xml:space="preserve">Ortsporträt Nr. 3</t>
  </si>
  <si>
    <t xml:space="preserve">Drittes Porträt, mit Freigabe.</t>
  </si>
  <si>
    <t xml:space="preserve">Szeneservice light.</t>
  </si>
  <si>
    <t xml:space="preserve">Woche 9</t>
  </si>
  <si>
    <t xml:space="preserve">Werbung im Chat? Nie.</t>
  </si>
  <si>
    <t xml:space="preserve">Die meistgenannte Einzelbeschwerde aller Nutzerauswertungen. Wir bauen sie nicht ein.</t>
  </si>
  <si>
    <t xml:space="preserve">Was ein Nein von uns kostet</t>
  </si>
  <si>
    <t xml:space="preserve">Jede abgelehnte Funktion ist Geld, das wir nicht verdienen. Warum wir es trotzdem tun.</t>
  </si>
  <si>
    <t xml:space="preserve">Dein Gesicht zeigst du, wem du willst</t>
  </si>
  <si>
    <t xml:space="preserve">Wie ein Profilbild dauerhaft unkenntlich und trotzdem geprüft sein kann.</t>
  </si>
  <si>
    <t xml:space="preserve">Zehn Wochen Ortsakquise</t>
  </si>
  <si>
    <t xml:space="preserve">Zwischenstand: wie viele Gespräche, wie viele Zusagen, wie viele Absagen.</t>
  </si>
  <si>
    <t xml:space="preserve">Die Zahl, die uns nicht gefällt</t>
  </si>
  <si>
    <t xml:space="preserve">Eine ehrliche Kennzahl, die schlechter ist als erhofft.</t>
  </si>
  <si>
    <t xml:space="preserve">Was fehlt euch?</t>
  </si>
  <si>
    <t xml:space="preserve">Offene Frage vor der nächsten Bauphase.</t>
  </si>
  <si>
    <t xml:space="preserve">Ortsporträt Nr. 4</t>
  </si>
  <si>
    <t xml:space="preserve">Viertes Porträt, mit Freigabe.</t>
  </si>
  <si>
    <t xml:space="preserve">Warum wir nicht schneller sind</t>
  </si>
  <si>
    <t xml:space="preserve">Erwartungsmanagement. Zwei Leute, Schule, kein Kapital.</t>
  </si>
  <si>
    <t xml:space="preserve">Lesebestätigungen: warum nicht</t>
  </si>
  <si>
    <t xml:space="preserve">Antwortdruck und Anwesenheitsverrat in einem Häkchen.</t>
  </si>
  <si>
    <t xml:space="preserve">Elf Wochen in Zahlen</t>
  </si>
  <si>
    <t xml:space="preserve">Was wir gemacht, gestrichen und gelernt haben.</t>
  </si>
  <si>
    <t xml:space="preserve">Was ein Laden davon hat</t>
  </si>
  <si>
    <t xml:space="preserve">Die Gegenleistung ehrlich benannt — keine Versprechen, die wir nicht halten können.</t>
  </si>
  <si>
    <t xml:space="preserve">Kein Regenbogen in der Oberfläche</t>
  </si>
  <si>
    <t xml:space="preserve">Warum das keine Distanzierung ist, sondern eine Sicherheitsentscheidung.</t>
  </si>
  <si>
    <t xml:space="preserve">Ortsporträt Nr. 5</t>
  </si>
  <si>
    <t xml:space="preserve">Fünftes Porträt, mit Freigabe.</t>
  </si>
  <si>
    <t xml:space="preserve">Zwölf Wochen — was jetzt kommt</t>
  </si>
  <si>
    <t xml:space="preserve">Rückblick und der ehrliche nächste Schritt.</t>
  </si>
  <si>
    <t xml:space="preserve">Quartalsabschluss</t>
  </si>
  <si>
    <t xml:space="preserve">Was wir aus dem CSD mitnehmen</t>
  </si>
  <si>
    <t xml:space="preserve">Sichtbarkeit ist nicht dasselbe wie Sicherheit. Beides brauchen wir.</t>
  </si>
  <si>
    <t xml:space="preserve">CSD-Nachlauf</t>
  </si>
  <si>
    <t xml:space="preserve">Nach dem CSD</t>
  </si>
  <si>
    <t xml:space="preserve">Was das ganze Jahr über läuft, wenn die Straßen wieder leer sind.</t>
  </si>
  <si>
    <t xml:space="preserve">Die Läden, die geblieben sind</t>
  </si>
  <si>
    <t xml:space="preserve">Wer nach zwölf Wochen noch mitmacht — und warum.</t>
  </si>
  <si>
    <t xml:space="preserve">Alles, was wir in zwölf Wochen gestrichen haben</t>
  </si>
  <si>
    <t xml:space="preserve">Der Sammelbeitrag als Carousel. Der stärkste Beleg für die Haltung.</t>
  </si>
  <si>
    <t xml:space="preserve">Woche 12</t>
  </si>
  <si>
    <t xml:space="preserve">Wochenrückblick und Ausblick auf das nächste Quartal.</t>
  </si>
  <si>
    <t xml:space="preserve">Kontrolle der Säulenanteile (rechnet automatisch)</t>
  </si>
  <si>
    <t xml:space="preserve">Soll</t>
  </si>
  <si>
    <t xml:space="preserve">Ist (Anzahl)</t>
  </si>
  <si>
    <t xml:space="preserve">Ist (Anteil)</t>
  </si>
  <si>
    <t xml:space="preserve">Abweichung</t>
  </si>
  <si>
    <t xml:space="preserve">Summe</t>
  </si>
  <si>
    <t xml:space="preserve">Beiträge gesamt</t>
  </si>
  <si>
    <t xml:space="preserve">davon TikTok</t>
  </si>
  <si>
    <t xml:space="preserve">davon Instagram</t>
  </si>
  <si>
    <t xml:space="preserve">Abnahmekriterium A-05</t>
  </si>
  <si>
    <t xml:space="preserve">Quelle Säulenanteile: Handbuch B Teil VII, Abschnitt 12 „Inhaltssäulen". Toleranz ±5 Prozentpunkte laut Aufgabe A-05.</t>
  </si>
  <si>
    <t xml:space="preserve">Formate &amp; Regeln</t>
  </si>
  <si>
    <t xml:space="preserve">Verbindlich für jeden Beitrag. Grundlage: Handbuch A Abschnitt 5 (Tonfall, Gestaltungssystem) und Handbuch B Teil VII (Kanäle, Säulen, regionale Ausspielung). Abweichungen nur nach Absprache beider Gründer.</t>
  </si>
  <si>
    <t xml:space="preserve">1 · Die fünf Säulen und ihre Anteile</t>
  </si>
  <si>
    <t xml:space="preserve">Was hineingehört</t>
  </si>
  <si>
    <t xml:space="preserve">Anteil und Zweck</t>
  </si>
  <si>
    <t xml:space="preserve">Bauen in der Öffentlichkeit</t>
  </si>
  <si>
    <t xml:space="preserve">Entscheidungen, Zwischenstände, Rückschläge, gestrichene Funktionen, Kosten, Fehler.</t>
  </si>
  <si>
    <t xml:space="preserve">40 % · Der stärkste Vermögenswert: wiederholbar, ehrlich, für queere Medien eine fertige Geschichte.</t>
  </si>
  <si>
    <t xml:space="preserve">Haltung und Erklärung</t>
  </si>
  <si>
    <t xml:space="preserve">Warum keine blauen Haken. Warum die erste Nachricht Text ist. Was andere mit Standortdaten tun.</t>
  </si>
  <si>
    <t xml:space="preserve">25 % · Positioniert als Alternative, ohne dass man es sagen muss.</t>
  </si>
  <si>
    <t xml:space="preserve">Partnerbars, Clubs, Partyreihen — jeweils nur mit schriftlicher Freigabe des Ladens.</t>
  </si>
  <si>
    <t xml:space="preserve">20 % · Bestes Verhältnis von Aufwand zu Wirkung; die Läden verbreiten es selbst.</t>
  </si>
  <si>
    <t xml:space="preserve">Was läuft dieses Wochenende. Bis zum Launch nur in der leichten Fassung.</t>
  </si>
  <si>
    <t xml:space="preserve">10 % · Bringt Follower, die noch keine Nutzer sind — und es werden, wenn die App startet.</t>
  </si>
  <si>
    <t xml:space="preserve">Community-Fragen</t>
  </si>
  <si>
    <t xml:space="preserve">„Was nervt euch am meisten?" Offene Fragen ohne Produktbezug.</t>
  </si>
  <si>
    <t xml:space="preserve">5 % · Doppelter Nutzen: Reichweite durch Kommentare und echte Produktrückmeldung.</t>
  </si>
  <si>
    <t xml:space="preserve">Der Anteil wird über die zwölf Wochen gemessen, nicht je Woche. Die Kontrollrechnung steht unter der Tabelle auf Blatt „Redaktionsplan".</t>
  </si>
  <si>
    <t xml:space="preserve">2 · Kanalrollen und Rhythmus</t>
  </si>
  <si>
    <t xml:space="preserve">Rolle</t>
  </si>
  <si>
    <t xml:space="preserve">Rhythmus und Regeln</t>
  </si>
  <si>
    <t xml:space="preserve">Höchste organische Reichweite, beste Passung für „Bauen in der Öffentlichkeit".</t>
  </si>
  <si>
    <t xml:space="preserve">4 Beiträge je Woche, feste Tage. Regional ausspielen, solange nur eine Stadt liquide ist.</t>
  </si>
  <si>
    <t xml:space="preserve">Ältere Zielgruppe, besser für Ortspartnerschaften — Läden teilen dort.</t>
  </si>
  <si>
    <t xml:space="preserve">3 Beiträge je Woche plus Stories. Ortsporträts laufen bevorzugt hier.</t>
  </si>
  <si>
    <t xml:space="preserve">Reddit</t>
  </si>
  <si>
    <t xml:space="preserve">Marktforschung, keine Bühne.</t>
  </si>
  <si>
    <t xml:space="preserve">Nur echte Teilnahme, nie Werbeeinschaltung. Ein einziger Werbepost kostet den Zugang und den Ruf.</t>
  </si>
  <si>
    <t xml:space="preserve">Telegram</t>
  </si>
  <si>
    <t xml:space="preserve">Lokale Gruppen, später die Beta-Gruppe.</t>
  </si>
  <si>
    <t xml:space="preserve">Teilnehmen, Kontakte knüpfen. Nicht bespielen.</t>
  </si>
  <si>
    <t xml:space="preserve">LinkedIn</t>
  </si>
  <si>
    <t xml:space="preserve">Nicht für Nutzer — für B2B-Partner, Förderprüfer, Investoren.</t>
  </si>
  <si>
    <t xml:space="preserve">Ein Beitrag je Monat genügt. Wirkt bei Anträgen.</t>
  </si>
  <si>
    <t xml:space="preserve">X / Twitter</t>
  </si>
  <si>
    <t xml:space="preserve">Wird nicht bespielt.</t>
  </si>
  <si>
    <t xml:space="preserve">Aufwand steht in keinem Verhältnis zur Wirkung für diese Zielgruppe.</t>
  </si>
  <si>
    <t xml:space="preserve">3 · Formate</t>
  </si>
  <si>
    <t xml:space="preserve">Länge und Aufbau</t>
  </si>
  <si>
    <t xml:space="preserve">Wofür</t>
  </si>
  <si>
    <t xml:space="preserve">20–60 Sek. Hook in den ersten 2 Sekunden, dann eine einzige Aussage. Kein Intro, kein „Hi Leute".</t>
  </si>
  <si>
    <t xml:space="preserve">Bauen, Haltung, Community-Fragen. Das Format mit der höchsten Bindung.</t>
  </si>
  <si>
    <t xml:space="preserve">15–40 Sek. Ein Satz je Karte, maximal fünf Karten. Ohne Sprache verständlich.</t>
  </si>
  <si>
    <t xml:space="preserve">Zahlen, Vergleiche, Wochenendtipps. Funktioniert auch stumm.</t>
  </si>
  <si>
    <t xml:space="preserve">5–8 Bilder. Erstes Bild ist die These, letztes die Handlungsaufforderung.</t>
  </si>
  <si>
    <t xml:space="preserve">Instagram, Erklärstücke, Ortsporträts, Sammelbeiträge.</t>
  </si>
  <si>
    <t xml:space="preserve">3–5 Bilder, 24 Stunden. Ungeschliffen, ohne Produktion.</t>
  </si>
  <si>
    <t xml:space="preserve">Wochenrückblicke, Zwischenstände, Fragen mit Antwortfunktion.</t>
  </si>
  <si>
    <t xml:space="preserve">4 · Hooks — die ersten zwei Sekunden</t>
  </si>
  <si>
    <t xml:space="preserve">Muster</t>
  </si>
  <si>
    <t xml:space="preserve">Beispiel</t>
  </si>
  <si>
    <t xml:space="preserve">Warum es trägt</t>
  </si>
  <si>
    <t xml:space="preserve">Widerspruch</t>
  </si>
  <si>
    <t xml:space="preserve">„Wir haben heute eine Funktion gestrichen, die uns Geld gebracht hätte."</t>
  </si>
  <si>
    <t xml:space="preserve">Bricht die Erwartung. Niemand erzählt freiwillig von entgangenem Geld.</t>
  </si>
  <si>
    <t xml:space="preserve">Konkrete Zahl</t>
  </si>
  <si>
    <t xml:space="preserve">„40 Kneipen. Kein einziger Werbeeuro."</t>
  </si>
  <si>
    <t xml:space="preserve">Zahlen sind überprüfbar und wirken deshalb nicht wie Marketing.</t>
  </si>
  <si>
    <t xml:space="preserve">Direkte Frage</t>
  </si>
  <si>
    <t xml:space="preserve">„Wann hat dich deine Dating-App zuletzt genervt?"</t>
  </si>
  <si>
    <t xml:space="preserve">Der Zuschauer beantwortet sie im Kopf und bleibt.</t>
  </si>
  <si>
    <t xml:space="preserve">Offene Schwäche</t>
  </si>
  <si>
    <t xml:space="preserve">„Das hier lief diese Woche schief."</t>
  </si>
  <si>
    <t xml:space="preserve">Der meistgeteilte Beitragstyp. Erfolge werden geglaubt, Fehler werden geteilt.</t>
  </si>
  <si>
    <t xml:space="preserve">Gegen den Strich</t>
  </si>
  <si>
    <t xml:space="preserve">„Unsere App sieht langweiliger aus als Grindr. Mit Absicht."</t>
  </si>
  <si>
    <t xml:space="preserve">Erzeugt sofort die Frage „Warum?" — und die Antwort ist die Positionierung.</t>
  </si>
  <si>
    <t xml:space="preserve">Nicht verwenden: „Ihr werdet nicht glauben, was …", Countdown-Hooks, künstliche Dringlichkeit, Fragen mit offensichtlicher Antwort. Die Zielgruppe ist vorbelastet und erkennt es sofort.</t>
  </si>
  <si>
    <t xml:space="preserve">5 · Tonfall — verbindlich aus Handbuch A</t>
  </si>
  <si>
    <t xml:space="preserve">Regel</t>
  </si>
  <si>
    <t xml:space="preserve">Gilt</t>
  </si>
  <si>
    <t xml:space="preserve">Warum</t>
  </si>
  <si>
    <t xml:space="preserve">Du, kurze Sätze</t>
  </si>
  <si>
    <t xml:space="preserve">immer</t>
  </si>
  <si>
    <t xml:space="preserve">Zielgruppe 18 bis 60. Keine Anbiederung, kein Jugendslang.</t>
  </si>
  <si>
    <t xml:space="preserve">Keine Ausrufezeichen</t>
  </si>
  <si>
    <t xml:space="preserve">Wirkt bei dieser Zielgruppe wie Werbung.</t>
  </si>
  <si>
    <t xml:space="preserve">Keine Emojis in Systemtexten</t>
  </si>
  <si>
    <t xml:space="preserve">In Beiträgen sparsam zulässig, in Produkttexten nie.</t>
  </si>
  <si>
    <t xml:space="preserve">Sicherheitsaussagen nie absolut</t>
  </si>
  <si>
    <t xml:space="preserve">Kein „100 % sicher". Nach § 5 UWG angreifbar — und nicht wahr.</t>
  </si>
  <si>
    <t xml:space="preserve">Kein Regenbogen als Gestaltungsmittel</t>
  </si>
  <si>
    <t xml:space="preserve">Abgenutzt, und für nicht geoutete Zuschauer ein Risiko.</t>
  </si>
  <si>
    <t xml:space="preserve">Kein Konkurrenz-Bashing unter der Gürtellinie</t>
  </si>
  <si>
    <t xml:space="preserve">Sachliche Kritik an Praktiken ja, Herabsetzung nein. Wirkt billig.</t>
  </si>
  <si>
    <t xml:space="preserve">6 · Was nie gepostet wird</t>
  </si>
  <si>
    <t xml:space="preserve">Nie</t>
  </si>
  <si>
    <t xml:space="preserve">Nutzerdaten, Screenshots aus Chats, Standorte einzelner Personen</t>
  </si>
  <si>
    <t xml:space="preserve">Der Kern des gesamten Vertrauensversprechens. Ein einziger Verstoß ist irreparabel.</t>
  </si>
  <si>
    <t xml:space="preserve">Absolute Sicherheitsversprechen</t>
  </si>
  <si>
    <t xml:space="preserve">§ 5 UWG. Und der erste Vorfall macht daraus eine Lüge.</t>
  </si>
  <si>
    <t xml:space="preserve">Namen von Locations ohne schriftliche Freigabe</t>
  </si>
  <si>
    <t xml:space="preserve">Ein Laden, der ungefragt genannt wird, sagt beim nächsten Mal nein — und erzählt es weiter.</t>
  </si>
  <si>
    <t xml:space="preserve">Gesichter Dritter ohne Einwilligung</t>
  </si>
  <si>
    <t xml:space="preserve">Recht am eigenen Bild. Bei dieser Zielgruppe zusätzlich ein Outing-Risiko.</t>
  </si>
  <si>
    <t xml:space="preserve">Technische Details, die Angreifern helfen</t>
  </si>
  <si>
    <t xml:space="preserve">Architektur ja, Angriffsfläche nein.</t>
  </si>
  <si>
    <t xml:space="preserve">Startdaten und Funktionszusagen, die nicht sicher sind</t>
  </si>
  <si>
    <t xml:space="preserve">Jede gerissene Zusage kostet mehr als die Ungeduld, die man vermeidet.</t>
  </si>
  <si>
    <t xml:space="preserve">Inhalte, die in einer Vorschau ein Outing sein können</t>
  </si>
  <si>
    <t xml:space="preserve">Gilt auch für Vorschaubilder geteilter Links.</t>
  </si>
  <si>
    <t xml:space="preserve">Politische Aussagen jenseits queerer Rechtsfragen</t>
  </si>
  <si>
    <t xml:space="preserve">Nicht unsere Rolle und teilt die Zielgruppe.</t>
  </si>
  <si>
    <t xml:space="preserve">7 · Regionales Ausspielen</t>
  </si>
  <si>
    <t xml:space="preserve">Umsetzung</t>
  </si>
  <si>
    <t xml:space="preserve">Reichweite regional halten, solange nur eine Stadt liquide ist</t>
  </si>
  <si>
    <t xml:space="preserve">Standort-Hashtags und Ortsmarkierungen der Zielstadt, lokale Bezüge im Text, keine bundesweiten Trends aufgreifen.</t>
  </si>
  <si>
    <t xml:space="preserve">Ein viraler Beitrag ist kein Erfolg, sondern ein Risiko</t>
  </si>
  <si>
    <t xml:space="preserve">20.000 Installationen in ein leeres Raster erzeugen 20.000 Menschen, die die App gelöscht haben und nie wiederkommen. Der Kanal ist danach verbrannt.</t>
  </si>
  <si>
    <t xml:space="preserve">Wenn ein Beitrag überregional läuft</t>
  </si>
  <si>
    <t xml:space="preserve">Nicht nachlegen, nicht bewerben. Kommentare beantworten, auf die Warteliste verweisen, weitermachen.</t>
  </si>
  <si>
    <t xml:space="preserve">8 · Ereignis-Anker im Jahreslauf</t>
  </si>
  <si>
    <t xml:space="preserve">Anlass</t>
  </si>
  <si>
    <t xml:space="preserve">Zeitpunkt</t>
  </si>
  <si>
    <t xml:space="preserve">Was daraus wird</t>
  </si>
  <si>
    <t xml:space="preserve">Sessionsauftakt Karneval</t>
  </si>
  <si>
    <t xml:space="preserve">11.11.</t>
  </si>
  <si>
    <t xml:space="preserve">Szeneservice und ein Haltungsbeitrag. In Köln kein normaler Tag — wer ihn ignoriert, wirkt ortsfremd.</t>
  </si>
  <si>
    <t xml:space="preserve">Karneval Hauptphase</t>
  </si>
  <si>
    <t xml:space="preserve">Februar / März</t>
  </si>
  <si>
    <t xml:space="preserve">Hohe Szeneaktivität, gute Woche für Ortsporträts.</t>
  </si>
  <si>
    <t xml:space="preserve">IDAHOBIT</t>
  </si>
  <si>
    <t xml:space="preserve">17. Mai</t>
  </si>
  <si>
    <t xml:space="preserve">Haltungsbeitrag, kein Produktbezug. Nur wenn wir etwas Eigenes zu sagen haben.</t>
  </si>
  <si>
    <t xml:space="preserve">CSD Köln</t>
  </si>
  <si>
    <t xml:space="preserve">Anfang Juli</t>
  </si>
  <si>
    <t xml:space="preserve">Sichtbarkeit, keine Installationen. Wer das an Downloads misst, streicht den Kanal und verliert ihn.</t>
  </si>
  <si>
    <t xml:space="preserve">Juli / August</t>
  </si>
  <si>
    <t xml:space="preserve">Der stärkste Anker: Was läuft, wenn die Straßen wieder leer sind.</t>
  </si>
  <si>
    <t xml:space="preserve">World AIDS Day</t>
  </si>
  <si>
    <t xml:space="preserve">1. Dezember</t>
  </si>
  <si>
    <t xml:space="preserve">Nur mit Gesundheitspartner und nur mit Substanz. Sonst gar nicht.</t>
  </si>
  <si>
    <t xml:space="preserve">Die Wochennummern auf Blatt „Redaktionsplan" sind relativ. Sobald ein Starttermin feststeht, werden die Anker auf die passenden Wochen gelegt und die Spalte „Ereignis-Anker" angepasst.</t>
  </si>
  <si>
    <t xml:space="preserve">9 · Aufwand und wer was macht</t>
  </si>
  <si>
    <t xml:space="preserve">Posten</t>
  </si>
  <si>
    <t xml:space="preserve">Aufwand je Woche</t>
  </si>
  <si>
    <t xml:space="preserve">Zuständig</t>
  </si>
  <si>
    <t xml:space="preserve">Konzept und Recherche</t>
  </si>
  <si>
    <t xml:space="preserve">2–3 Std.</t>
  </si>
  <si>
    <t xml:space="preserve">Gründer 2</t>
  </si>
  <si>
    <t xml:space="preserve">Produktion 7 Beiträge</t>
  </si>
  <si>
    <t xml:space="preserve">6–8 Std.</t>
  </si>
  <si>
    <t xml:space="preserve">Gründer 2, Themen von beiden</t>
  </si>
  <si>
    <t xml:space="preserve">Kommentare und Nachrichten</t>
  </si>
  <si>
    <t xml:space="preserve">3–4 Std.</t>
  </si>
  <si>
    <t xml:space="preserve">Community-Arbeit, Reddit und Telegram</t>
  </si>
  <si>
    <t xml:space="preserve">Freigabe vor Veröffentlichung</t>
  </si>
  <si>
    <t xml:space="preserve">1 Std.</t>
  </si>
  <si>
    <t xml:space="preserve">beide Gründer</t>
  </si>
  <si>
    <t xml:space="preserve">14–19 Std.</t>
  </si>
  <si>
    <t xml:space="preserve">≈ 40 % der Kapazität von Gründer 2</t>
  </si>
  <si>
    <t xml:space="preserve">Handbuch B: Was nebenbei läuft, läuft nach acht Wochen nicht mehr. Deshalb feste Blöcke im Kalender. Deshalb startet die Produktion laut zeitplan-bis-start.md erst in Fenster V3 — neben dem Abitur sind 14 bis 19 Stunden je Woche nicht realistisch, und ein Kanal, der einschläft, war vergeblich.</t>
  </si>
  <si>
    <t xml:space="preserve">10 · Was dieser Plan nicht leistet</t>
  </si>
  <si>
    <t xml:space="preserve">Offen</t>
  </si>
  <si>
    <t xml:space="preserve">Wer klärt</t>
  </si>
  <si>
    <t xml:space="preserve">Ortsporträts brauchen freigegebene Läden. Ohne schriftliche Zusage bleibt die Säule bei allgemeinen Beiträgen.</t>
  </si>
  <si>
    <t xml:space="preserve">Gründer, aus der Ortsakquise</t>
  </si>
  <si>
    <t xml:space="preserve">Szeneservice ist bis zum Launch nur die leichte Fassung: fremde Termine fair zitiert, Quelle genannt, keine eigenen Grafiken. Die volle Fassung kommt mit A-16.</t>
  </si>
  <si>
    <t xml:space="preserve">A-16</t>
  </si>
  <si>
    <t xml:space="preserve">Konkrete Veröffentlichungstage und -uhrzeiten sind nicht gesetzt — sie ergeben sich aus den ersten vier Wochen Messung.</t>
  </si>
  <si>
    <t xml:space="preserve">Hashtag-Sets je Stadt sind nicht enthalten. Sie gehören in A-06 zu den einzelnen Beitragsentwürfen.</t>
  </si>
  <si>
    <t xml:space="preserve">A-06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</si>
</sst>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DF2F8"/>
      </patternFill>
    </fill>
    <fill>
      <patternFill patternType="solid">
        <fgColor rgb="FFEDF2F8"/>
        <bgColor rgb="FFF2F2F2"/>
      </patternFill>
    </fill>
    <fill>
      <patternFill patternType="solid">
        <fgColor rgb="FFFDE9E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0</v>
      </c>
    </row>
    <row r="2" customFormat="false" ht="25.5" hidden="false" customHeight="true" outlineLevel="0" collapsed="false">
      <c r="A2" s="2" t="s">
        <v>1</v>
      </c>
    </row>
    <row r="3" customFormat="false" ht="25.5" hidden="false" customHeight="tru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23.85" hidden="false" customHeight="false" outlineLevel="0" collapsed="false">
      <c r="A6" s="5" t="n">
        <v>1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6" t="s">
        <v>21</v>
      </c>
      <c r="J6" s="6" t="s">
        <v>22</v>
      </c>
      <c r="K6" s="6" t="s">
        <v>23</v>
      </c>
    </row>
    <row r="7" customFormat="false" ht="30" hidden="false" customHeight="true" outlineLevel="0" collapsed="false">
      <c r="A7" s="7" t="n">
        <v>1</v>
      </c>
      <c r="B7" s="7" t="s">
        <v>14</v>
      </c>
      <c r="C7" s="7" t="s">
        <v>15</v>
      </c>
      <c r="D7" s="8" t="s">
        <v>24</v>
      </c>
      <c r="E7" s="8" t="s">
        <v>25</v>
      </c>
      <c r="F7" s="7" t="s">
        <v>18</v>
      </c>
      <c r="G7" s="7" t="s">
        <v>19</v>
      </c>
      <c r="H7" s="7" t="s">
        <v>20</v>
      </c>
      <c r="I7" s="9"/>
      <c r="J7" s="9"/>
      <c r="K7" s="10"/>
    </row>
    <row r="8" customFormat="false" ht="30" hidden="false" customHeight="true" outlineLevel="0" collapsed="false">
      <c r="A8" s="7" t="n">
        <v>1</v>
      </c>
      <c r="B8" s="7" t="s">
        <v>14</v>
      </c>
      <c r="C8" s="7" t="s">
        <v>26</v>
      </c>
      <c r="D8" s="8" t="s">
        <v>27</v>
      </c>
      <c r="E8" s="8" t="s">
        <v>28</v>
      </c>
      <c r="F8" s="7" t="s">
        <v>18</v>
      </c>
      <c r="G8" s="7" t="s">
        <v>29</v>
      </c>
      <c r="H8" s="7"/>
      <c r="I8" s="9"/>
      <c r="J8" s="9"/>
      <c r="K8" s="10"/>
    </row>
    <row r="9" customFormat="false" ht="30" hidden="false" customHeight="true" outlineLevel="0" collapsed="false">
      <c r="A9" s="7" t="n">
        <v>1</v>
      </c>
      <c r="B9" s="7" t="s">
        <v>30</v>
      </c>
      <c r="C9" s="7" t="s">
        <v>15</v>
      </c>
      <c r="D9" s="8" t="s">
        <v>31</v>
      </c>
      <c r="E9" s="8" t="s">
        <v>32</v>
      </c>
      <c r="F9" s="7" t="s">
        <v>33</v>
      </c>
      <c r="G9" s="7" t="s">
        <v>19</v>
      </c>
      <c r="H9" s="7" t="s">
        <v>20</v>
      </c>
      <c r="I9" s="9"/>
      <c r="J9" s="9"/>
      <c r="K9" s="10"/>
    </row>
    <row r="10" customFormat="false" ht="30" hidden="false" customHeight="true" outlineLevel="0" collapsed="false">
      <c r="A10" s="7" t="n">
        <v>1</v>
      </c>
      <c r="B10" s="7" t="s">
        <v>14</v>
      </c>
      <c r="C10" s="7" t="s">
        <v>34</v>
      </c>
      <c r="D10" s="8" t="s">
        <v>35</v>
      </c>
      <c r="E10" s="8" t="s">
        <v>36</v>
      </c>
      <c r="F10" s="7" t="s">
        <v>18</v>
      </c>
      <c r="G10" s="7" t="s">
        <v>29</v>
      </c>
      <c r="H10" s="7"/>
      <c r="I10" s="9"/>
      <c r="J10" s="9"/>
      <c r="K10" s="10"/>
    </row>
    <row r="11" customFormat="false" ht="30" hidden="false" customHeight="true" outlineLevel="0" collapsed="false">
      <c r="A11" s="7" t="n">
        <v>1</v>
      </c>
      <c r="B11" s="7" t="s">
        <v>30</v>
      </c>
      <c r="C11" s="7" t="s">
        <v>26</v>
      </c>
      <c r="D11" s="8" t="s">
        <v>37</v>
      </c>
      <c r="E11" s="8" t="s">
        <v>38</v>
      </c>
      <c r="F11" s="7" t="s">
        <v>33</v>
      </c>
      <c r="G11" s="7" t="s">
        <v>39</v>
      </c>
      <c r="H11" s="7"/>
      <c r="I11" s="9"/>
      <c r="J11" s="9"/>
      <c r="K11" s="10"/>
    </row>
    <row r="12" customFormat="false" ht="30" hidden="false" customHeight="true" outlineLevel="0" collapsed="false">
      <c r="A12" s="7" t="n">
        <v>1</v>
      </c>
      <c r="B12" s="7" t="s">
        <v>14</v>
      </c>
      <c r="C12" s="7" t="s">
        <v>15</v>
      </c>
      <c r="D12" s="8" t="s">
        <v>40</v>
      </c>
      <c r="E12" s="8" t="s">
        <v>41</v>
      </c>
      <c r="F12" s="7" t="s">
        <v>18</v>
      </c>
      <c r="G12" s="7" t="s">
        <v>19</v>
      </c>
      <c r="H12" s="7"/>
      <c r="I12" s="9"/>
      <c r="J12" s="9"/>
      <c r="K12" s="10"/>
    </row>
    <row r="13" customFormat="false" ht="30" hidden="false" customHeight="true" outlineLevel="0" collapsed="false">
      <c r="A13" s="7" t="n">
        <v>1</v>
      </c>
      <c r="B13" s="7" t="s">
        <v>30</v>
      </c>
      <c r="C13" s="7" t="s">
        <v>15</v>
      </c>
      <c r="D13" s="8" t="s">
        <v>42</v>
      </c>
      <c r="E13" s="8" t="s">
        <v>43</v>
      </c>
      <c r="F13" s="7" t="s">
        <v>44</v>
      </c>
      <c r="G13" s="7" t="s">
        <v>45</v>
      </c>
      <c r="H13" s="7"/>
      <c r="I13" s="9"/>
      <c r="J13" s="9"/>
      <c r="K13" s="10"/>
    </row>
    <row r="14" customFormat="false" ht="30" hidden="false" customHeight="true" outlineLevel="0" collapsed="false">
      <c r="A14" s="11" t="n">
        <v>2</v>
      </c>
      <c r="B14" s="11" t="s">
        <v>14</v>
      </c>
      <c r="C14" s="11" t="s">
        <v>26</v>
      </c>
      <c r="D14" s="12" t="s">
        <v>46</v>
      </c>
      <c r="E14" s="12" t="s">
        <v>47</v>
      </c>
      <c r="F14" s="11" t="s">
        <v>48</v>
      </c>
      <c r="G14" s="11" t="s">
        <v>39</v>
      </c>
      <c r="H14" s="11"/>
      <c r="I14" s="9"/>
      <c r="J14" s="9"/>
      <c r="K14" s="10"/>
    </row>
    <row r="15" customFormat="false" ht="30" hidden="false" customHeight="true" outlineLevel="0" collapsed="false">
      <c r="A15" s="11" t="n">
        <v>2</v>
      </c>
      <c r="B15" s="11" t="s">
        <v>14</v>
      </c>
      <c r="C15" s="11" t="s">
        <v>15</v>
      </c>
      <c r="D15" s="12" t="s">
        <v>49</v>
      </c>
      <c r="E15" s="12" t="s">
        <v>50</v>
      </c>
      <c r="F15" s="11" t="s">
        <v>18</v>
      </c>
      <c r="G15" s="11" t="s">
        <v>19</v>
      </c>
      <c r="H15" s="11"/>
      <c r="I15" s="9"/>
      <c r="J15" s="9"/>
      <c r="K15" s="10"/>
    </row>
    <row r="16" customFormat="false" ht="30" hidden="false" customHeight="true" outlineLevel="0" collapsed="false">
      <c r="A16" s="11" t="n">
        <v>2</v>
      </c>
      <c r="B16" s="11" t="s">
        <v>30</v>
      </c>
      <c r="C16" s="11" t="s">
        <v>26</v>
      </c>
      <c r="D16" s="12" t="s">
        <v>51</v>
      </c>
      <c r="E16" s="12" t="s">
        <v>52</v>
      </c>
      <c r="F16" s="11" t="s">
        <v>33</v>
      </c>
      <c r="G16" s="11" t="s">
        <v>53</v>
      </c>
      <c r="H16" s="11"/>
      <c r="I16" s="9"/>
      <c r="J16" s="9"/>
      <c r="K16" s="10"/>
    </row>
    <row r="17" customFormat="false" ht="30" hidden="false" customHeight="true" outlineLevel="0" collapsed="false">
      <c r="A17" s="11" t="n">
        <v>2</v>
      </c>
      <c r="B17" s="11" t="s">
        <v>14</v>
      </c>
      <c r="C17" s="11" t="s">
        <v>34</v>
      </c>
      <c r="D17" s="12" t="s">
        <v>54</v>
      </c>
      <c r="E17" s="12" t="s">
        <v>55</v>
      </c>
      <c r="F17" s="11" t="s">
        <v>18</v>
      </c>
      <c r="G17" s="11" t="s">
        <v>29</v>
      </c>
      <c r="H17" s="11"/>
      <c r="I17" s="9"/>
      <c r="J17" s="9"/>
      <c r="K17" s="10"/>
    </row>
    <row r="18" customFormat="false" ht="30" hidden="false" customHeight="true" outlineLevel="0" collapsed="false">
      <c r="A18" s="11" t="n">
        <v>2</v>
      </c>
      <c r="B18" s="11" t="s">
        <v>30</v>
      </c>
      <c r="C18" s="11" t="s">
        <v>15</v>
      </c>
      <c r="D18" s="12" t="s">
        <v>56</v>
      </c>
      <c r="E18" s="12" t="s">
        <v>57</v>
      </c>
      <c r="F18" s="11" t="s">
        <v>33</v>
      </c>
      <c r="G18" s="11" t="s">
        <v>19</v>
      </c>
      <c r="H18" s="11"/>
      <c r="I18" s="9"/>
      <c r="J18" s="9"/>
      <c r="K18" s="10"/>
    </row>
    <row r="19" customFormat="false" ht="30" hidden="false" customHeight="true" outlineLevel="0" collapsed="false">
      <c r="A19" s="11" t="n">
        <v>2</v>
      </c>
      <c r="B19" s="11" t="s">
        <v>14</v>
      </c>
      <c r="C19" s="11" t="s">
        <v>58</v>
      </c>
      <c r="D19" s="12" t="s">
        <v>59</v>
      </c>
      <c r="E19" s="12" t="s">
        <v>60</v>
      </c>
      <c r="F19" s="11" t="s">
        <v>18</v>
      </c>
      <c r="G19" s="11" t="s">
        <v>29</v>
      </c>
      <c r="H19" s="11"/>
      <c r="I19" s="9"/>
      <c r="J19" s="9"/>
      <c r="K19" s="10"/>
    </row>
    <row r="20" customFormat="false" ht="30" hidden="false" customHeight="true" outlineLevel="0" collapsed="false">
      <c r="A20" s="11" t="n">
        <v>2</v>
      </c>
      <c r="B20" s="11" t="s">
        <v>30</v>
      </c>
      <c r="C20" s="11" t="s">
        <v>15</v>
      </c>
      <c r="D20" s="12" t="s">
        <v>61</v>
      </c>
      <c r="E20" s="12" t="s">
        <v>62</v>
      </c>
      <c r="F20" s="11" t="s">
        <v>44</v>
      </c>
      <c r="G20" s="11" t="s">
        <v>45</v>
      </c>
      <c r="H20" s="11"/>
      <c r="I20" s="9"/>
      <c r="J20" s="9"/>
      <c r="K20" s="10"/>
    </row>
    <row r="21" customFormat="false" ht="30" hidden="false" customHeight="true" outlineLevel="0" collapsed="false">
      <c r="A21" s="7" t="n">
        <v>3</v>
      </c>
      <c r="B21" s="7" t="s">
        <v>14</v>
      </c>
      <c r="C21" s="7" t="s">
        <v>15</v>
      </c>
      <c r="D21" s="8" t="s">
        <v>63</v>
      </c>
      <c r="E21" s="8" t="s">
        <v>64</v>
      </c>
      <c r="F21" s="7" t="s">
        <v>18</v>
      </c>
      <c r="G21" s="7" t="s">
        <v>19</v>
      </c>
      <c r="H21" s="7"/>
      <c r="I21" s="9"/>
      <c r="J21" s="9"/>
      <c r="K21" s="10"/>
    </row>
    <row r="22" customFormat="false" ht="30" hidden="false" customHeight="true" outlineLevel="0" collapsed="false">
      <c r="A22" s="7" t="n">
        <v>3</v>
      </c>
      <c r="B22" s="7" t="s">
        <v>14</v>
      </c>
      <c r="C22" s="7" t="s">
        <v>26</v>
      </c>
      <c r="D22" s="8" t="s">
        <v>65</v>
      </c>
      <c r="E22" s="8" t="s">
        <v>66</v>
      </c>
      <c r="F22" s="7" t="s">
        <v>18</v>
      </c>
      <c r="G22" s="7" t="s">
        <v>29</v>
      </c>
      <c r="H22" s="7"/>
      <c r="I22" s="9"/>
      <c r="J22" s="9"/>
      <c r="K22" s="10"/>
    </row>
    <row r="23" customFormat="false" ht="30" hidden="false" customHeight="true" outlineLevel="0" collapsed="false">
      <c r="A23" s="7" t="n">
        <v>3</v>
      </c>
      <c r="B23" s="7" t="s">
        <v>30</v>
      </c>
      <c r="C23" s="7" t="s">
        <v>15</v>
      </c>
      <c r="D23" s="8" t="s">
        <v>67</v>
      </c>
      <c r="E23" s="8" t="s">
        <v>68</v>
      </c>
      <c r="F23" s="7" t="s">
        <v>33</v>
      </c>
      <c r="G23" s="7" t="s">
        <v>39</v>
      </c>
      <c r="H23" s="7"/>
      <c r="I23" s="9"/>
      <c r="J23" s="9"/>
      <c r="K23" s="10"/>
    </row>
    <row r="24" customFormat="false" ht="30" hidden="false" customHeight="true" outlineLevel="0" collapsed="false">
      <c r="A24" s="7" t="n">
        <v>3</v>
      </c>
      <c r="B24" s="7" t="s">
        <v>14</v>
      </c>
      <c r="C24" s="7" t="s">
        <v>58</v>
      </c>
      <c r="D24" s="8" t="s">
        <v>69</v>
      </c>
      <c r="E24" s="8" t="s">
        <v>70</v>
      </c>
      <c r="F24" s="7" t="s">
        <v>18</v>
      </c>
      <c r="G24" s="7" t="s">
        <v>19</v>
      </c>
      <c r="H24" s="7"/>
      <c r="I24" s="9"/>
      <c r="J24" s="9"/>
      <c r="K24" s="10"/>
    </row>
    <row r="25" customFormat="false" ht="30" hidden="false" customHeight="true" outlineLevel="0" collapsed="false">
      <c r="A25" s="7" t="n">
        <v>3</v>
      </c>
      <c r="B25" s="7" t="s">
        <v>30</v>
      </c>
      <c r="C25" s="7" t="s">
        <v>26</v>
      </c>
      <c r="D25" s="8" t="s">
        <v>71</v>
      </c>
      <c r="E25" s="8" t="s">
        <v>72</v>
      </c>
      <c r="F25" s="7" t="s">
        <v>33</v>
      </c>
      <c r="G25" s="7" t="s">
        <v>53</v>
      </c>
      <c r="H25" s="7"/>
      <c r="I25" s="9"/>
      <c r="J25" s="9"/>
      <c r="K25" s="10"/>
    </row>
    <row r="26" customFormat="false" ht="30" hidden="false" customHeight="true" outlineLevel="0" collapsed="false">
      <c r="A26" s="7" t="n">
        <v>3</v>
      </c>
      <c r="B26" s="7" t="s">
        <v>14</v>
      </c>
      <c r="C26" s="7" t="s">
        <v>15</v>
      </c>
      <c r="D26" s="8" t="s">
        <v>73</v>
      </c>
      <c r="E26" s="8" t="s">
        <v>74</v>
      </c>
      <c r="F26" s="7" t="s">
        <v>48</v>
      </c>
      <c r="G26" s="7" t="s">
        <v>29</v>
      </c>
      <c r="H26" s="7"/>
      <c r="I26" s="9"/>
      <c r="J26" s="9"/>
      <c r="K26" s="10"/>
    </row>
    <row r="27" customFormat="false" ht="30" hidden="false" customHeight="true" outlineLevel="0" collapsed="false">
      <c r="A27" s="7" t="n">
        <v>3</v>
      </c>
      <c r="B27" s="7" t="s">
        <v>30</v>
      </c>
      <c r="C27" s="7" t="s">
        <v>58</v>
      </c>
      <c r="D27" s="8" t="s">
        <v>75</v>
      </c>
      <c r="E27" s="8" t="s">
        <v>76</v>
      </c>
      <c r="F27" s="7" t="s">
        <v>33</v>
      </c>
      <c r="G27" s="7" t="s">
        <v>39</v>
      </c>
      <c r="H27" s="7"/>
      <c r="I27" s="9"/>
      <c r="J27" s="9"/>
      <c r="K27" s="10"/>
    </row>
    <row r="28" customFormat="false" ht="30" hidden="false" customHeight="true" outlineLevel="0" collapsed="false">
      <c r="A28" s="11" t="n">
        <v>4</v>
      </c>
      <c r="B28" s="11" t="s">
        <v>14</v>
      </c>
      <c r="C28" s="11" t="s">
        <v>26</v>
      </c>
      <c r="D28" s="12" t="s">
        <v>77</v>
      </c>
      <c r="E28" s="12" t="s">
        <v>78</v>
      </c>
      <c r="F28" s="11" t="s">
        <v>18</v>
      </c>
      <c r="G28" s="11" t="s">
        <v>29</v>
      </c>
      <c r="H28" s="11"/>
      <c r="I28" s="9"/>
      <c r="J28" s="9"/>
      <c r="K28" s="10"/>
    </row>
    <row r="29" customFormat="false" ht="30" hidden="false" customHeight="true" outlineLevel="0" collapsed="false">
      <c r="A29" s="11" t="n">
        <v>4</v>
      </c>
      <c r="B29" s="11" t="s">
        <v>14</v>
      </c>
      <c r="C29" s="11" t="s">
        <v>15</v>
      </c>
      <c r="D29" s="12" t="s">
        <v>79</v>
      </c>
      <c r="E29" s="12" t="s">
        <v>80</v>
      </c>
      <c r="F29" s="11" t="s">
        <v>18</v>
      </c>
      <c r="G29" s="11" t="s">
        <v>19</v>
      </c>
      <c r="H29" s="11"/>
      <c r="I29" s="9"/>
      <c r="J29" s="9"/>
      <c r="K29" s="10"/>
    </row>
    <row r="30" customFormat="false" ht="30" hidden="false" customHeight="true" outlineLevel="0" collapsed="false">
      <c r="A30" s="11" t="n">
        <v>4</v>
      </c>
      <c r="B30" s="11" t="s">
        <v>30</v>
      </c>
      <c r="C30" s="11" t="s">
        <v>15</v>
      </c>
      <c r="D30" s="12" t="s">
        <v>81</v>
      </c>
      <c r="E30" s="12" t="s">
        <v>82</v>
      </c>
      <c r="F30" s="11" t="s">
        <v>33</v>
      </c>
      <c r="G30" s="11" t="s">
        <v>39</v>
      </c>
      <c r="H30" s="11"/>
      <c r="I30" s="9"/>
      <c r="J30" s="9"/>
      <c r="K30" s="10"/>
    </row>
    <row r="31" customFormat="false" ht="30" hidden="false" customHeight="true" outlineLevel="0" collapsed="false">
      <c r="A31" s="11" t="n">
        <v>4</v>
      </c>
      <c r="B31" s="11" t="s">
        <v>14</v>
      </c>
      <c r="C31" s="11" t="s">
        <v>58</v>
      </c>
      <c r="D31" s="12" t="s">
        <v>83</v>
      </c>
      <c r="E31" s="12" t="s">
        <v>84</v>
      </c>
      <c r="F31" s="11" t="s">
        <v>18</v>
      </c>
      <c r="G31" s="11" t="s">
        <v>29</v>
      </c>
      <c r="H31" s="11"/>
      <c r="I31" s="9"/>
      <c r="J31" s="9"/>
      <c r="K31" s="10"/>
    </row>
    <row r="32" customFormat="false" ht="30" hidden="false" customHeight="true" outlineLevel="0" collapsed="false">
      <c r="A32" s="11" t="n">
        <v>4</v>
      </c>
      <c r="B32" s="11" t="s">
        <v>30</v>
      </c>
      <c r="C32" s="11" t="s">
        <v>26</v>
      </c>
      <c r="D32" s="12" t="s">
        <v>85</v>
      </c>
      <c r="E32" s="12" t="s">
        <v>86</v>
      </c>
      <c r="F32" s="11" t="s">
        <v>33</v>
      </c>
      <c r="G32" s="11" t="s">
        <v>53</v>
      </c>
      <c r="H32" s="11"/>
      <c r="I32" s="9"/>
      <c r="J32" s="9"/>
      <c r="K32" s="10"/>
    </row>
    <row r="33" customFormat="false" ht="30" hidden="false" customHeight="true" outlineLevel="0" collapsed="false">
      <c r="A33" s="11" t="n">
        <v>4</v>
      </c>
      <c r="B33" s="11" t="s">
        <v>14</v>
      </c>
      <c r="C33" s="11" t="s">
        <v>87</v>
      </c>
      <c r="D33" s="12" t="s">
        <v>88</v>
      </c>
      <c r="E33" s="12" t="s">
        <v>89</v>
      </c>
      <c r="F33" s="11" t="s">
        <v>48</v>
      </c>
      <c r="G33" s="11" t="s">
        <v>39</v>
      </c>
      <c r="H33" s="11" t="s">
        <v>90</v>
      </c>
      <c r="I33" s="9"/>
      <c r="J33" s="9"/>
      <c r="K33" s="10"/>
    </row>
    <row r="34" customFormat="false" ht="30" hidden="false" customHeight="true" outlineLevel="0" collapsed="false">
      <c r="A34" s="11" t="n">
        <v>4</v>
      </c>
      <c r="B34" s="11" t="s">
        <v>30</v>
      </c>
      <c r="C34" s="11" t="s">
        <v>15</v>
      </c>
      <c r="D34" s="12" t="s">
        <v>91</v>
      </c>
      <c r="E34" s="12" t="s">
        <v>92</v>
      </c>
      <c r="F34" s="11" t="s">
        <v>44</v>
      </c>
      <c r="G34" s="11" t="s">
        <v>45</v>
      </c>
      <c r="H34" s="11"/>
      <c r="I34" s="9"/>
      <c r="J34" s="9"/>
      <c r="K34" s="10"/>
    </row>
    <row r="35" customFormat="false" ht="30" hidden="false" customHeight="true" outlineLevel="0" collapsed="false">
      <c r="A35" s="7" t="n">
        <v>5</v>
      </c>
      <c r="B35" s="7" t="s">
        <v>14</v>
      </c>
      <c r="C35" s="7" t="s">
        <v>15</v>
      </c>
      <c r="D35" s="8" t="s">
        <v>93</v>
      </c>
      <c r="E35" s="8" t="s">
        <v>94</v>
      </c>
      <c r="F35" s="7" t="s">
        <v>18</v>
      </c>
      <c r="G35" s="7" t="s">
        <v>29</v>
      </c>
      <c r="H35" s="7"/>
      <c r="I35" s="9"/>
      <c r="J35" s="9"/>
      <c r="K35" s="10"/>
    </row>
    <row r="36" customFormat="false" ht="30" hidden="false" customHeight="true" outlineLevel="0" collapsed="false">
      <c r="A36" s="7" t="n">
        <v>5</v>
      </c>
      <c r="B36" s="7" t="s">
        <v>14</v>
      </c>
      <c r="C36" s="7" t="s">
        <v>26</v>
      </c>
      <c r="D36" s="8" t="s">
        <v>95</v>
      </c>
      <c r="E36" s="8" t="s">
        <v>96</v>
      </c>
      <c r="F36" s="7" t="s">
        <v>18</v>
      </c>
      <c r="G36" s="7" t="s">
        <v>53</v>
      </c>
      <c r="H36" s="7"/>
      <c r="I36" s="9"/>
      <c r="J36" s="9"/>
      <c r="K36" s="10"/>
    </row>
    <row r="37" customFormat="false" ht="30" hidden="false" customHeight="true" outlineLevel="0" collapsed="false">
      <c r="A37" s="7" t="n">
        <v>5</v>
      </c>
      <c r="B37" s="7" t="s">
        <v>30</v>
      </c>
      <c r="C37" s="7" t="s">
        <v>58</v>
      </c>
      <c r="D37" s="8" t="s">
        <v>97</v>
      </c>
      <c r="E37" s="8" t="s">
        <v>98</v>
      </c>
      <c r="F37" s="7" t="s">
        <v>33</v>
      </c>
      <c r="G37" s="7" t="s">
        <v>39</v>
      </c>
      <c r="H37" s="7" t="s">
        <v>99</v>
      </c>
      <c r="I37" s="9"/>
      <c r="J37" s="9"/>
      <c r="K37" s="10"/>
    </row>
    <row r="38" customFormat="false" ht="30" hidden="false" customHeight="true" outlineLevel="0" collapsed="false">
      <c r="A38" s="7" t="n">
        <v>5</v>
      </c>
      <c r="B38" s="7" t="s">
        <v>14</v>
      </c>
      <c r="C38" s="7" t="s">
        <v>15</v>
      </c>
      <c r="D38" s="8" t="s">
        <v>100</v>
      </c>
      <c r="E38" s="8" t="s">
        <v>101</v>
      </c>
      <c r="F38" s="7" t="s">
        <v>18</v>
      </c>
      <c r="G38" s="7" t="s">
        <v>19</v>
      </c>
      <c r="H38" s="7"/>
      <c r="I38" s="9"/>
      <c r="J38" s="9"/>
      <c r="K38" s="10"/>
    </row>
    <row r="39" customFormat="false" ht="30" hidden="false" customHeight="true" outlineLevel="0" collapsed="false">
      <c r="A39" s="7" t="n">
        <v>5</v>
      </c>
      <c r="B39" s="7" t="s">
        <v>30</v>
      </c>
      <c r="C39" s="7" t="s">
        <v>26</v>
      </c>
      <c r="D39" s="8" t="s">
        <v>102</v>
      </c>
      <c r="E39" s="8" t="s">
        <v>103</v>
      </c>
      <c r="F39" s="7" t="s">
        <v>33</v>
      </c>
      <c r="G39" s="7" t="s">
        <v>39</v>
      </c>
      <c r="H39" s="7"/>
      <c r="I39" s="9"/>
      <c r="J39" s="9"/>
      <c r="K39" s="10"/>
    </row>
    <row r="40" customFormat="false" ht="30" hidden="false" customHeight="true" outlineLevel="0" collapsed="false">
      <c r="A40" s="7" t="n">
        <v>5</v>
      </c>
      <c r="B40" s="7" t="s">
        <v>14</v>
      </c>
      <c r="C40" s="7" t="s">
        <v>34</v>
      </c>
      <c r="D40" s="8" t="s">
        <v>104</v>
      </c>
      <c r="E40" s="8" t="s">
        <v>105</v>
      </c>
      <c r="F40" s="7" t="s">
        <v>18</v>
      </c>
      <c r="G40" s="7" t="s">
        <v>29</v>
      </c>
      <c r="H40" s="7"/>
      <c r="I40" s="9"/>
      <c r="J40" s="9"/>
      <c r="K40" s="10"/>
    </row>
    <row r="41" customFormat="false" ht="30" hidden="false" customHeight="true" outlineLevel="0" collapsed="false">
      <c r="A41" s="7" t="n">
        <v>5</v>
      </c>
      <c r="B41" s="7" t="s">
        <v>30</v>
      </c>
      <c r="C41" s="7" t="s">
        <v>15</v>
      </c>
      <c r="D41" s="8" t="s">
        <v>106</v>
      </c>
      <c r="E41" s="8" t="s">
        <v>92</v>
      </c>
      <c r="F41" s="7" t="s">
        <v>44</v>
      </c>
      <c r="G41" s="7" t="s">
        <v>45</v>
      </c>
      <c r="H41" s="7"/>
      <c r="I41" s="9"/>
      <c r="J41" s="9"/>
      <c r="K41" s="10"/>
    </row>
    <row r="42" customFormat="false" ht="30" hidden="false" customHeight="true" outlineLevel="0" collapsed="false">
      <c r="A42" s="11" t="n">
        <v>6</v>
      </c>
      <c r="B42" s="11" t="s">
        <v>14</v>
      </c>
      <c r="C42" s="11" t="s">
        <v>26</v>
      </c>
      <c r="D42" s="12" t="s">
        <v>107</v>
      </c>
      <c r="E42" s="12" t="s">
        <v>108</v>
      </c>
      <c r="F42" s="11" t="s">
        <v>48</v>
      </c>
      <c r="G42" s="11" t="s">
        <v>53</v>
      </c>
      <c r="H42" s="11"/>
      <c r="I42" s="9"/>
      <c r="J42" s="9"/>
      <c r="K42" s="10"/>
    </row>
    <row r="43" customFormat="false" ht="30" hidden="false" customHeight="true" outlineLevel="0" collapsed="false">
      <c r="A43" s="11" t="n">
        <v>6</v>
      </c>
      <c r="B43" s="11" t="s">
        <v>14</v>
      </c>
      <c r="C43" s="11" t="s">
        <v>15</v>
      </c>
      <c r="D43" s="12" t="s">
        <v>109</v>
      </c>
      <c r="E43" s="12" t="s">
        <v>110</v>
      </c>
      <c r="F43" s="11" t="s">
        <v>18</v>
      </c>
      <c r="G43" s="11" t="s">
        <v>19</v>
      </c>
      <c r="H43" s="11"/>
      <c r="I43" s="9"/>
      <c r="J43" s="9"/>
      <c r="K43" s="10"/>
    </row>
    <row r="44" customFormat="false" ht="30" hidden="false" customHeight="true" outlineLevel="0" collapsed="false">
      <c r="A44" s="11" t="n">
        <v>6</v>
      </c>
      <c r="B44" s="11" t="s">
        <v>30</v>
      </c>
      <c r="C44" s="11" t="s">
        <v>15</v>
      </c>
      <c r="D44" s="12" t="s">
        <v>111</v>
      </c>
      <c r="E44" s="12" t="s">
        <v>112</v>
      </c>
      <c r="F44" s="11" t="s">
        <v>33</v>
      </c>
      <c r="G44" s="11" t="s">
        <v>39</v>
      </c>
      <c r="H44" s="11"/>
      <c r="I44" s="9"/>
      <c r="J44" s="9"/>
      <c r="K44" s="10"/>
    </row>
    <row r="45" customFormat="false" ht="30" hidden="false" customHeight="true" outlineLevel="0" collapsed="false">
      <c r="A45" s="11" t="n">
        <v>6</v>
      </c>
      <c r="B45" s="11" t="s">
        <v>14</v>
      </c>
      <c r="C45" s="11" t="s">
        <v>58</v>
      </c>
      <c r="D45" s="12" t="s">
        <v>113</v>
      </c>
      <c r="E45" s="12" t="s">
        <v>114</v>
      </c>
      <c r="F45" s="11" t="s">
        <v>18</v>
      </c>
      <c r="G45" s="11" t="s">
        <v>29</v>
      </c>
      <c r="H45" s="11"/>
      <c r="I45" s="9"/>
      <c r="J45" s="9"/>
      <c r="K45" s="10"/>
    </row>
    <row r="46" customFormat="false" ht="30" hidden="false" customHeight="true" outlineLevel="0" collapsed="false">
      <c r="A46" s="11" t="n">
        <v>6</v>
      </c>
      <c r="B46" s="11" t="s">
        <v>30</v>
      </c>
      <c r="C46" s="11" t="s">
        <v>26</v>
      </c>
      <c r="D46" s="12" t="s">
        <v>115</v>
      </c>
      <c r="E46" s="12" t="s">
        <v>116</v>
      </c>
      <c r="F46" s="11" t="s">
        <v>33</v>
      </c>
      <c r="G46" s="11" t="s">
        <v>53</v>
      </c>
      <c r="H46" s="11"/>
      <c r="I46" s="9"/>
      <c r="J46" s="9"/>
      <c r="K46" s="10"/>
    </row>
    <row r="47" customFormat="false" ht="30" hidden="false" customHeight="true" outlineLevel="0" collapsed="false">
      <c r="A47" s="11" t="n">
        <v>6</v>
      </c>
      <c r="B47" s="11" t="s">
        <v>14</v>
      </c>
      <c r="C47" s="11" t="s">
        <v>87</v>
      </c>
      <c r="D47" s="12" t="s">
        <v>117</v>
      </c>
      <c r="E47" s="12" t="s">
        <v>118</v>
      </c>
      <c r="F47" s="11" t="s">
        <v>48</v>
      </c>
      <c r="G47" s="11" t="s">
        <v>39</v>
      </c>
      <c r="H47" s="11" t="s">
        <v>90</v>
      </c>
      <c r="I47" s="9"/>
      <c r="J47" s="9"/>
      <c r="K47" s="10"/>
    </row>
    <row r="48" customFormat="false" ht="30" hidden="false" customHeight="true" outlineLevel="0" collapsed="false">
      <c r="A48" s="11" t="n">
        <v>6</v>
      </c>
      <c r="B48" s="11" t="s">
        <v>30</v>
      </c>
      <c r="C48" s="11" t="s">
        <v>58</v>
      </c>
      <c r="D48" s="12" t="s">
        <v>119</v>
      </c>
      <c r="E48" s="12" t="s">
        <v>120</v>
      </c>
      <c r="F48" s="11" t="s">
        <v>33</v>
      </c>
      <c r="G48" s="11" t="s">
        <v>29</v>
      </c>
      <c r="H48" s="11"/>
      <c r="I48" s="9"/>
      <c r="J48" s="9"/>
      <c r="K48" s="10"/>
    </row>
    <row r="49" customFormat="false" ht="30" hidden="false" customHeight="true" outlineLevel="0" collapsed="false">
      <c r="A49" s="7" t="n">
        <v>7</v>
      </c>
      <c r="B49" s="7" t="s">
        <v>14</v>
      </c>
      <c r="C49" s="7" t="s">
        <v>87</v>
      </c>
      <c r="D49" s="8" t="s">
        <v>121</v>
      </c>
      <c r="E49" s="8" t="s">
        <v>122</v>
      </c>
      <c r="F49" s="7" t="s">
        <v>48</v>
      </c>
      <c r="G49" s="7" t="s">
        <v>39</v>
      </c>
      <c r="H49" s="7" t="s">
        <v>123</v>
      </c>
      <c r="I49" s="9"/>
      <c r="J49" s="9"/>
      <c r="K49" s="10"/>
    </row>
    <row r="50" customFormat="false" ht="30" hidden="false" customHeight="true" outlineLevel="0" collapsed="false">
      <c r="A50" s="7" t="n">
        <v>7</v>
      </c>
      <c r="B50" s="7" t="s">
        <v>14</v>
      </c>
      <c r="C50" s="7" t="s">
        <v>15</v>
      </c>
      <c r="D50" s="8" t="s">
        <v>124</v>
      </c>
      <c r="E50" s="8" t="s">
        <v>125</v>
      </c>
      <c r="F50" s="7" t="s">
        <v>18</v>
      </c>
      <c r="G50" s="7" t="s">
        <v>29</v>
      </c>
      <c r="H50" s="7"/>
      <c r="I50" s="9"/>
      <c r="J50" s="9"/>
      <c r="K50" s="10"/>
    </row>
    <row r="51" customFormat="false" ht="30" hidden="false" customHeight="true" outlineLevel="0" collapsed="false">
      <c r="A51" s="7" t="n">
        <v>7</v>
      </c>
      <c r="B51" s="7" t="s">
        <v>30</v>
      </c>
      <c r="C51" s="7" t="s">
        <v>87</v>
      </c>
      <c r="D51" s="8" t="s">
        <v>126</v>
      </c>
      <c r="E51" s="8" t="s">
        <v>127</v>
      </c>
      <c r="F51" s="7" t="s">
        <v>33</v>
      </c>
      <c r="G51" s="7" t="s">
        <v>53</v>
      </c>
      <c r="H51" s="7" t="s">
        <v>123</v>
      </c>
      <c r="I51" s="9"/>
      <c r="J51" s="9"/>
      <c r="K51" s="10"/>
    </row>
    <row r="52" customFormat="false" ht="30" hidden="false" customHeight="true" outlineLevel="0" collapsed="false">
      <c r="A52" s="7" t="n">
        <v>7</v>
      </c>
      <c r="B52" s="7" t="s">
        <v>14</v>
      </c>
      <c r="C52" s="7" t="s">
        <v>26</v>
      </c>
      <c r="D52" s="8" t="s">
        <v>128</v>
      </c>
      <c r="E52" s="8" t="s">
        <v>129</v>
      </c>
      <c r="F52" s="7" t="s">
        <v>18</v>
      </c>
      <c r="G52" s="7" t="s">
        <v>39</v>
      </c>
      <c r="H52" s="7"/>
      <c r="I52" s="9"/>
      <c r="J52" s="9"/>
      <c r="K52" s="10"/>
    </row>
    <row r="53" customFormat="false" ht="30" hidden="false" customHeight="true" outlineLevel="0" collapsed="false">
      <c r="A53" s="7" t="n">
        <v>7</v>
      </c>
      <c r="B53" s="7" t="s">
        <v>30</v>
      </c>
      <c r="C53" s="7" t="s">
        <v>15</v>
      </c>
      <c r="D53" s="8" t="s">
        <v>130</v>
      </c>
      <c r="E53" s="8" t="s">
        <v>131</v>
      </c>
      <c r="F53" s="7" t="s">
        <v>44</v>
      </c>
      <c r="G53" s="7" t="s">
        <v>45</v>
      </c>
      <c r="H53" s="7" t="s">
        <v>123</v>
      </c>
      <c r="I53" s="9"/>
      <c r="J53" s="9"/>
      <c r="K53" s="10"/>
    </row>
    <row r="54" customFormat="false" ht="30" hidden="false" customHeight="true" outlineLevel="0" collapsed="false">
      <c r="A54" s="7" t="n">
        <v>7</v>
      </c>
      <c r="B54" s="7" t="s">
        <v>14</v>
      </c>
      <c r="C54" s="7" t="s">
        <v>58</v>
      </c>
      <c r="D54" s="8" t="s">
        <v>132</v>
      </c>
      <c r="E54" s="8" t="s">
        <v>133</v>
      </c>
      <c r="F54" s="7" t="s">
        <v>18</v>
      </c>
      <c r="G54" s="7" t="s">
        <v>19</v>
      </c>
      <c r="H54" s="7"/>
      <c r="I54" s="9"/>
      <c r="J54" s="9"/>
      <c r="K54" s="10"/>
    </row>
    <row r="55" customFormat="false" ht="30" hidden="false" customHeight="true" outlineLevel="0" collapsed="false">
      <c r="A55" s="7" t="n">
        <v>7</v>
      </c>
      <c r="B55" s="7" t="s">
        <v>30</v>
      </c>
      <c r="C55" s="7" t="s">
        <v>26</v>
      </c>
      <c r="D55" s="8" t="s">
        <v>134</v>
      </c>
      <c r="E55" s="8" t="s">
        <v>135</v>
      </c>
      <c r="F55" s="7" t="s">
        <v>33</v>
      </c>
      <c r="G55" s="7" t="s">
        <v>39</v>
      </c>
      <c r="H55" s="7"/>
      <c r="I55" s="9"/>
      <c r="J55" s="9"/>
      <c r="K55" s="10"/>
    </row>
    <row r="56" customFormat="false" ht="30" hidden="false" customHeight="true" outlineLevel="0" collapsed="false">
      <c r="A56" s="11" t="n">
        <v>8</v>
      </c>
      <c r="B56" s="11" t="s">
        <v>14</v>
      </c>
      <c r="C56" s="11" t="s">
        <v>15</v>
      </c>
      <c r="D56" s="12" t="s">
        <v>136</v>
      </c>
      <c r="E56" s="12" t="s">
        <v>137</v>
      </c>
      <c r="F56" s="11" t="s">
        <v>18</v>
      </c>
      <c r="G56" s="11" t="s">
        <v>29</v>
      </c>
      <c r="H56" s="11"/>
      <c r="I56" s="9"/>
      <c r="J56" s="9"/>
      <c r="K56" s="10"/>
    </row>
    <row r="57" customFormat="false" ht="30" hidden="false" customHeight="true" outlineLevel="0" collapsed="false">
      <c r="A57" s="11" t="n">
        <v>8</v>
      </c>
      <c r="B57" s="11" t="s">
        <v>14</v>
      </c>
      <c r="C57" s="11" t="s">
        <v>26</v>
      </c>
      <c r="D57" s="12" t="s">
        <v>138</v>
      </c>
      <c r="E57" s="12" t="s">
        <v>139</v>
      </c>
      <c r="F57" s="11" t="s">
        <v>18</v>
      </c>
      <c r="G57" s="11" t="s">
        <v>53</v>
      </c>
      <c r="H57" s="11"/>
      <c r="I57" s="9"/>
      <c r="J57" s="9"/>
      <c r="K57" s="10"/>
    </row>
    <row r="58" customFormat="false" ht="30" hidden="false" customHeight="true" outlineLevel="0" collapsed="false">
      <c r="A58" s="11" t="n">
        <v>8</v>
      </c>
      <c r="B58" s="11" t="s">
        <v>30</v>
      </c>
      <c r="C58" s="11" t="s">
        <v>58</v>
      </c>
      <c r="D58" s="12" t="s">
        <v>140</v>
      </c>
      <c r="E58" s="12" t="s">
        <v>141</v>
      </c>
      <c r="F58" s="11" t="s">
        <v>33</v>
      </c>
      <c r="G58" s="11" t="s">
        <v>39</v>
      </c>
      <c r="H58" s="11" t="s">
        <v>142</v>
      </c>
      <c r="I58" s="9"/>
      <c r="J58" s="9"/>
      <c r="K58" s="10"/>
    </row>
    <row r="59" customFormat="false" ht="30" hidden="false" customHeight="true" outlineLevel="0" collapsed="false">
      <c r="A59" s="11" t="n">
        <v>8</v>
      </c>
      <c r="B59" s="11" t="s">
        <v>14</v>
      </c>
      <c r="C59" s="11" t="s">
        <v>15</v>
      </c>
      <c r="D59" s="12" t="s">
        <v>143</v>
      </c>
      <c r="E59" s="12" t="s">
        <v>144</v>
      </c>
      <c r="F59" s="11" t="s">
        <v>48</v>
      </c>
      <c r="G59" s="11" t="s">
        <v>19</v>
      </c>
      <c r="H59" s="11"/>
      <c r="I59" s="9"/>
      <c r="J59" s="9"/>
      <c r="K59" s="10"/>
    </row>
    <row r="60" customFormat="false" ht="30" hidden="false" customHeight="true" outlineLevel="0" collapsed="false">
      <c r="A60" s="11" t="n">
        <v>8</v>
      </c>
      <c r="B60" s="11" t="s">
        <v>30</v>
      </c>
      <c r="C60" s="11" t="s">
        <v>15</v>
      </c>
      <c r="D60" s="12" t="s">
        <v>145</v>
      </c>
      <c r="E60" s="12" t="s">
        <v>146</v>
      </c>
      <c r="F60" s="11" t="s">
        <v>33</v>
      </c>
      <c r="G60" s="11" t="s">
        <v>39</v>
      </c>
      <c r="H60" s="11"/>
      <c r="I60" s="9"/>
      <c r="J60" s="9"/>
      <c r="K60" s="10"/>
    </row>
    <row r="61" customFormat="false" ht="30" hidden="false" customHeight="true" outlineLevel="0" collapsed="false">
      <c r="A61" s="11" t="n">
        <v>8</v>
      </c>
      <c r="B61" s="11" t="s">
        <v>14</v>
      </c>
      <c r="C61" s="11" t="s">
        <v>58</v>
      </c>
      <c r="D61" s="12" t="s">
        <v>147</v>
      </c>
      <c r="E61" s="12" t="s">
        <v>148</v>
      </c>
      <c r="F61" s="11" t="s">
        <v>18</v>
      </c>
      <c r="G61" s="11" t="s">
        <v>29</v>
      </c>
      <c r="H61" s="11"/>
      <c r="I61" s="9"/>
      <c r="J61" s="9"/>
      <c r="K61" s="10"/>
    </row>
    <row r="62" customFormat="false" ht="30" hidden="false" customHeight="true" outlineLevel="0" collapsed="false">
      <c r="A62" s="11" t="n">
        <v>8</v>
      </c>
      <c r="B62" s="11" t="s">
        <v>30</v>
      </c>
      <c r="C62" s="11" t="s">
        <v>26</v>
      </c>
      <c r="D62" s="12" t="s">
        <v>149</v>
      </c>
      <c r="E62" s="12" t="s">
        <v>150</v>
      </c>
      <c r="F62" s="11" t="s">
        <v>33</v>
      </c>
      <c r="G62" s="11" t="s">
        <v>53</v>
      </c>
      <c r="H62" s="11"/>
      <c r="I62" s="9"/>
      <c r="J62" s="9"/>
      <c r="K62" s="10"/>
    </row>
    <row r="63" customFormat="false" ht="30" hidden="false" customHeight="true" outlineLevel="0" collapsed="false">
      <c r="A63" s="7" t="n">
        <v>9</v>
      </c>
      <c r="B63" s="7" t="s">
        <v>14</v>
      </c>
      <c r="C63" s="7" t="s">
        <v>15</v>
      </c>
      <c r="D63" s="8" t="s">
        <v>151</v>
      </c>
      <c r="E63" s="8" t="s">
        <v>152</v>
      </c>
      <c r="F63" s="7" t="s">
        <v>18</v>
      </c>
      <c r="G63" s="7" t="s">
        <v>19</v>
      </c>
      <c r="H63" s="7"/>
      <c r="I63" s="9"/>
      <c r="J63" s="9"/>
      <c r="K63" s="10"/>
    </row>
    <row r="64" customFormat="false" ht="30" hidden="false" customHeight="true" outlineLevel="0" collapsed="false">
      <c r="A64" s="7" t="n">
        <v>9</v>
      </c>
      <c r="B64" s="7" t="s">
        <v>14</v>
      </c>
      <c r="C64" s="7" t="s">
        <v>26</v>
      </c>
      <c r="D64" s="8" t="s">
        <v>153</v>
      </c>
      <c r="E64" s="8" t="s">
        <v>154</v>
      </c>
      <c r="F64" s="7" t="s">
        <v>18</v>
      </c>
      <c r="G64" s="7" t="s">
        <v>53</v>
      </c>
      <c r="H64" s="7"/>
      <c r="I64" s="9"/>
      <c r="J64" s="9"/>
      <c r="K64" s="10"/>
    </row>
    <row r="65" customFormat="false" ht="30" hidden="false" customHeight="true" outlineLevel="0" collapsed="false">
      <c r="A65" s="7" t="n">
        <v>9</v>
      </c>
      <c r="B65" s="7" t="s">
        <v>30</v>
      </c>
      <c r="C65" s="7" t="s">
        <v>15</v>
      </c>
      <c r="D65" s="8" t="s">
        <v>155</v>
      </c>
      <c r="E65" s="8" t="s">
        <v>156</v>
      </c>
      <c r="F65" s="7" t="s">
        <v>33</v>
      </c>
      <c r="G65" s="7" t="s">
        <v>39</v>
      </c>
      <c r="H65" s="7"/>
      <c r="I65" s="9"/>
      <c r="J65" s="9"/>
      <c r="K65" s="10"/>
    </row>
    <row r="66" customFormat="false" ht="30" hidden="false" customHeight="true" outlineLevel="0" collapsed="false">
      <c r="A66" s="7" t="n">
        <v>9</v>
      </c>
      <c r="B66" s="7" t="s">
        <v>14</v>
      </c>
      <c r="C66" s="7" t="s">
        <v>58</v>
      </c>
      <c r="D66" s="8" t="s">
        <v>157</v>
      </c>
      <c r="E66" s="8" t="s">
        <v>158</v>
      </c>
      <c r="F66" s="7" t="s">
        <v>18</v>
      </c>
      <c r="G66" s="7" t="s">
        <v>29</v>
      </c>
      <c r="H66" s="7"/>
      <c r="I66" s="9"/>
      <c r="J66" s="9"/>
      <c r="K66" s="10"/>
    </row>
    <row r="67" customFormat="false" ht="30" hidden="false" customHeight="true" outlineLevel="0" collapsed="false">
      <c r="A67" s="7" t="n">
        <v>9</v>
      </c>
      <c r="B67" s="7" t="s">
        <v>30</v>
      </c>
      <c r="C67" s="7" t="s">
        <v>58</v>
      </c>
      <c r="D67" s="8" t="s">
        <v>159</v>
      </c>
      <c r="E67" s="8" t="s">
        <v>160</v>
      </c>
      <c r="F67" s="7" t="s">
        <v>33</v>
      </c>
      <c r="G67" s="7" t="s">
        <v>39</v>
      </c>
      <c r="H67" s="7" t="s">
        <v>142</v>
      </c>
      <c r="I67" s="9"/>
      <c r="J67" s="9"/>
      <c r="K67" s="10"/>
    </row>
    <row r="68" customFormat="false" ht="30" hidden="false" customHeight="true" outlineLevel="0" collapsed="false">
      <c r="A68" s="7" t="n">
        <v>9</v>
      </c>
      <c r="B68" s="7" t="s">
        <v>14</v>
      </c>
      <c r="C68" s="7" t="s">
        <v>87</v>
      </c>
      <c r="D68" s="8" t="s">
        <v>117</v>
      </c>
      <c r="E68" s="8" t="s">
        <v>161</v>
      </c>
      <c r="F68" s="7" t="s">
        <v>48</v>
      </c>
      <c r="G68" s="7" t="s">
        <v>39</v>
      </c>
      <c r="H68" s="7" t="s">
        <v>90</v>
      </c>
      <c r="I68" s="9"/>
      <c r="J68" s="9"/>
      <c r="K68" s="10"/>
    </row>
    <row r="69" customFormat="false" ht="30" hidden="false" customHeight="true" outlineLevel="0" collapsed="false">
      <c r="A69" s="7" t="n">
        <v>9</v>
      </c>
      <c r="B69" s="7" t="s">
        <v>30</v>
      </c>
      <c r="C69" s="7" t="s">
        <v>15</v>
      </c>
      <c r="D69" s="8" t="s">
        <v>162</v>
      </c>
      <c r="E69" s="8" t="s">
        <v>92</v>
      </c>
      <c r="F69" s="7" t="s">
        <v>44</v>
      </c>
      <c r="G69" s="7" t="s">
        <v>45</v>
      </c>
      <c r="H69" s="7"/>
      <c r="I69" s="9"/>
      <c r="J69" s="9"/>
      <c r="K69" s="10"/>
    </row>
    <row r="70" customFormat="false" ht="30" hidden="false" customHeight="true" outlineLevel="0" collapsed="false">
      <c r="A70" s="11" t="n">
        <v>10</v>
      </c>
      <c r="B70" s="11" t="s">
        <v>14</v>
      </c>
      <c r="C70" s="11" t="s">
        <v>26</v>
      </c>
      <c r="D70" s="12" t="s">
        <v>163</v>
      </c>
      <c r="E70" s="12" t="s">
        <v>164</v>
      </c>
      <c r="F70" s="11" t="s">
        <v>18</v>
      </c>
      <c r="G70" s="11" t="s">
        <v>53</v>
      </c>
      <c r="H70" s="11"/>
      <c r="I70" s="9"/>
      <c r="J70" s="9"/>
      <c r="K70" s="10"/>
    </row>
    <row r="71" customFormat="false" ht="30" hidden="false" customHeight="true" outlineLevel="0" collapsed="false">
      <c r="A71" s="11" t="n">
        <v>10</v>
      </c>
      <c r="B71" s="11" t="s">
        <v>14</v>
      </c>
      <c r="C71" s="11" t="s">
        <v>15</v>
      </c>
      <c r="D71" s="12" t="s">
        <v>165</v>
      </c>
      <c r="E71" s="12" t="s">
        <v>166</v>
      </c>
      <c r="F71" s="11" t="s">
        <v>18</v>
      </c>
      <c r="G71" s="11" t="s">
        <v>29</v>
      </c>
      <c r="H71" s="11"/>
      <c r="I71" s="9"/>
      <c r="J71" s="9"/>
      <c r="K71" s="10"/>
    </row>
    <row r="72" customFormat="false" ht="30" hidden="false" customHeight="true" outlineLevel="0" collapsed="false">
      <c r="A72" s="11" t="n">
        <v>10</v>
      </c>
      <c r="B72" s="11" t="s">
        <v>30</v>
      </c>
      <c r="C72" s="11" t="s">
        <v>26</v>
      </c>
      <c r="D72" s="12" t="s">
        <v>167</v>
      </c>
      <c r="E72" s="12" t="s">
        <v>168</v>
      </c>
      <c r="F72" s="11" t="s">
        <v>33</v>
      </c>
      <c r="G72" s="11" t="s">
        <v>39</v>
      </c>
      <c r="H72" s="11"/>
      <c r="I72" s="9"/>
      <c r="J72" s="9"/>
      <c r="K72" s="10"/>
    </row>
    <row r="73" customFormat="false" ht="30" hidden="false" customHeight="true" outlineLevel="0" collapsed="false">
      <c r="A73" s="11" t="n">
        <v>10</v>
      </c>
      <c r="B73" s="11" t="s">
        <v>14</v>
      </c>
      <c r="C73" s="11" t="s">
        <v>58</v>
      </c>
      <c r="D73" s="12" t="s">
        <v>169</v>
      </c>
      <c r="E73" s="12" t="s">
        <v>170</v>
      </c>
      <c r="F73" s="11" t="s">
        <v>48</v>
      </c>
      <c r="G73" s="11" t="s">
        <v>19</v>
      </c>
      <c r="H73" s="11"/>
      <c r="I73" s="9"/>
      <c r="J73" s="9"/>
      <c r="K73" s="10"/>
    </row>
    <row r="74" customFormat="false" ht="30" hidden="false" customHeight="true" outlineLevel="0" collapsed="false">
      <c r="A74" s="11" t="n">
        <v>10</v>
      </c>
      <c r="B74" s="11" t="s">
        <v>30</v>
      </c>
      <c r="C74" s="11" t="s">
        <v>15</v>
      </c>
      <c r="D74" s="12" t="s">
        <v>171</v>
      </c>
      <c r="E74" s="12" t="s">
        <v>172</v>
      </c>
      <c r="F74" s="11" t="s">
        <v>33</v>
      </c>
      <c r="G74" s="11" t="s">
        <v>29</v>
      </c>
      <c r="H74" s="11"/>
      <c r="I74" s="9"/>
      <c r="J74" s="9"/>
      <c r="K74" s="10"/>
    </row>
    <row r="75" customFormat="false" ht="30" hidden="false" customHeight="true" outlineLevel="0" collapsed="false">
      <c r="A75" s="11" t="n">
        <v>10</v>
      </c>
      <c r="B75" s="11" t="s">
        <v>14</v>
      </c>
      <c r="C75" s="11" t="s">
        <v>34</v>
      </c>
      <c r="D75" s="12" t="s">
        <v>173</v>
      </c>
      <c r="E75" s="12" t="s">
        <v>174</v>
      </c>
      <c r="F75" s="11" t="s">
        <v>18</v>
      </c>
      <c r="G75" s="11" t="s">
        <v>29</v>
      </c>
      <c r="H75" s="11"/>
      <c r="I75" s="9"/>
      <c r="J75" s="9"/>
      <c r="K75" s="10"/>
    </row>
    <row r="76" customFormat="false" ht="30" hidden="false" customHeight="true" outlineLevel="0" collapsed="false">
      <c r="A76" s="11" t="n">
        <v>10</v>
      </c>
      <c r="B76" s="11" t="s">
        <v>30</v>
      </c>
      <c r="C76" s="11" t="s">
        <v>58</v>
      </c>
      <c r="D76" s="12" t="s">
        <v>175</v>
      </c>
      <c r="E76" s="12" t="s">
        <v>176</v>
      </c>
      <c r="F76" s="11" t="s">
        <v>33</v>
      </c>
      <c r="G76" s="11" t="s">
        <v>39</v>
      </c>
      <c r="H76" s="11" t="s">
        <v>142</v>
      </c>
      <c r="I76" s="9"/>
      <c r="J76" s="9"/>
      <c r="K76" s="10"/>
    </row>
    <row r="77" customFormat="false" ht="30" hidden="false" customHeight="true" outlineLevel="0" collapsed="false">
      <c r="A77" s="7" t="n">
        <v>11</v>
      </c>
      <c r="B77" s="7" t="s">
        <v>14</v>
      </c>
      <c r="C77" s="7" t="s">
        <v>15</v>
      </c>
      <c r="D77" s="8" t="s">
        <v>177</v>
      </c>
      <c r="E77" s="8" t="s">
        <v>178</v>
      </c>
      <c r="F77" s="7" t="s">
        <v>18</v>
      </c>
      <c r="G77" s="7" t="s">
        <v>19</v>
      </c>
      <c r="H77" s="7"/>
      <c r="I77" s="9"/>
      <c r="J77" s="9"/>
      <c r="K77" s="10"/>
    </row>
    <row r="78" customFormat="false" ht="30" hidden="false" customHeight="true" outlineLevel="0" collapsed="false">
      <c r="A78" s="7" t="n">
        <v>11</v>
      </c>
      <c r="B78" s="7" t="s">
        <v>14</v>
      </c>
      <c r="C78" s="7" t="s">
        <v>26</v>
      </c>
      <c r="D78" s="8" t="s">
        <v>179</v>
      </c>
      <c r="E78" s="8" t="s">
        <v>180</v>
      </c>
      <c r="F78" s="7" t="s">
        <v>18</v>
      </c>
      <c r="G78" s="7" t="s">
        <v>53</v>
      </c>
      <c r="H78" s="7"/>
      <c r="I78" s="9"/>
      <c r="J78" s="9"/>
      <c r="K78" s="10"/>
    </row>
    <row r="79" customFormat="false" ht="30" hidden="false" customHeight="true" outlineLevel="0" collapsed="false">
      <c r="A79" s="7" t="n">
        <v>11</v>
      </c>
      <c r="B79" s="7" t="s">
        <v>30</v>
      </c>
      <c r="C79" s="7" t="s">
        <v>15</v>
      </c>
      <c r="D79" s="8" t="s">
        <v>181</v>
      </c>
      <c r="E79" s="8" t="s">
        <v>182</v>
      </c>
      <c r="F79" s="7" t="s">
        <v>33</v>
      </c>
      <c r="G79" s="7" t="s">
        <v>39</v>
      </c>
      <c r="H79" s="7"/>
      <c r="I79" s="9"/>
      <c r="J79" s="9"/>
      <c r="K79" s="10"/>
    </row>
    <row r="80" customFormat="false" ht="30" hidden="false" customHeight="true" outlineLevel="0" collapsed="false">
      <c r="A80" s="7" t="n">
        <v>11</v>
      </c>
      <c r="B80" s="7" t="s">
        <v>14</v>
      </c>
      <c r="C80" s="7" t="s">
        <v>58</v>
      </c>
      <c r="D80" s="8" t="s">
        <v>183</v>
      </c>
      <c r="E80" s="8" t="s">
        <v>184</v>
      </c>
      <c r="F80" s="7" t="s">
        <v>18</v>
      </c>
      <c r="G80" s="7" t="s">
        <v>29</v>
      </c>
      <c r="H80" s="7"/>
      <c r="I80" s="9"/>
      <c r="J80" s="9"/>
      <c r="K80" s="10"/>
    </row>
    <row r="81" customFormat="false" ht="30" hidden="false" customHeight="true" outlineLevel="0" collapsed="false">
      <c r="A81" s="7" t="n">
        <v>11</v>
      </c>
      <c r="B81" s="7" t="s">
        <v>30</v>
      </c>
      <c r="C81" s="7" t="s">
        <v>26</v>
      </c>
      <c r="D81" s="8" t="s">
        <v>185</v>
      </c>
      <c r="E81" s="8" t="s">
        <v>186</v>
      </c>
      <c r="F81" s="7" t="s">
        <v>33</v>
      </c>
      <c r="G81" s="7" t="s">
        <v>53</v>
      </c>
      <c r="H81" s="7"/>
      <c r="I81" s="9"/>
      <c r="J81" s="9"/>
      <c r="K81" s="10"/>
    </row>
    <row r="82" customFormat="false" ht="30" hidden="false" customHeight="true" outlineLevel="0" collapsed="false">
      <c r="A82" s="7" t="n">
        <v>11</v>
      </c>
      <c r="B82" s="7" t="s">
        <v>14</v>
      </c>
      <c r="C82" s="7" t="s">
        <v>87</v>
      </c>
      <c r="D82" s="8" t="s">
        <v>117</v>
      </c>
      <c r="E82" s="8" t="s">
        <v>161</v>
      </c>
      <c r="F82" s="7" t="s">
        <v>48</v>
      </c>
      <c r="G82" s="7" t="s">
        <v>39</v>
      </c>
      <c r="H82" s="7" t="s">
        <v>90</v>
      </c>
      <c r="I82" s="9"/>
      <c r="J82" s="9"/>
      <c r="K82" s="10"/>
    </row>
    <row r="83" customFormat="false" ht="30" hidden="false" customHeight="true" outlineLevel="0" collapsed="false">
      <c r="A83" s="7" t="n">
        <v>11</v>
      </c>
      <c r="B83" s="7" t="s">
        <v>30</v>
      </c>
      <c r="C83" s="7" t="s">
        <v>58</v>
      </c>
      <c r="D83" s="8" t="s">
        <v>187</v>
      </c>
      <c r="E83" s="8" t="s">
        <v>188</v>
      </c>
      <c r="F83" s="7" t="s">
        <v>33</v>
      </c>
      <c r="G83" s="7" t="s">
        <v>39</v>
      </c>
      <c r="H83" s="7" t="s">
        <v>142</v>
      </c>
      <c r="I83" s="9"/>
      <c r="J83" s="9"/>
      <c r="K83" s="10"/>
    </row>
    <row r="84" customFormat="false" ht="30" hidden="false" customHeight="true" outlineLevel="0" collapsed="false">
      <c r="A84" s="11" t="n">
        <v>12</v>
      </c>
      <c r="B84" s="11" t="s">
        <v>14</v>
      </c>
      <c r="C84" s="11" t="s">
        <v>15</v>
      </c>
      <c r="D84" s="12" t="s">
        <v>189</v>
      </c>
      <c r="E84" s="12" t="s">
        <v>190</v>
      </c>
      <c r="F84" s="11" t="s">
        <v>18</v>
      </c>
      <c r="G84" s="11" t="s">
        <v>19</v>
      </c>
      <c r="H84" s="11" t="s">
        <v>191</v>
      </c>
      <c r="I84" s="9"/>
      <c r="J84" s="9"/>
      <c r="K84" s="10"/>
    </row>
    <row r="85" customFormat="false" ht="30" hidden="false" customHeight="true" outlineLevel="0" collapsed="false">
      <c r="A85" s="11" t="n">
        <v>12</v>
      </c>
      <c r="B85" s="11" t="s">
        <v>14</v>
      </c>
      <c r="C85" s="11" t="s">
        <v>26</v>
      </c>
      <c r="D85" s="12" t="s">
        <v>192</v>
      </c>
      <c r="E85" s="12" t="s">
        <v>193</v>
      </c>
      <c r="F85" s="11" t="s">
        <v>18</v>
      </c>
      <c r="G85" s="11" t="s">
        <v>53</v>
      </c>
      <c r="H85" s="11" t="s">
        <v>194</v>
      </c>
      <c r="I85" s="9"/>
      <c r="J85" s="9"/>
      <c r="K85" s="10"/>
    </row>
    <row r="86" customFormat="false" ht="30" hidden="false" customHeight="true" outlineLevel="0" collapsed="false">
      <c r="A86" s="11" t="n">
        <v>12</v>
      </c>
      <c r="B86" s="11" t="s">
        <v>30</v>
      </c>
      <c r="C86" s="11" t="s">
        <v>87</v>
      </c>
      <c r="D86" s="12" t="s">
        <v>195</v>
      </c>
      <c r="E86" s="12" t="s">
        <v>196</v>
      </c>
      <c r="F86" s="11" t="s">
        <v>33</v>
      </c>
      <c r="G86" s="11" t="s">
        <v>39</v>
      </c>
      <c r="H86" s="11" t="s">
        <v>194</v>
      </c>
      <c r="I86" s="9"/>
      <c r="J86" s="9"/>
      <c r="K86" s="10"/>
    </row>
    <row r="87" customFormat="false" ht="30" hidden="false" customHeight="true" outlineLevel="0" collapsed="false">
      <c r="A87" s="11" t="n">
        <v>12</v>
      </c>
      <c r="B87" s="11" t="s">
        <v>14</v>
      </c>
      <c r="C87" s="11" t="s">
        <v>58</v>
      </c>
      <c r="D87" s="12" t="s">
        <v>197</v>
      </c>
      <c r="E87" s="12" t="s">
        <v>198</v>
      </c>
      <c r="F87" s="11" t="s">
        <v>18</v>
      </c>
      <c r="G87" s="11" t="s">
        <v>29</v>
      </c>
      <c r="H87" s="11"/>
      <c r="I87" s="9"/>
      <c r="J87" s="9"/>
      <c r="K87" s="10"/>
    </row>
    <row r="88" customFormat="false" ht="30" hidden="false" customHeight="true" outlineLevel="0" collapsed="false">
      <c r="A88" s="11" t="n">
        <v>12</v>
      </c>
      <c r="B88" s="11" t="s">
        <v>30</v>
      </c>
      <c r="C88" s="11" t="s">
        <v>15</v>
      </c>
      <c r="D88" s="12" t="s">
        <v>199</v>
      </c>
      <c r="E88" s="12" t="s">
        <v>200</v>
      </c>
      <c r="F88" s="11" t="s">
        <v>33</v>
      </c>
      <c r="G88" s="11" t="s">
        <v>39</v>
      </c>
      <c r="H88" s="11" t="s">
        <v>191</v>
      </c>
      <c r="I88" s="9"/>
      <c r="J88" s="9"/>
      <c r="K88" s="10"/>
    </row>
    <row r="89" customFormat="false" ht="30" hidden="false" customHeight="true" outlineLevel="0" collapsed="false">
      <c r="A89" s="11" t="n">
        <v>12</v>
      </c>
      <c r="B89" s="11" t="s">
        <v>14</v>
      </c>
      <c r="C89" s="11" t="s">
        <v>87</v>
      </c>
      <c r="D89" s="12" t="s">
        <v>117</v>
      </c>
      <c r="E89" s="12" t="s">
        <v>161</v>
      </c>
      <c r="F89" s="11" t="s">
        <v>48</v>
      </c>
      <c r="G89" s="11" t="s">
        <v>39</v>
      </c>
      <c r="H89" s="11" t="s">
        <v>90</v>
      </c>
      <c r="I89" s="9"/>
      <c r="J89" s="9"/>
      <c r="K89" s="10"/>
    </row>
    <row r="90" customFormat="false" ht="30" hidden="false" customHeight="true" outlineLevel="0" collapsed="false">
      <c r="A90" s="11" t="n">
        <v>12</v>
      </c>
      <c r="B90" s="11" t="s">
        <v>30</v>
      </c>
      <c r="C90" s="11" t="s">
        <v>15</v>
      </c>
      <c r="D90" s="12" t="s">
        <v>201</v>
      </c>
      <c r="E90" s="12" t="s">
        <v>202</v>
      </c>
      <c r="F90" s="11" t="s">
        <v>44</v>
      </c>
      <c r="G90" s="11" t="s">
        <v>45</v>
      </c>
      <c r="H90" s="11" t="s">
        <v>191</v>
      </c>
      <c r="I90" s="9"/>
      <c r="J90" s="9"/>
      <c r="K90" s="10"/>
    </row>
    <row r="92" customFormat="false" ht="15" hidden="false" customHeight="false" outlineLevel="0" collapsed="false">
      <c r="A92" s="13" t="s">
        <v>203</v>
      </c>
    </row>
    <row r="93" customFormat="false" ht="15" hidden="false" customHeight="false" outlineLevel="0" collapsed="false">
      <c r="A93" s="14" t="s">
        <v>5</v>
      </c>
      <c r="B93" s="14" t="s">
        <v>204</v>
      </c>
      <c r="C93" s="14" t="s">
        <v>205</v>
      </c>
      <c r="D93" s="14" t="s">
        <v>206</v>
      </c>
      <c r="E93" s="14" t="s">
        <v>207</v>
      </c>
    </row>
    <row r="94" customFormat="false" ht="15" hidden="false" customHeight="false" outlineLevel="0" collapsed="false">
      <c r="A94" s="15" t="s">
        <v>15</v>
      </c>
      <c r="B94" s="16" t="n">
        <v>0.4</v>
      </c>
      <c r="C94" s="15" t="n">
        <f aca="false">COUNTIF($C$7:$C$90,$A94)</f>
        <v>33</v>
      </c>
      <c r="D94" s="17" t="n">
        <f aca="false">IF($C$99=0,0,C94/$C$99)</f>
        <v>0.392857142857143</v>
      </c>
      <c r="E94" s="18" t="n">
        <f aca="false">D94-B94</f>
        <v>-0.00714285714285717</v>
      </c>
    </row>
    <row r="95" customFormat="false" ht="15" hidden="false" customHeight="false" outlineLevel="0" collapsed="false">
      <c r="A95" s="15" t="s">
        <v>26</v>
      </c>
      <c r="B95" s="16" t="n">
        <v>0.25</v>
      </c>
      <c r="C95" s="15" t="n">
        <f aca="false">COUNTIF($C$7:$C$90,$A95)</f>
        <v>22</v>
      </c>
      <c r="D95" s="17" t="n">
        <f aca="false">IF($C$99=0,0,C95/$C$99)</f>
        <v>0.261904761904762</v>
      </c>
      <c r="E95" s="18" t="n">
        <f aca="false">D95-B95</f>
        <v>0.0119047619047619</v>
      </c>
    </row>
    <row r="96" customFormat="false" ht="15" hidden="false" customHeight="false" outlineLevel="0" collapsed="false">
      <c r="A96" s="15" t="s">
        <v>58</v>
      </c>
      <c r="B96" s="16" t="n">
        <v>0.2</v>
      </c>
      <c r="C96" s="15" t="n">
        <f aca="false">COUNTIF($C$7:$C$90,$A96)</f>
        <v>17</v>
      </c>
      <c r="D96" s="17" t="n">
        <f aca="false">IF($C$99=0,0,C96/$C$99)</f>
        <v>0.202380952380952</v>
      </c>
      <c r="E96" s="18" t="n">
        <f aca="false">D96-B96</f>
        <v>0.00238095238095237</v>
      </c>
    </row>
    <row r="97" customFormat="false" ht="15" hidden="false" customHeight="false" outlineLevel="0" collapsed="false">
      <c r="A97" s="15" t="s">
        <v>87</v>
      </c>
      <c r="B97" s="16" t="n">
        <v>0.1</v>
      </c>
      <c r="C97" s="15" t="n">
        <f aca="false">COUNTIF($C$7:$C$90,$A97)</f>
        <v>8</v>
      </c>
      <c r="D97" s="17" t="n">
        <f aca="false">IF($C$99=0,0,C97/$C$99)</f>
        <v>0.0952380952380952</v>
      </c>
      <c r="E97" s="18" t="n">
        <f aca="false">D97-B97</f>
        <v>-0.00476190476190477</v>
      </c>
    </row>
    <row r="98" customFormat="false" ht="15" hidden="false" customHeight="false" outlineLevel="0" collapsed="false">
      <c r="A98" s="15" t="s">
        <v>34</v>
      </c>
      <c r="B98" s="16" t="n">
        <v>0.05</v>
      </c>
      <c r="C98" s="15" t="n">
        <f aca="false">COUNTIF($C$7:$C$90,$A98)</f>
        <v>4</v>
      </c>
      <c r="D98" s="17" t="n">
        <f aca="false">IF($C$99=0,0,C98/$C$99)</f>
        <v>0.0476190476190476</v>
      </c>
      <c r="E98" s="18" t="n">
        <f aca="false">D98-B98</f>
        <v>-0.00238095238095239</v>
      </c>
    </row>
    <row r="99" customFormat="false" ht="15" hidden="false" customHeight="false" outlineLevel="0" collapsed="false">
      <c r="A99" s="19" t="s">
        <v>208</v>
      </c>
      <c r="B99" s="20" t="n">
        <f aca="false">SUM(B94:B98)</f>
        <v>1</v>
      </c>
      <c r="C99" s="19" t="n">
        <f aca="false">COUNTA($C$7:$C$90)</f>
        <v>84</v>
      </c>
      <c r="D99" s="20" t="n">
        <f aca="false">SUM(D94:D98)</f>
        <v>1</v>
      </c>
      <c r="E99" s="21"/>
    </row>
    <row r="101" customFormat="false" ht="15" hidden="false" customHeight="false" outlineLevel="0" collapsed="false">
      <c r="A101" s="22" t="s">
        <v>209</v>
      </c>
      <c r="B101" s="23" t="n">
        <f aca="false">COUNTA($D$7:$D$90)</f>
        <v>84</v>
      </c>
    </row>
    <row r="102" customFormat="false" ht="15" hidden="false" customHeight="false" outlineLevel="0" collapsed="false">
      <c r="A102" s="23" t="s">
        <v>210</v>
      </c>
      <c r="B102" s="23" t="n">
        <f aca="false">COUNTIF($B$7:$B$90,"TikTok")</f>
        <v>48</v>
      </c>
    </row>
    <row r="103" customFormat="false" ht="15" hidden="false" customHeight="false" outlineLevel="0" collapsed="false">
      <c r="A103" s="23" t="s">
        <v>211</v>
      </c>
      <c r="B103" s="23" t="n">
        <f aca="false">COUNTIF($B$7:$B$90,"Instagram")</f>
        <v>36</v>
      </c>
    </row>
    <row r="104" customFormat="false" ht="15" hidden="false" customHeight="false" outlineLevel="0" collapsed="false">
      <c r="A104" s="23" t="s">
        <v>21</v>
      </c>
      <c r="B104" s="23" t="n">
        <f aca="false">COUNTIF($I$7:$I$90,"veröffentlicht")</f>
        <v>0</v>
      </c>
    </row>
    <row r="105" customFormat="false" ht="15" hidden="false" customHeight="false" outlineLevel="0" collapsed="false">
      <c r="A105" s="22" t="s">
        <v>212</v>
      </c>
      <c r="B105" s="22" t="str">
        <f aca="false">IF(AND(B101=84,MAX(ABS(E94),ABS(E95),ABS(E96),ABS(E97),ABS(E98))&lt;=0.05),"erfüllt","PRÜFEN")</f>
        <v>erfüllt</v>
      </c>
    </row>
    <row r="106" customFormat="false" ht="15" hidden="false" customHeight="false" outlineLevel="0" collapsed="false">
      <c r="A106" s="2" t="s">
        <v>213</v>
      </c>
    </row>
  </sheetData>
  <dataValidations count="1">
    <dataValidation allowBlank="true" errorStyle="stop" operator="between" showDropDown="false" showErrorMessage="false" showInputMessage="false" sqref="I6:I90" type="list">
      <formula1>"offen,in Arbeit,zur Freigabe,freigegeben,veröffentlicht,verworfen"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2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214</v>
      </c>
    </row>
    <row r="2" customFormat="false" ht="27.75" hidden="false" customHeight="true" outlineLevel="0" collapsed="false">
      <c r="A2" s="24" t="s">
        <v>215</v>
      </c>
      <c r="B2" s="24"/>
      <c r="C2" s="24"/>
    </row>
    <row r="3" customFormat="false" ht="17.35" hidden="false" customHeight="false" outlineLevel="0" collapsed="false">
      <c r="A3" s="25" t="s">
        <v>216</v>
      </c>
    </row>
    <row r="4" customFormat="false" ht="15" hidden="false" customHeight="false" outlineLevel="0" collapsed="false">
      <c r="A4" s="4" t="s">
        <v>5</v>
      </c>
      <c r="B4" s="4" t="s">
        <v>217</v>
      </c>
      <c r="C4" s="4" t="s">
        <v>218</v>
      </c>
    </row>
    <row r="5" customFormat="false" ht="43.5" hidden="false" customHeight="true" outlineLevel="0" collapsed="false">
      <c r="A5" s="26" t="s">
        <v>219</v>
      </c>
      <c r="B5" s="8" t="s">
        <v>220</v>
      </c>
      <c r="C5" s="8" t="s">
        <v>221</v>
      </c>
    </row>
    <row r="6" customFormat="false" ht="43.5" hidden="false" customHeight="true" outlineLevel="0" collapsed="false">
      <c r="A6" s="27" t="s">
        <v>222</v>
      </c>
      <c r="B6" s="12" t="s">
        <v>223</v>
      </c>
      <c r="C6" s="12" t="s">
        <v>224</v>
      </c>
    </row>
    <row r="7" customFormat="false" ht="43.5" hidden="false" customHeight="true" outlineLevel="0" collapsed="false">
      <c r="A7" s="26" t="s">
        <v>58</v>
      </c>
      <c r="B7" s="8" t="s">
        <v>225</v>
      </c>
      <c r="C7" s="8" t="s">
        <v>226</v>
      </c>
    </row>
    <row r="8" customFormat="false" ht="43.5" hidden="false" customHeight="true" outlineLevel="0" collapsed="false">
      <c r="A8" s="27" t="s">
        <v>87</v>
      </c>
      <c r="B8" s="12" t="s">
        <v>227</v>
      </c>
      <c r="C8" s="12" t="s">
        <v>228</v>
      </c>
    </row>
    <row r="9" customFormat="false" ht="43.5" hidden="false" customHeight="true" outlineLevel="0" collapsed="false">
      <c r="A9" s="26" t="s">
        <v>229</v>
      </c>
      <c r="B9" s="8" t="s">
        <v>230</v>
      </c>
      <c r="C9" s="8" t="s">
        <v>231</v>
      </c>
    </row>
    <row r="11" customFormat="false" ht="27.75" hidden="false" customHeight="true" outlineLevel="0" collapsed="false">
      <c r="A11" s="24" t="s">
        <v>232</v>
      </c>
      <c r="B11" s="24"/>
      <c r="C11" s="24"/>
    </row>
    <row r="12" customFormat="false" ht="17.35" hidden="false" customHeight="false" outlineLevel="0" collapsed="false">
      <c r="A12" s="25" t="s">
        <v>233</v>
      </c>
    </row>
    <row r="13" customFormat="false" ht="15" hidden="false" customHeight="false" outlineLevel="0" collapsed="false">
      <c r="A13" s="4" t="s">
        <v>4</v>
      </c>
      <c r="B13" s="4" t="s">
        <v>234</v>
      </c>
      <c r="C13" s="4" t="s">
        <v>235</v>
      </c>
    </row>
    <row r="14" customFormat="false" ht="31.5" hidden="false" customHeight="true" outlineLevel="0" collapsed="false">
      <c r="A14" s="26" t="s">
        <v>14</v>
      </c>
      <c r="B14" s="8" t="s">
        <v>236</v>
      </c>
      <c r="C14" s="8" t="s">
        <v>237</v>
      </c>
    </row>
    <row r="15" customFormat="false" ht="31.5" hidden="false" customHeight="true" outlineLevel="0" collapsed="false">
      <c r="A15" s="27" t="s">
        <v>30</v>
      </c>
      <c r="B15" s="12" t="s">
        <v>238</v>
      </c>
      <c r="C15" s="12" t="s">
        <v>239</v>
      </c>
    </row>
    <row r="16" customFormat="false" ht="31.5" hidden="false" customHeight="true" outlineLevel="0" collapsed="false">
      <c r="A16" s="26" t="s">
        <v>240</v>
      </c>
      <c r="B16" s="8" t="s">
        <v>241</v>
      </c>
      <c r="C16" s="8" t="s">
        <v>242</v>
      </c>
    </row>
    <row r="17" customFormat="false" ht="31.5" hidden="false" customHeight="true" outlineLevel="0" collapsed="false">
      <c r="A17" s="27" t="s">
        <v>243</v>
      </c>
      <c r="B17" s="12" t="s">
        <v>244</v>
      </c>
      <c r="C17" s="12" t="s">
        <v>245</v>
      </c>
    </row>
    <row r="18" customFormat="false" ht="31.5" hidden="false" customHeight="true" outlineLevel="0" collapsed="false">
      <c r="A18" s="26" t="s">
        <v>246</v>
      </c>
      <c r="B18" s="8" t="s">
        <v>247</v>
      </c>
      <c r="C18" s="8" t="s">
        <v>248</v>
      </c>
    </row>
    <row r="19" customFormat="false" ht="31.5" hidden="false" customHeight="true" outlineLevel="0" collapsed="false">
      <c r="A19" s="27" t="s">
        <v>249</v>
      </c>
      <c r="B19" s="12" t="s">
        <v>250</v>
      </c>
      <c r="C19" s="12" t="s">
        <v>251</v>
      </c>
    </row>
    <row r="21" customFormat="false" ht="17.35" hidden="false" customHeight="false" outlineLevel="0" collapsed="false">
      <c r="A21" s="25" t="s">
        <v>252</v>
      </c>
    </row>
    <row r="22" customFormat="false" ht="15" hidden="false" customHeight="false" outlineLevel="0" collapsed="false">
      <c r="A22" s="4" t="s">
        <v>8</v>
      </c>
      <c r="B22" s="4" t="s">
        <v>253</v>
      </c>
      <c r="C22" s="4" t="s">
        <v>254</v>
      </c>
    </row>
    <row r="23" customFormat="false" ht="37.5" hidden="false" customHeight="true" outlineLevel="0" collapsed="false">
      <c r="A23" s="26" t="s">
        <v>18</v>
      </c>
      <c r="B23" s="8" t="s">
        <v>255</v>
      </c>
      <c r="C23" s="8" t="s">
        <v>256</v>
      </c>
    </row>
    <row r="24" customFormat="false" ht="37.5" hidden="false" customHeight="true" outlineLevel="0" collapsed="false">
      <c r="A24" s="27" t="s">
        <v>48</v>
      </c>
      <c r="B24" s="12" t="s">
        <v>257</v>
      </c>
      <c r="C24" s="12" t="s">
        <v>258</v>
      </c>
    </row>
    <row r="25" customFormat="false" ht="37.5" hidden="false" customHeight="true" outlineLevel="0" collapsed="false">
      <c r="A25" s="26" t="s">
        <v>33</v>
      </c>
      <c r="B25" s="8" t="s">
        <v>259</v>
      </c>
      <c r="C25" s="8" t="s">
        <v>260</v>
      </c>
    </row>
    <row r="26" customFormat="false" ht="37.5" hidden="false" customHeight="true" outlineLevel="0" collapsed="false">
      <c r="A26" s="27" t="s">
        <v>44</v>
      </c>
      <c r="B26" s="12" t="s">
        <v>261</v>
      </c>
      <c r="C26" s="12" t="s">
        <v>262</v>
      </c>
    </row>
    <row r="28" customFormat="false" ht="17.35" hidden="false" customHeight="false" outlineLevel="0" collapsed="false">
      <c r="A28" s="25" t="s">
        <v>263</v>
      </c>
    </row>
    <row r="29" customFormat="false" ht="15" hidden="false" customHeight="false" outlineLevel="0" collapsed="false">
      <c r="A29" s="4" t="s">
        <v>264</v>
      </c>
      <c r="B29" s="4" t="s">
        <v>265</v>
      </c>
      <c r="C29" s="4" t="s">
        <v>266</v>
      </c>
    </row>
    <row r="30" customFormat="false" ht="31.5" hidden="false" customHeight="true" outlineLevel="0" collapsed="false">
      <c r="A30" s="26" t="s">
        <v>267</v>
      </c>
      <c r="B30" s="8" t="s">
        <v>268</v>
      </c>
      <c r="C30" s="8" t="s">
        <v>269</v>
      </c>
    </row>
    <row r="31" customFormat="false" ht="31.5" hidden="false" customHeight="true" outlineLevel="0" collapsed="false">
      <c r="A31" s="27" t="s">
        <v>270</v>
      </c>
      <c r="B31" s="12" t="s">
        <v>271</v>
      </c>
      <c r="C31" s="12" t="s">
        <v>272</v>
      </c>
    </row>
    <row r="32" customFormat="false" ht="31.5" hidden="false" customHeight="true" outlineLevel="0" collapsed="false">
      <c r="A32" s="26" t="s">
        <v>273</v>
      </c>
      <c r="B32" s="8" t="s">
        <v>274</v>
      </c>
      <c r="C32" s="8" t="s">
        <v>275</v>
      </c>
    </row>
    <row r="33" customFormat="false" ht="31.5" hidden="false" customHeight="true" outlineLevel="0" collapsed="false">
      <c r="A33" s="27" t="s">
        <v>276</v>
      </c>
      <c r="B33" s="12" t="s">
        <v>277</v>
      </c>
      <c r="C33" s="12" t="s">
        <v>278</v>
      </c>
    </row>
    <row r="34" customFormat="false" ht="31.5" hidden="false" customHeight="true" outlineLevel="0" collapsed="false">
      <c r="A34" s="26" t="s">
        <v>279</v>
      </c>
      <c r="B34" s="8" t="s">
        <v>280</v>
      </c>
      <c r="C34" s="8" t="s">
        <v>281</v>
      </c>
    </row>
    <row r="36" customFormat="false" ht="27.75" hidden="false" customHeight="true" outlineLevel="0" collapsed="false">
      <c r="A36" s="24" t="s">
        <v>282</v>
      </c>
      <c r="B36" s="24"/>
      <c r="C36" s="24"/>
    </row>
    <row r="37" customFormat="false" ht="17.35" hidden="false" customHeight="false" outlineLevel="0" collapsed="false">
      <c r="A37" s="25" t="s">
        <v>283</v>
      </c>
    </row>
    <row r="38" customFormat="false" ht="15" hidden="false" customHeight="false" outlineLevel="0" collapsed="false">
      <c r="A38" s="4" t="s">
        <v>284</v>
      </c>
      <c r="B38" s="4" t="s">
        <v>285</v>
      </c>
      <c r="C38" s="4" t="s">
        <v>286</v>
      </c>
    </row>
    <row r="39" customFormat="false" ht="30" hidden="false" customHeight="true" outlineLevel="0" collapsed="false">
      <c r="A39" s="26" t="s">
        <v>287</v>
      </c>
      <c r="B39" s="8" t="s">
        <v>288</v>
      </c>
      <c r="C39" s="8" t="s">
        <v>289</v>
      </c>
    </row>
    <row r="40" customFormat="false" ht="30" hidden="false" customHeight="true" outlineLevel="0" collapsed="false">
      <c r="A40" s="27" t="s">
        <v>290</v>
      </c>
      <c r="B40" s="12" t="s">
        <v>288</v>
      </c>
      <c r="C40" s="12" t="s">
        <v>291</v>
      </c>
    </row>
    <row r="41" customFormat="false" ht="30" hidden="false" customHeight="true" outlineLevel="0" collapsed="false">
      <c r="A41" s="26" t="s">
        <v>292</v>
      </c>
      <c r="B41" s="8" t="s">
        <v>288</v>
      </c>
      <c r="C41" s="8" t="s">
        <v>293</v>
      </c>
    </row>
    <row r="42" customFormat="false" ht="30" hidden="false" customHeight="true" outlineLevel="0" collapsed="false">
      <c r="A42" s="27" t="s">
        <v>294</v>
      </c>
      <c r="B42" s="12" t="s">
        <v>288</v>
      </c>
      <c r="C42" s="12" t="s">
        <v>295</v>
      </c>
    </row>
    <row r="43" customFormat="false" ht="30" hidden="false" customHeight="true" outlineLevel="0" collapsed="false">
      <c r="A43" s="26" t="s">
        <v>296</v>
      </c>
      <c r="B43" s="8" t="s">
        <v>288</v>
      </c>
      <c r="C43" s="8" t="s">
        <v>297</v>
      </c>
    </row>
    <row r="44" customFormat="false" ht="30" hidden="false" customHeight="true" outlineLevel="0" collapsed="false">
      <c r="A44" s="27" t="s">
        <v>298</v>
      </c>
      <c r="B44" s="12" t="s">
        <v>288</v>
      </c>
      <c r="C44" s="12" t="s">
        <v>299</v>
      </c>
    </row>
    <row r="46" customFormat="false" ht="17.35" hidden="false" customHeight="false" outlineLevel="0" collapsed="false">
      <c r="A46" s="25" t="s">
        <v>300</v>
      </c>
    </row>
    <row r="47" customFormat="false" ht="15" hidden="false" customHeight="false" outlineLevel="0" collapsed="false">
      <c r="A47" s="4" t="s">
        <v>301</v>
      </c>
      <c r="B47" s="4" t="s">
        <v>286</v>
      </c>
    </row>
    <row r="48" customFormat="false" ht="30" hidden="false" customHeight="true" outlineLevel="0" collapsed="false">
      <c r="A48" s="28" t="s">
        <v>302</v>
      </c>
      <c r="B48" s="29" t="s">
        <v>303</v>
      </c>
    </row>
    <row r="49" customFormat="false" ht="30" hidden="false" customHeight="true" outlineLevel="0" collapsed="false">
      <c r="A49" s="28" t="s">
        <v>304</v>
      </c>
      <c r="B49" s="29" t="s">
        <v>305</v>
      </c>
    </row>
    <row r="50" customFormat="false" ht="30" hidden="false" customHeight="true" outlineLevel="0" collapsed="false">
      <c r="A50" s="28" t="s">
        <v>306</v>
      </c>
      <c r="B50" s="29" t="s">
        <v>307</v>
      </c>
    </row>
    <row r="51" customFormat="false" ht="30" hidden="false" customHeight="true" outlineLevel="0" collapsed="false">
      <c r="A51" s="28" t="s">
        <v>308</v>
      </c>
      <c r="B51" s="29" t="s">
        <v>309</v>
      </c>
    </row>
    <row r="52" customFormat="false" ht="30" hidden="false" customHeight="true" outlineLevel="0" collapsed="false">
      <c r="A52" s="28" t="s">
        <v>310</v>
      </c>
      <c r="B52" s="29" t="s">
        <v>311</v>
      </c>
    </row>
    <row r="53" customFormat="false" ht="30" hidden="false" customHeight="true" outlineLevel="0" collapsed="false">
      <c r="A53" s="28" t="s">
        <v>312</v>
      </c>
      <c r="B53" s="29" t="s">
        <v>313</v>
      </c>
    </row>
    <row r="54" customFormat="false" ht="30" hidden="false" customHeight="true" outlineLevel="0" collapsed="false">
      <c r="A54" s="28" t="s">
        <v>314</v>
      </c>
      <c r="B54" s="29" t="s">
        <v>315</v>
      </c>
    </row>
    <row r="55" customFormat="false" ht="30" hidden="false" customHeight="true" outlineLevel="0" collapsed="false">
      <c r="A55" s="28" t="s">
        <v>316</v>
      </c>
      <c r="B55" s="29" t="s">
        <v>317</v>
      </c>
    </row>
    <row r="57" customFormat="false" ht="17.35" hidden="false" customHeight="false" outlineLevel="0" collapsed="false">
      <c r="A57" s="25" t="s">
        <v>318</v>
      </c>
    </row>
    <row r="58" customFormat="false" ht="15" hidden="false" customHeight="false" outlineLevel="0" collapsed="false">
      <c r="A58" s="4" t="s">
        <v>284</v>
      </c>
      <c r="B58" s="4" t="s">
        <v>319</v>
      </c>
    </row>
    <row r="59" customFormat="false" ht="42" hidden="false" customHeight="true" outlineLevel="0" collapsed="false">
      <c r="A59" s="26" t="s">
        <v>320</v>
      </c>
      <c r="B59" s="8" t="s">
        <v>321</v>
      </c>
    </row>
    <row r="60" customFormat="false" ht="42" hidden="false" customHeight="true" outlineLevel="0" collapsed="false">
      <c r="A60" s="27" t="s">
        <v>322</v>
      </c>
      <c r="B60" s="12" t="s">
        <v>323</v>
      </c>
    </row>
    <row r="61" customFormat="false" ht="42" hidden="false" customHeight="true" outlineLevel="0" collapsed="false">
      <c r="A61" s="26" t="s">
        <v>324</v>
      </c>
      <c r="B61" s="8" t="s">
        <v>325</v>
      </c>
    </row>
    <row r="63" customFormat="false" ht="17.35" hidden="false" customHeight="false" outlineLevel="0" collapsed="false">
      <c r="A63" s="25" t="s">
        <v>326</v>
      </c>
    </row>
    <row r="64" customFormat="false" ht="15" hidden="false" customHeight="false" outlineLevel="0" collapsed="false">
      <c r="A64" s="4" t="s">
        <v>327</v>
      </c>
      <c r="B64" s="4" t="s">
        <v>328</v>
      </c>
      <c r="C64" s="4" t="s">
        <v>329</v>
      </c>
    </row>
    <row r="65" customFormat="false" ht="31.5" hidden="false" customHeight="true" outlineLevel="0" collapsed="false">
      <c r="A65" s="26" t="s">
        <v>330</v>
      </c>
      <c r="B65" s="8" t="s">
        <v>331</v>
      </c>
      <c r="C65" s="8" t="s">
        <v>332</v>
      </c>
    </row>
    <row r="66" customFormat="false" ht="31.5" hidden="false" customHeight="true" outlineLevel="0" collapsed="false">
      <c r="A66" s="27" t="s">
        <v>333</v>
      </c>
      <c r="B66" s="12" t="s">
        <v>334</v>
      </c>
      <c r="C66" s="12" t="s">
        <v>335</v>
      </c>
    </row>
    <row r="67" customFormat="false" ht="31.5" hidden="false" customHeight="true" outlineLevel="0" collapsed="false">
      <c r="A67" s="26" t="s">
        <v>336</v>
      </c>
      <c r="B67" s="8" t="s">
        <v>337</v>
      </c>
      <c r="C67" s="8" t="s">
        <v>338</v>
      </c>
    </row>
    <row r="68" customFormat="false" ht="31.5" hidden="false" customHeight="true" outlineLevel="0" collapsed="false">
      <c r="A68" s="27" t="s">
        <v>339</v>
      </c>
      <c r="B68" s="12" t="s">
        <v>340</v>
      </c>
      <c r="C68" s="12" t="s">
        <v>341</v>
      </c>
    </row>
    <row r="69" customFormat="false" ht="31.5" hidden="false" customHeight="true" outlineLevel="0" collapsed="false">
      <c r="A69" s="26" t="s">
        <v>194</v>
      </c>
      <c r="B69" s="8" t="s">
        <v>342</v>
      </c>
      <c r="C69" s="8" t="s">
        <v>343</v>
      </c>
    </row>
    <row r="70" customFormat="false" ht="31.5" hidden="false" customHeight="true" outlineLevel="0" collapsed="false">
      <c r="A70" s="27" t="s">
        <v>344</v>
      </c>
      <c r="B70" s="12" t="s">
        <v>345</v>
      </c>
      <c r="C70" s="12" t="s">
        <v>346</v>
      </c>
    </row>
    <row r="72" customFormat="false" ht="27.75" hidden="false" customHeight="true" outlineLevel="0" collapsed="false">
      <c r="A72" s="24" t="s">
        <v>347</v>
      </c>
      <c r="B72" s="24"/>
      <c r="C72" s="24"/>
    </row>
    <row r="73" customFormat="false" ht="17.35" hidden="false" customHeight="false" outlineLevel="0" collapsed="false">
      <c r="A73" s="25" t="s">
        <v>348</v>
      </c>
    </row>
    <row r="74" customFormat="false" ht="15" hidden="false" customHeight="false" outlineLevel="0" collapsed="false">
      <c r="A74" s="4" t="s">
        <v>349</v>
      </c>
      <c r="B74" s="4" t="s">
        <v>350</v>
      </c>
      <c r="C74" s="4" t="s">
        <v>351</v>
      </c>
    </row>
    <row r="75" customFormat="false" ht="25.5" hidden="false" customHeight="true" outlineLevel="0" collapsed="false">
      <c r="A75" s="26" t="s">
        <v>352</v>
      </c>
      <c r="B75" s="8" t="s">
        <v>353</v>
      </c>
      <c r="C75" s="8" t="s">
        <v>354</v>
      </c>
    </row>
    <row r="76" customFormat="false" ht="25.5" hidden="false" customHeight="true" outlineLevel="0" collapsed="false">
      <c r="A76" s="27" t="s">
        <v>355</v>
      </c>
      <c r="B76" s="12" t="s">
        <v>356</v>
      </c>
      <c r="C76" s="12" t="s">
        <v>357</v>
      </c>
    </row>
    <row r="77" customFormat="false" ht="25.5" hidden="false" customHeight="true" outlineLevel="0" collapsed="false">
      <c r="A77" s="26" t="s">
        <v>358</v>
      </c>
      <c r="B77" s="8" t="s">
        <v>359</v>
      </c>
      <c r="C77" s="8" t="s">
        <v>354</v>
      </c>
    </row>
    <row r="78" customFormat="false" ht="25.5" hidden="false" customHeight="true" outlineLevel="0" collapsed="false">
      <c r="A78" s="27" t="s">
        <v>360</v>
      </c>
      <c r="B78" s="12" t="s">
        <v>353</v>
      </c>
      <c r="C78" s="12" t="s">
        <v>354</v>
      </c>
    </row>
    <row r="79" customFormat="false" ht="25.5" hidden="false" customHeight="true" outlineLevel="0" collapsed="false">
      <c r="A79" s="26" t="s">
        <v>361</v>
      </c>
      <c r="B79" s="8" t="s">
        <v>362</v>
      </c>
      <c r="C79" s="8" t="s">
        <v>363</v>
      </c>
    </row>
    <row r="80" customFormat="false" ht="25.5" hidden="false" customHeight="true" outlineLevel="0" collapsed="false">
      <c r="A80" s="27" t="s">
        <v>208</v>
      </c>
      <c r="B80" s="12" t="s">
        <v>364</v>
      </c>
      <c r="C80" s="12" t="s">
        <v>365</v>
      </c>
    </row>
    <row r="82" customFormat="false" ht="27.75" hidden="false" customHeight="true" outlineLevel="0" collapsed="false">
      <c r="A82" s="24" t="s">
        <v>366</v>
      </c>
      <c r="B82" s="24"/>
      <c r="C82" s="24"/>
    </row>
    <row r="83" customFormat="false" ht="17.35" hidden="false" customHeight="false" outlineLevel="0" collapsed="false">
      <c r="A83" s="25" t="s">
        <v>367</v>
      </c>
    </row>
    <row r="84" customFormat="false" ht="15" hidden="false" customHeight="false" outlineLevel="0" collapsed="false">
      <c r="A84" s="4" t="s">
        <v>368</v>
      </c>
      <c r="B84" s="4" t="s">
        <v>369</v>
      </c>
    </row>
    <row r="85" customFormat="false" ht="33.75" hidden="false" customHeight="true" outlineLevel="0" collapsed="false">
      <c r="A85" s="26" t="s">
        <v>370</v>
      </c>
      <c r="B85" s="8" t="s">
        <v>371</v>
      </c>
    </row>
    <row r="86" customFormat="false" ht="33.75" hidden="false" customHeight="true" outlineLevel="0" collapsed="false">
      <c r="A86" s="27" t="s">
        <v>372</v>
      </c>
      <c r="B86" s="12" t="s">
        <v>373</v>
      </c>
    </row>
    <row r="87" customFormat="false" ht="33.75" hidden="false" customHeight="true" outlineLevel="0" collapsed="false">
      <c r="A87" s="26" t="s">
        <v>374</v>
      </c>
      <c r="B87" s="8" t="s">
        <v>354</v>
      </c>
    </row>
    <row r="88" customFormat="false" ht="33.75" hidden="false" customHeight="true" outlineLevel="0" collapsed="false">
      <c r="A88" s="27" t="s">
        <v>375</v>
      </c>
      <c r="B88" s="12" t="s">
        <v>376</v>
      </c>
    </row>
  </sheetData>
  <mergeCells count="5">
    <mergeCell ref="A2:C2"/>
    <mergeCell ref="A11:C11"/>
    <mergeCell ref="A36:C36"/>
    <mergeCell ref="A72:C72"/>
    <mergeCell ref="A82:C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2026-07-26T10:11:15Z</dcterms:created>
  <dc:creator>openpyxl</dc:creator>
  <dc:description/>
  <dc:language>en-US</dc:language>
  <cp:lastModifiedBy/>
  <dcterms:modified xsi:type="dcterms:W3CDTF">2026-07-26T10:11:16Z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