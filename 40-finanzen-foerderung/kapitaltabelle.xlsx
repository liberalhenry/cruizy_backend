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leitung" sheetId="1" state="visible" r:id="rId3"/>
    <sheet name="Stammkapital" sheetId="2" state="visible" r:id="rId4"/>
    <sheet name="Kapitaltabelle" sheetId="3" state="visible" r:id="rId5"/>
    <sheet name="Beteiligung" sheetId="4" state="visible" r:id="rId6"/>
    <sheet name="Herkunf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<sst xmlns="http://schemas.openxmlformats.org/spreadsheetml/2006/main" count="149" uniqueCount="133">
  <si>
    <t xml:space="preserve">Kapitaltabelle Cruizy — Anleitung</t>
  </si>
  <si>
    <t xml:space="preserve">Aufgabe A-44 · erstellt 19.09.2026 · Rolle: Transaktionsberater · Dokument 04.08 des Datenraums · Grundlage: offene Entscheidungen Nr. 2, 4, 19, 20</t>
  </si>
  <si>
    <t xml:space="preserve">DIESE TABELLE RECHNET. SIE ENTSCHEIDET NICHT. Das Stammkapitalmodell ist offen (Nr. 20), und es gibt keine Beteiligung, kein Angebot und keine Bewertung. Die Werte auf dem Blatt „Beteiligung" sind BEISPIELWERTE zum Rechnen — sie sind von den Gründern zu ersetzen, bevor die Tabelle jemand anderem gezeigt wird.</t>
  </si>
  <si>
    <t xml:space="preserve">Farben</t>
  </si>
  <si>
    <t xml:space="preserve">BLAU = Stellhebel. Hier wird geändert. Alles andere rechnet sich daraus.</t>
  </si>
  <si>
    <t xml:space="preserve">GELB = von Menschen auszufüllen oder zu entscheiden. Ohne Entscheidung bleibt ein Beispielwert stehen.</t>
  </si>
  <si>
    <t xml:space="preserve">WEISS mit Formel = Ergebnis. Nicht überschreiben, sonst bricht die Kette.</t>
  </si>
  <si>
    <t xml:space="preserve">BERNSTEIN = Hinweis, der bewusst stehen bleibt.</t>
  </si>
  <si>
    <t xml:space="preserve">Die Blätter, in der Reihenfolge, in der man sie liest</t>
  </si>
  <si>
    <t xml:space="preserve">Blatt</t>
  </si>
  <si>
    <t xml:space="preserve">Was darin steht</t>
  </si>
  <si>
    <t xml:space="preserve">Wer es anfasst</t>
  </si>
  <si>
    <t xml:space="preserve">Stammkapital</t>
  </si>
  <si>
    <t xml:space="preserve">Die vier Modelle aus Entscheidung Nr. 20 mit Einzahlung, Resthaftung und Folge. Der Schalter bestimmt, womit die Kapitaltabelle rechnet.</t>
  </si>
  <si>
    <t xml:space="preserve">Gründer, mit Anwalt</t>
  </si>
  <si>
    <t xml:space="preserve">Kapitaltabelle</t>
  </si>
  <si>
    <t xml:space="preserve">Wer hält welche Geschäftsanteile, mit welchem Nennbetrag, zu welchem Anteil — vor jeder Beteiligung.</t>
  </si>
  <si>
    <t xml:space="preserve">Gründer</t>
  </si>
  <si>
    <t xml:space="preserve">Beteiligung</t>
  </si>
  <si>
    <t xml:space="preserve">Was eine Beteiligung mit den Anteilen macht: Investorenanteil, Verwässerung, neue Verteilung. Dazu eine Empfindlichkeitstabelle.</t>
  </si>
  <si>
    <t xml:space="preserve">Gründer, vor jedem Gespräch</t>
  </si>
  <si>
    <t xml:space="preserve">Herkunft</t>
  </si>
  <si>
    <t xml:space="preserve">Jede Zahl mit Quelle. Was hier nicht steht, steht nirgends.</t>
  </si>
  <si>
    <t xml:space="preserve">alle</t>
  </si>
  <si>
    <t xml:space="preserve">Was diese Tabelle NICHT ist: kein Angebot, keine Bewertung, keine Zusage und kein Ersatz für den Gesellschaftsvertrag. Vesting, Stichentscheid und Mitverkaufsrechte (Nr. 4) stehen dort, nicht hier.</t>
  </si>
  <si>
    <t xml:space="preserve">Stammkapitalmodell</t>
  </si>
  <si>
    <t xml:space="preserve">Vier Modelle aus Entscheidung Nr. 20. Der Schalter unten bestimmt, womit die Kapitaltabelle rechnet.</t>
  </si>
  <si>
    <t xml:space="preserve">Nr.</t>
  </si>
  <si>
    <t xml:space="preserve">Modell</t>
  </si>
  <si>
    <t xml:space="preserve">sofort einzuzahlen</t>
  </si>
  <si>
    <t xml:space="preserve">offene Resthaftung</t>
  </si>
  <si>
    <t xml:space="preserve">Was es bedeutet</t>
  </si>
  <si>
    <t xml:space="preserve">25.000 € voll eingezahlt</t>
  </si>
  <si>
    <t xml:space="preserve">Der saubere Fall. Kein Haftungsrest, keine Diskussion im Datenraum. Braucht 25.000 € in bar zum Notartermin.</t>
  </si>
  <si>
    <t xml:space="preserve">25.000 €, davon 12.500 € eingezahlt</t>
  </si>
  <si>
    <t xml:space="preserve">Gesetzlich zulässig. Die Differenz bleibt als Einlageschuld bestehen und wird im Insolvenzfall eingefordert — mit Privatvermögen.</t>
  </si>
  <si>
    <t xml:space="preserve">Sachgründung</t>
  </si>
  <si>
    <t xml:space="preserve">Einlage in Sachwerten statt Geld. Braucht einen Sachgründungsbericht und erhöht Prüfaufwand und Notarkosten; die Werthaltigkeit muss belegt sein.</t>
  </si>
  <si>
    <t xml:space="preserve">UG mit späterer Umwandlung</t>
  </si>
  <si>
    <t xml:space="preserve">Niedrige Hürde, aber: Rücklagepflicht von einem Viertel des Jahresüberschusses bis 25.000 € erreicht sind, und „UG (haftungsbeschränkt)" steht in jeder Signatur.</t>
  </si>
  <si>
    <t xml:space="preserve">SCHALTER — welches Modell gilt (1 bis 4)</t>
  </si>
  <si>
    <t xml:space="preserve">GELBES FELD (D11). Voreingestellt Modell 2, weil es im Finanzmodell mit 12.500 € Einzahlung gerechnet ist — das ist eine Rechenvoreinstellung, keine Entscheidung (Nr. 20).</t>
  </si>
  <si>
    <t xml:space="preserve">Daraus folgt</t>
  </si>
  <si>
    <t xml:space="preserve">Wert</t>
  </si>
  <si>
    <t xml:space="preserve">Gewähltes Modell</t>
  </si>
  <si>
    <t xml:space="preserve">Sofort einzuzahlen</t>
  </si>
  <si>
    <t xml:space="preserve">Offene Resthaftung</t>
  </si>
  <si>
    <t xml:space="preserve">Geschäftsanteile zu je 1 €</t>
  </si>
  <si>
    <t xml:space="preserve">Je Gründer bei 50/50</t>
  </si>
  <si>
    <t xml:space="preserve">Geschäftsanteile zu je 1 € Nennbetrag sind der übliche Zuschnitt; er macht Prozentrechnungen ganzzahlig. Der tatsächliche Zuschnitt gehört in den Gesellschaftsvertrag (Nr. 4).</t>
  </si>
  <si>
    <t xml:space="preserve">Kapitaltabelle vor einer Beteiligung</t>
  </si>
  <si>
    <t xml:space="preserve">Stand der Gründung. Rechtsform GmbH (Nr. 2), Verteilung 50/50 mit Stichentscheid im Vertrag (Nr. 4).</t>
  </si>
  <si>
    <t xml:space="preserve">Gesellschafter</t>
  </si>
  <si>
    <t xml:space="preserve">Geschäftsanteile</t>
  </si>
  <si>
    <t xml:space="preserve">Nennbetrag</t>
  </si>
  <si>
    <t xml:space="preserve">Anteil</t>
  </si>
  <si>
    <t xml:space="preserve">eingezahlt</t>
  </si>
  <si>
    <t xml:space="preserve">Anmerkung</t>
  </si>
  <si>
    <t xml:space="preserve">Henry Luca Kurz</t>
  </si>
  <si>
    <t xml:space="preserve">Gründer. Vesting über vier Jahre mit zwölf Monaten Cliff ist vorgesehen und gehört in den Gesellschaftsvertrag (Nr. 4).</t>
  </si>
  <si>
    <t xml:space="preserve">Nicolas Greulich</t>
  </si>
  <si>
    <t xml:space="preserve">Summe</t>
  </si>
  <si>
    <t xml:space="preserve">Warum hier nur zwei Zeilen stehen: Es gibt keine weiteren Gesellschafter, keine Optionen, keine Wandeldarlehen und keine stillen Beteiligungen. Sollte sich das ändern, kommt je Vorgang eine Zeile dazu — und die Prozentspalte rechnet sich neu.</t>
  </si>
  <si>
    <t xml:space="preserve">Nachrichtlich</t>
  </si>
  <si>
    <t xml:space="preserve">Stammkapital gesamt</t>
  </si>
  <si>
    <t xml:space="preserve">Davon eingezahlt</t>
  </si>
  <si>
    <t xml:space="preserve">Offene Einlageschuld</t>
  </si>
  <si>
    <t xml:space="preserve">Anzahl Gesellschafter</t>
  </si>
  <si>
    <t xml:space="preserve">Was eine Beteiligung mit den Anteilen macht</t>
  </si>
  <si>
    <t xml:space="preserve">ALLE WERTE HIER SIND BEISPIELWERTE. Es gibt kein Angebot, keine Bewertung und keine Zusage.</t>
  </si>
  <si>
    <t xml:space="preserve">Vor jedem Gespräch zu ersetzen: der Betrag (B7) und die Bewertung vor Beteiligung (B8). Beides sind Gründerentscheidungen und stehen in keinem Dokument des Projekts.</t>
  </si>
  <si>
    <t xml:space="preserve">Stellhebel</t>
  </si>
  <si>
    <t xml:space="preserve">Investitionsbetrag</t>
  </si>
  <si>
    <t xml:space="preserve">BEISPIELWERT = Kapitalbedarf der Firma bei eID-Voreinstellung (Finanzmodell, Blatt „Kennzahlen"). Kein Ask.</t>
  </si>
  <si>
    <t xml:space="preserve">Bewertung vor der Beteiligung</t>
  </si>
  <si>
    <t xml:space="preserve">BEISPIELWERT, frei gesetzt, um die Rechnung zu zeigen. In keinem Projektdokument belegt.</t>
  </si>
  <si>
    <t xml:space="preserve">Wie es sich rechnet</t>
  </si>
  <si>
    <t xml:space="preserve">Bewertung nach der Beteiligung</t>
  </si>
  <si>
    <t xml:space="preserve">Bewertung vorher plus Betrag</t>
  </si>
  <si>
    <t xml:space="preserve">Anteil des Investors</t>
  </si>
  <si>
    <t xml:space="preserve">Betrag geteilt durch Bewertung nachher</t>
  </si>
  <si>
    <t xml:space="preserve">Preis je Anteil</t>
  </si>
  <si>
    <t xml:space="preserve">Bewertung vorher geteilt durch die bestehenden Anteile</t>
  </si>
  <si>
    <t xml:space="preserve">Neue Anteile für den Investor</t>
  </si>
  <si>
    <t xml:space="preserve">Betrag geteilt durch den Preis je Anteil</t>
  </si>
  <si>
    <t xml:space="preserve">Anteile gesamt nachher</t>
  </si>
  <si>
    <t xml:space="preserve">bestehende plus neue Anteile</t>
  </si>
  <si>
    <t xml:space="preserve">Anteil je Gründer vorher</t>
  </si>
  <si>
    <t xml:space="preserve">aus der Kapitaltabelle</t>
  </si>
  <si>
    <t xml:space="preserve">Anteil je Gründer nachher</t>
  </si>
  <si>
    <t xml:space="preserve">unveränderte Anteile, größere Gesamtzahl</t>
  </si>
  <si>
    <t xml:space="preserve">Verwässerung je Gründer</t>
  </si>
  <si>
    <t xml:space="preserve">Differenz in Prozentpunkten</t>
  </si>
  <si>
    <t xml:space="preserve">Gemeinsamer Anteil der Gründer nachher</t>
  </si>
  <si>
    <t xml:space="preserve">beide zusammen — unter 50 % heißt: nicht mehr in der Mehrheit</t>
  </si>
  <si>
    <t xml:space="preserve">Die letzte Zeile ist die, auf die es ankommt. Sinkt der gemeinsame Anteil unter 50 Prozent, entscheidet bei jeder Gesellschafterversammlung jemand anderes mit — unabhängig davon, was im Vertrag über den Stichentscheid steht (Nr. 4).</t>
  </si>
  <si>
    <t xml:space="preserve">Empfindlichkeit: Anteil des Investors bei drei Beträgen und drei Bewertungen</t>
  </si>
  <si>
    <t xml:space="preserve">Betrag \ Bewertung vorher</t>
  </si>
  <si>
    <t xml:space="preserve">Alle neun Felder sind Rechenbeispiele. Sie zeigen nur, wie empfindlich der Investorenanteil auf die Bewertung reagiert — nicht, was angemessen wäre.</t>
  </si>
  <si>
    <t xml:space="preserve">Herkunft jeder Zahl</t>
  </si>
  <si>
    <t xml:space="preserve">Was hier nicht steht, steht nirgends. Stand 19.09.2026.</t>
  </si>
  <si>
    <t xml:space="preserve">Größe</t>
  </si>
  <si>
    <t xml:space="preserve">Wert oder Quelle</t>
  </si>
  <si>
    <t xml:space="preserve">Art</t>
  </si>
  <si>
    <t xml:space="preserve">Rechtsform GmbH</t>
  </si>
  <si>
    <t xml:space="preserve">Entscheidung Nr. 2, entschieden am 26.07.2026</t>
  </si>
  <si>
    <t xml:space="preserve">entschieden</t>
  </si>
  <si>
    <t xml:space="preserve">Verteilung 50/50</t>
  </si>
  <si>
    <t xml:space="preserve">Entscheidung Nr. 4: Stichentscheid bei 50/50 ist Vertragsgegenstand</t>
  </si>
  <si>
    <t xml:space="preserve">Namen der Gesellschafter</t>
  </si>
  <si>
    <t xml:space="preserve">Entscheidung Nr. 19: die Namen werden ohnehin öffentlich (§ 5 DDG)</t>
  </si>
  <si>
    <t xml:space="preserve">Entscheidung Nr. 20 — vier Modelle liegen vor, keines gewählt</t>
  </si>
  <si>
    <t xml:space="preserve">OFFEN</t>
  </si>
  <si>
    <t xml:space="preserve">25.000 € Stammkapital</t>
  </si>
  <si>
    <t xml:space="preserve">gesetzlicher Mindestbetrag der GmbH</t>
  </si>
  <si>
    <t xml:space="preserve">Gesetz</t>
  </si>
  <si>
    <t xml:space="preserve">12.500 € Mindesteinzahlung</t>
  </si>
  <si>
    <t xml:space="preserve">die Hälfte des Stammkapitals, gesetzlich zulässig; Rest bleibt Einlageschuld</t>
  </si>
  <si>
    <t xml:space="preserve">Rücklagepflicht der UG</t>
  </si>
  <si>
    <t xml:space="preserve">ein Viertel des Jahresüberschusses, bis 25.000 € erreicht sind</t>
  </si>
  <si>
    <t xml:space="preserve">Notarkosten 2.600 €</t>
  </si>
  <si>
    <t xml:space="preserve">Finanzmodell, Blatt „Annahmen": Notar, Handelsregister, Gesellschaftsvertrag</t>
  </si>
  <si>
    <t xml:space="preserve">Planwert</t>
  </si>
  <si>
    <t xml:space="preserve">Investitionsbetrag 107.349 €</t>
  </si>
  <si>
    <t xml:space="preserve">BEISPIELWERT = Kapitalbedarf bei eID-Voreinstellung (Finanzmodell, Blatt „Kennzahlen")</t>
  </si>
  <si>
    <t xml:space="preserve">BEISPIEL</t>
  </si>
  <si>
    <t xml:space="preserve">Bewertung 600.000 €</t>
  </si>
  <si>
    <t xml:space="preserve">BEISPIELWERT, frei gesetzt. In keinem Projektdokument belegt und von niemandem geprüft</t>
  </si>
  <si>
    <t xml:space="preserve">Vesting 4 Jahre, 12 Monate Cliff</t>
  </si>
  <si>
    <t xml:space="preserve">Entscheidung Nr. 4 — vorgesehen, noch nicht vertraglich</t>
  </si>
  <si>
    <t xml:space="preserve">üblicher Zuschnitt; der tatsächliche gehört in den Gesellschaftsvertrag</t>
  </si>
  <si>
    <t xml:space="preserve">ANNAHME</t>
  </si>
  <si>
    <t xml:space="preserve">Vier Zeilen dieser Tabelle sind offen oder Beispiel. Solange das so ist, ist die Kapitaltabelle ein Rechenwerkzeug und kein Dokument für einen Datenraum. Sie wird es in dem Moment, in dem Nr. 20 entschieden ist und die Gründer einen Betrag festgelegt haben.</t>
  </si>
</sst>
</file>

<file path=xl/styles.xml><?xml version="1.0" encoding="utf-8"?>
<styleSheet xmlns="http://schemas.openxmlformats.org/spreadsheetml/2006/main">
  <numFmts count="5">
    <numFmt numFmtId="164" formatCode="General"/>
    <numFmt numFmtId="165" formatCode="#,##0"/>
    <numFmt numFmtId="166" formatCode="#,##0&quot; €&quot;"/>
    <numFmt numFmtId="167" formatCode="0.0%"/>
    <numFmt numFmtId="168" formatCode="#,##0.00&quot; €&quot;"/>
  </numFmts>
  <fonts count="12">
    <font>
      <sz val="11"/>
      <color theme="1"/>
      <name val="Calibri"/>
      <family val="2"/>
      <charset val="1"/>
    </font>
    <font>
      <sz val="10"/>
      <name val="Arial"/>
      <family val="0"/>
    </font>
    <font>
      <sz val="10"/>
      <name val="Arial"/>
      <family val="0"/>
    </font>
    <font>
      <sz val="10"/>
      <name val="Arial"/>
      <family val="0"/>
    </font>
    <font>
      <b val="true"/>
      <sz val="16"/>
      <color rgb="FF1F3A5F"/>
      <name val="Arial"/>
      <family val="0"/>
      <charset val="1"/>
    </font>
    <font>
      <sz val="9"/>
      <color rgb="FF595959"/>
      <name val="Arial"/>
      <family val="0"/>
      <charset val="1"/>
    </font>
    <font>
      <b val="true"/>
      <sz val="10"/>
      <color rgb="FF000000"/>
      <name val="Arial"/>
      <family val="0"/>
      <charset val="1"/>
    </font>
    <font>
      <b val="true"/>
      <sz val="13"/>
      <color rgb="FF1F3A5F"/>
      <name val="Arial"/>
      <family val="0"/>
      <charset val="1"/>
    </font>
    <font>
      <sz val="10"/>
      <color rgb="FF000000"/>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s>
  <fills count="6">
    <fill>
      <patternFill patternType="none"/>
    </fill>
    <fill>
      <patternFill patternType="gray125"/>
    </fill>
    <fill>
      <patternFill patternType="solid">
        <fgColor rgb="FFFDF3E7"/>
        <bgColor rgb="FFFFFFFF"/>
      </patternFill>
    </fill>
    <fill>
      <patternFill patternType="solid">
        <fgColor rgb="FFDCE6F1"/>
        <bgColor rgb="FFFDF3E7"/>
      </patternFill>
    </fill>
    <fill>
      <patternFill patternType="solid">
        <fgColor rgb="FFFFFF00"/>
        <bgColor rgb="FFFFFF00"/>
      </patternFill>
    </fill>
    <fill>
      <patternFill patternType="solid">
        <fgColor rgb="FF1F3A5F"/>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true" applyProtection="false">
      <alignment horizontal="general" vertical="center"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DF3E7"/>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04"/>
    <col collapsed="false" customWidth="true" hidden="false" outlineLevel="0" max="3" min="3" style="0" width="26"/>
  </cols>
  <sheetData>
    <row r="1" customFormat="false" ht="19.7" hidden="false" customHeight="false" outlineLevel="0" collapsed="false">
      <c r="A1" s="1" t="s">
        <v>0</v>
      </c>
    </row>
    <row r="2" customFormat="false" ht="15" hidden="false" customHeight="false" outlineLevel="0" collapsed="false">
      <c r="A2" s="2" t="s">
        <v>1</v>
      </c>
    </row>
    <row r="4" customFormat="false" ht="57.75" hidden="false" customHeight="true" outlineLevel="0" collapsed="false">
      <c r="A4" s="3" t="s">
        <v>2</v>
      </c>
      <c r="B4" s="3"/>
      <c r="C4" s="3"/>
      <c r="D4" s="3"/>
      <c r="E4" s="3"/>
    </row>
    <row r="6" customFormat="false" ht="16.15" hidden="false" customHeight="false" outlineLevel="0" collapsed="false">
      <c r="A6" s="4" t="s">
        <v>3</v>
      </c>
    </row>
    <row r="7" customFormat="false" ht="15" hidden="false" customHeight="false" outlineLevel="0" collapsed="false">
      <c r="A7" s="5" t="s">
        <v>4</v>
      </c>
      <c r="B7" s="5"/>
      <c r="C7" s="5"/>
      <c r="D7" s="5"/>
      <c r="E7" s="5"/>
    </row>
    <row r="8" customFormat="false" ht="15" hidden="false" customHeight="false" outlineLevel="0" collapsed="false">
      <c r="A8" s="6" t="s">
        <v>5</v>
      </c>
      <c r="B8" s="6"/>
      <c r="C8" s="6"/>
      <c r="D8" s="6"/>
      <c r="E8" s="6"/>
    </row>
    <row r="9" customFormat="false" ht="15" hidden="false" customHeight="false" outlineLevel="0" collapsed="false">
      <c r="A9" s="7" t="s">
        <v>6</v>
      </c>
      <c r="B9" s="7"/>
      <c r="C9" s="7"/>
      <c r="D9" s="7"/>
      <c r="E9" s="7"/>
    </row>
    <row r="10" customFormat="false" ht="15" hidden="false" customHeight="false" outlineLevel="0" collapsed="false">
      <c r="A10" s="8" t="s">
        <v>7</v>
      </c>
      <c r="B10" s="8"/>
      <c r="C10" s="8"/>
      <c r="D10" s="8"/>
      <c r="E10" s="8"/>
    </row>
    <row r="12" customFormat="false" ht="16.15" hidden="false" customHeight="false" outlineLevel="0" collapsed="false">
      <c r="A12" s="4" t="s">
        <v>8</v>
      </c>
    </row>
    <row r="13" customFormat="false" ht="15" hidden="false" customHeight="false" outlineLevel="0" collapsed="false">
      <c r="A13" s="9" t="s">
        <v>9</v>
      </c>
      <c r="B13" s="9" t="s">
        <v>10</v>
      </c>
      <c r="C13" s="9" t="s">
        <v>11</v>
      </c>
    </row>
    <row r="14" customFormat="false" ht="30" hidden="false" customHeight="true" outlineLevel="0" collapsed="false">
      <c r="A14" s="10" t="s">
        <v>12</v>
      </c>
      <c r="B14" s="11" t="s">
        <v>13</v>
      </c>
      <c r="C14" s="11" t="s">
        <v>14</v>
      </c>
    </row>
    <row r="15" customFormat="false" ht="30" hidden="false" customHeight="true" outlineLevel="0" collapsed="false">
      <c r="A15" s="10" t="s">
        <v>15</v>
      </c>
      <c r="B15" s="11" t="s">
        <v>16</v>
      </c>
      <c r="C15" s="11" t="s">
        <v>17</v>
      </c>
    </row>
    <row r="16" customFormat="false" ht="30" hidden="false" customHeight="true" outlineLevel="0" collapsed="false">
      <c r="A16" s="10" t="s">
        <v>18</v>
      </c>
      <c r="B16" s="11" t="s">
        <v>19</v>
      </c>
      <c r="C16" s="11" t="s">
        <v>20</v>
      </c>
    </row>
    <row r="17" customFormat="false" ht="30" hidden="false" customHeight="true" outlineLevel="0" collapsed="false">
      <c r="A17" s="10" t="s">
        <v>21</v>
      </c>
      <c r="B17" s="11" t="s">
        <v>22</v>
      </c>
      <c r="C17" s="11" t="s">
        <v>23</v>
      </c>
    </row>
    <row r="19" customFormat="false" ht="31.5" hidden="false" customHeight="true" outlineLevel="0" collapsed="false">
      <c r="A19" s="12" t="s">
        <v>24</v>
      </c>
      <c r="B19" s="12"/>
      <c r="C19" s="12"/>
      <c r="D19" s="12"/>
      <c r="E19" s="12"/>
    </row>
  </sheetData>
  <mergeCells count="6">
    <mergeCell ref="A4:E4"/>
    <mergeCell ref="A7:E7"/>
    <mergeCell ref="A8:E8"/>
    <mergeCell ref="A9:E9"/>
    <mergeCell ref="A10:E10"/>
    <mergeCell ref="A19:E1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6"/>
    <col collapsed="false" customWidth="true" hidden="false" outlineLevel="0" max="3" min="3" style="0" width="20"/>
    <col collapsed="false" customWidth="true" hidden="false" outlineLevel="0" max="5" min="4" style="0" width="22"/>
    <col collapsed="false" customWidth="true" hidden="false" outlineLevel="0" max="6" min="6" style="0" width="74"/>
  </cols>
  <sheetData>
    <row r="1" customFormat="false" ht="19.7" hidden="false" customHeight="false" outlineLevel="0" collapsed="false">
      <c r="A1" s="1" t="s">
        <v>25</v>
      </c>
    </row>
    <row r="2" customFormat="false" ht="15" hidden="false" customHeight="false" outlineLevel="0" collapsed="false">
      <c r="A2" s="2" t="s">
        <v>26</v>
      </c>
    </row>
    <row r="4" customFormat="false" ht="15" hidden="false" customHeight="false" outlineLevel="0" collapsed="false">
      <c r="A4" s="9" t="s">
        <v>27</v>
      </c>
      <c r="B4" s="9" t="s">
        <v>28</v>
      </c>
      <c r="C4" s="9" t="s">
        <v>12</v>
      </c>
      <c r="D4" s="9" t="s">
        <v>29</v>
      </c>
      <c r="E4" s="9" t="s">
        <v>30</v>
      </c>
      <c r="F4" s="9" t="s">
        <v>31</v>
      </c>
    </row>
    <row r="5" customFormat="false" ht="33.75" hidden="false" customHeight="true" outlineLevel="0" collapsed="false">
      <c r="A5" s="13" t="n">
        <v>1</v>
      </c>
      <c r="B5" s="7" t="s">
        <v>32</v>
      </c>
      <c r="C5" s="14" t="n">
        <v>25000</v>
      </c>
      <c r="D5" s="14" t="n">
        <v>25000</v>
      </c>
      <c r="E5" s="14" t="n">
        <v>0</v>
      </c>
      <c r="F5" s="15" t="s">
        <v>33</v>
      </c>
    </row>
    <row r="6" customFormat="false" ht="33.75" hidden="false" customHeight="true" outlineLevel="0" collapsed="false">
      <c r="A6" s="13" t="n">
        <v>2</v>
      </c>
      <c r="B6" s="7" t="s">
        <v>34</v>
      </c>
      <c r="C6" s="14" t="n">
        <v>25000</v>
      </c>
      <c r="D6" s="14" t="n">
        <v>12500</v>
      </c>
      <c r="E6" s="14" t="n">
        <v>12500</v>
      </c>
      <c r="F6" s="15" t="s">
        <v>35</v>
      </c>
    </row>
    <row r="7" customFormat="false" ht="33.75" hidden="false" customHeight="true" outlineLevel="0" collapsed="false">
      <c r="A7" s="13" t="n">
        <v>3</v>
      </c>
      <c r="B7" s="7" t="s">
        <v>36</v>
      </c>
      <c r="C7" s="14" t="n">
        <v>25000</v>
      </c>
      <c r="D7" s="14" t="n">
        <v>25000</v>
      </c>
      <c r="E7" s="14" t="n">
        <v>0</v>
      </c>
      <c r="F7" s="15" t="s">
        <v>37</v>
      </c>
    </row>
    <row r="8" customFormat="false" ht="33.75" hidden="false" customHeight="true" outlineLevel="0" collapsed="false">
      <c r="A8" s="13" t="n">
        <v>4</v>
      </c>
      <c r="B8" s="7" t="s">
        <v>38</v>
      </c>
      <c r="C8" s="14" t="n">
        <v>1000</v>
      </c>
      <c r="D8" s="14" t="n">
        <v>1000</v>
      </c>
      <c r="E8" s="14" t="n">
        <v>0</v>
      </c>
      <c r="F8" s="15" t="s">
        <v>39</v>
      </c>
    </row>
    <row r="11" customFormat="false" ht="15" hidden="false" customHeight="false" outlineLevel="0" collapsed="false">
      <c r="A11" s="16" t="s">
        <v>40</v>
      </c>
      <c r="B11" s="16"/>
      <c r="C11" s="16"/>
      <c r="D11" s="17" t="n">
        <v>2</v>
      </c>
    </row>
    <row r="12" customFormat="false" ht="30" hidden="false" customHeight="true" outlineLevel="0" collapsed="false">
      <c r="A12" s="12" t="s">
        <v>41</v>
      </c>
      <c r="B12" s="12"/>
      <c r="C12" s="12"/>
      <c r="D12" s="12"/>
      <c r="E12" s="12"/>
      <c r="F12" s="12"/>
    </row>
    <row r="14" customFormat="false" ht="15" hidden="false" customHeight="true" outlineLevel="0" collapsed="false">
      <c r="A14" s="9" t="s">
        <v>42</v>
      </c>
      <c r="B14" s="9"/>
      <c r="C14" s="9"/>
      <c r="D14" s="9" t="s">
        <v>43</v>
      </c>
    </row>
    <row r="15" customFormat="false" ht="15" hidden="false" customHeight="false" outlineLevel="0" collapsed="false">
      <c r="A15" s="16" t="s">
        <v>44</v>
      </c>
      <c r="B15" s="16"/>
      <c r="C15" s="16"/>
      <c r="D15" s="7" t="str">
        <f aca="false">INDEX($B$5:$B$8,$D$11)</f>
        <v>25.000 €, davon 12.500 € eingezahlt</v>
      </c>
    </row>
    <row r="16" customFormat="false" ht="15" hidden="false" customHeight="false" outlineLevel="0" collapsed="false">
      <c r="A16" s="16" t="s">
        <v>12</v>
      </c>
      <c r="B16" s="16"/>
      <c r="C16" s="16"/>
      <c r="D16" s="14" t="n">
        <f aca="false">INDEX($C$5:$C$8,$D$11)</f>
        <v>25000</v>
      </c>
    </row>
    <row r="17" customFormat="false" ht="15" hidden="false" customHeight="false" outlineLevel="0" collapsed="false">
      <c r="A17" s="16" t="s">
        <v>45</v>
      </c>
      <c r="B17" s="16"/>
      <c r="C17" s="16"/>
      <c r="D17" s="14" t="n">
        <f aca="false">INDEX($D$5:$D$8,$D$11)</f>
        <v>12500</v>
      </c>
    </row>
    <row r="18" customFormat="false" ht="15" hidden="false" customHeight="false" outlineLevel="0" collapsed="false">
      <c r="A18" s="16" t="s">
        <v>46</v>
      </c>
      <c r="B18" s="16"/>
      <c r="C18" s="16"/>
      <c r="D18" s="14" t="n">
        <f aca="false">INDEX($E$5:$E$8,$D$11)</f>
        <v>12500</v>
      </c>
    </row>
    <row r="19" customFormat="false" ht="15" hidden="false" customHeight="false" outlineLevel="0" collapsed="false">
      <c r="A19" s="16" t="s">
        <v>47</v>
      </c>
      <c r="B19" s="16"/>
      <c r="C19" s="16"/>
      <c r="D19" s="13" t="n">
        <f aca="false">INDEX($C$5:$C$8,$D$11)</f>
        <v>25000</v>
      </c>
    </row>
    <row r="20" customFormat="false" ht="15" hidden="false" customHeight="false" outlineLevel="0" collapsed="false">
      <c r="A20" s="16" t="s">
        <v>48</v>
      </c>
      <c r="B20" s="16"/>
      <c r="C20" s="16"/>
      <c r="D20" s="13" t="n">
        <f aca="false">INDEX($C$5:$C$8,$D$11)/2</f>
        <v>12500</v>
      </c>
    </row>
    <row r="22" customFormat="false" ht="30" hidden="false" customHeight="true" outlineLevel="0" collapsed="false">
      <c r="A22" s="12" t="s">
        <v>49</v>
      </c>
      <c r="B22" s="12"/>
      <c r="C22" s="12"/>
      <c r="D22" s="12"/>
      <c r="E22" s="12"/>
      <c r="F22" s="12"/>
    </row>
  </sheetData>
  <mergeCells count="10">
    <mergeCell ref="A11:C11"/>
    <mergeCell ref="A12:F12"/>
    <mergeCell ref="A14:C14"/>
    <mergeCell ref="A15:C15"/>
    <mergeCell ref="A16:C16"/>
    <mergeCell ref="A17:C17"/>
    <mergeCell ref="A18:C18"/>
    <mergeCell ref="A19:C19"/>
    <mergeCell ref="A20:C20"/>
    <mergeCell ref="A22:F2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24"/>
    <col collapsed="false" customWidth="true" hidden="false" outlineLevel="0" max="3" min="3" style="0" width="18"/>
    <col collapsed="false" customWidth="true" hidden="false" outlineLevel="0" max="4" min="4" style="0" width="12"/>
    <col collapsed="false" customWidth="true" hidden="false" outlineLevel="0" max="5" min="5" style="0" width="18"/>
    <col collapsed="false" customWidth="true" hidden="false" outlineLevel="0" max="6" min="6" style="0" width="64"/>
  </cols>
  <sheetData>
    <row r="1" customFormat="false" ht="19.7" hidden="false" customHeight="false" outlineLevel="0" collapsed="false">
      <c r="A1" s="1" t="s">
        <v>50</v>
      </c>
    </row>
    <row r="2" customFormat="false" ht="15" hidden="false" customHeight="false" outlineLevel="0" collapsed="false">
      <c r="A2" s="2" t="s">
        <v>51</v>
      </c>
    </row>
    <row r="4" customFormat="false" ht="15" hidden="false" customHeight="false" outlineLevel="0" collapsed="false">
      <c r="A4" s="9" t="s">
        <v>52</v>
      </c>
      <c r="B4" s="9" t="s">
        <v>53</v>
      </c>
      <c r="C4" s="9" t="s">
        <v>54</v>
      </c>
      <c r="D4" s="9" t="s">
        <v>55</v>
      </c>
      <c r="E4" s="9" t="s">
        <v>56</v>
      </c>
      <c r="F4" s="9" t="s">
        <v>57</v>
      </c>
    </row>
    <row r="5" customFormat="false" ht="30" hidden="false" customHeight="true" outlineLevel="0" collapsed="false">
      <c r="A5" s="16" t="s">
        <v>58</v>
      </c>
      <c r="B5" s="13" t="n">
        <f aca="false">Stammkapital!$D$20</f>
        <v>12500</v>
      </c>
      <c r="C5" s="14" t="n">
        <f aca="false">B5*1</f>
        <v>12500</v>
      </c>
      <c r="D5" s="18" t="n">
        <f aca="false">B5/$B$7</f>
        <v>0.5</v>
      </c>
      <c r="E5" s="14" t="n">
        <f aca="false">Stammkapital!$D$17/2</f>
        <v>6250</v>
      </c>
      <c r="F5" s="15" t="s">
        <v>59</v>
      </c>
    </row>
    <row r="6" customFormat="false" ht="30" hidden="false" customHeight="true" outlineLevel="0" collapsed="false">
      <c r="A6" s="16" t="s">
        <v>60</v>
      </c>
      <c r="B6" s="13" t="n">
        <f aca="false">Stammkapital!$D$20</f>
        <v>12500</v>
      </c>
      <c r="C6" s="14" t="n">
        <f aca="false">B6*1</f>
        <v>12500</v>
      </c>
      <c r="D6" s="18" t="n">
        <f aca="false">B6/$B$7</f>
        <v>0.5</v>
      </c>
      <c r="E6" s="14" t="n">
        <f aca="false">Stammkapital!$D$17/2</f>
        <v>6250</v>
      </c>
      <c r="F6" s="15" t="s">
        <v>59</v>
      </c>
    </row>
    <row r="7" customFormat="false" ht="15" hidden="false" customHeight="false" outlineLevel="0" collapsed="false">
      <c r="A7" s="16" t="s">
        <v>61</v>
      </c>
      <c r="B7" s="19" t="n">
        <f aca="false">SUM(B5:B6)</f>
        <v>25000</v>
      </c>
      <c r="C7" s="20" t="n">
        <f aca="false">SUM(C5:C6)</f>
        <v>25000</v>
      </c>
      <c r="D7" s="21" t="n">
        <f aca="false">SUM(D5:D6)</f>
        <v>1</v>
      </c>
      <c r="E7" s="20" t="n">
        <f aca="false">SUM(E5:E6)</f>
        <v>12500</v>
      </c>
      <c r="F7" s="16"/>
    </row>
    <row r="9" customFormat="false" ht="31.5" hidden="false" customHeight="true" outlineLevel="0" collapsed="false">
      <c r="A9" s="12" t="s">
        <v>62</v>
      </c>
      <c r="B9" s="12"/>
      <c r="C9" s="12"/>
      <c r="D9" s="12"/>
      <c r="E9" s="12"/>
      <c r="F9" s="12"/>
    </row>
    <row r="11" customFormat="false" ht="15" hidden="false" customHeight="false" outlineLevel="0" collapsed="false">
      <c r="A11" s="9" t="s">
        <v>63</v>
      </c>
      <c r="B11" s="9" t="s">
        <v>43</v>
      </c>
    </row>
    <row r="12" customFormat="false" ht="15" hidden="false" customHeight="false" outlineLevel="0" collapsed="false">
      <c r="A12" s="16" t="s">
        <v>64</v>
      </c>
      <c r="B12" s="14" t="n">
        <f aca="false">Stammkapital!$D$16</f>
        <v>25000</v>
      </c>
    </row>
    <row r="13" customFormat="false" ht="15" hidden="false" customHeight="false" outlineLevel="0" collapsed="false">
      <c r="A13" s="16" t="s">
        <v>65</v>
      </c>
      <c r="B13" s="14" t="n">
        <f aca="false">Stammkapital!$D$17</f>
        <v>12500</v>
      </c>
    </row>
    <row r="14" customFormat="false" ht="15" hidden="false" customHeight="false" outlineLevel="0" collapsed="false">
      <c r="A14" s="16" t="s">
        <v>66</v>
      </c>
      <c r="B14" s="14" t="n">
        <f aca="false">Stammkapital!$D$18</f>
        <v>12500</v>
      </c>
    </row>
    <row r="15" customFormat="false" ht="15" hidden="false" customHeight="false" outlineLevel="0" collapsed="false">
      <c r="A15" s="16" t="s">
        <v>67</v>
      </c>
      <c r="B15" s="13" t="n">
        <f aca="false">COUNTA(A5:A6)</f>
        <v>2</v>
      </c>
    </row>
  </sheetData>
  <mergeCells count="1">
    <mergeCell ref="A9:F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 min="2" style="0" width="22"/>
    <col collapsed="false" customWidth="true" hidden="false" outlineLevel="0" max="5" min="5" style="0" width="48"/>
  </cols>
  <sheetData>
    <row r="1" customFormat="false" ht="19.7" hidden="false" customHeight="false" outlineLevel="0" collapsed="false">
      <c r="A1" s="1" t="s">
        <v>68</v>
      </c>
    </row>
    <row r="2" customFormat="false" ht="15" hidden="false" customHeight="false" outlineLevel="0" collapsed="false">
      <c r="A2" s="2" t="s">
        <v>69</v>
      </c>
    </row>
    <row r="4" customFormat="false" ht="30" hidden="false" customHeight="true" outlineLevel="0" collapsed="false">
      <c r="A4" s="12" t="s">
        <v>70</v>
      </c>
      <c r="B4" s="12"/>
      <c r="C4" s="12"/>
      <c r="D4" s="12"/>
      <c r="E4" s="12"/>
    </row>
    <row r="6" customFormat="false" ht="15" hidden="false" customHeight="true" outlineLevel="0" collapsed="false">
      <c r="A6" s="9" t="s">
        <v>71</v>
      </c>
      <c r="B6" s="9" t="s">
        <v>43</v>
      </c>
      <c r="C6" s="9" t="s">
        <v>21</v>
      </c>
      <c r="D6" s="9"/>
      <c r="E6" s="9"/>
    </row>
    <row r="7" customFormat="false" ht="31.5" hidden="false" customHeight="true" outlineLevel="0" collapsed="false">
      <c r="A7" s="16" t="s">
        <v>72</v>
      </c>
      <c r="B7" s="22" t="n">
        <v>107349</v>
      </c>
      <c r="C7" s="15" t="s">
        <v>73</v>
      </c>
      <c r="D7" s="15"/>
      <c r="E7" s="15"/>
    </row>
    <row r="8" customFormat="false" ht="31.5" hidden="false" customHeight="true" outlineLevel="0" collapsed="false">
      <c r="A8" s="16" t="s">
        <v>74</v>
      </c>
      <c r="B8" s="22" t="n">
        <v>600000</v>
      </c>
      <c r="C8" s="15" t="s">
        <v>75</v>
      </c>
      <c r="D8" s="15"/>
      <c r="E8" s="15"/>
    </row>
    <row r="10" customFormat="false" ht="15" hidden="false" customHeight="true" outlineLevel="0" collapsed="false">
      <c r="A10" s="9" t="s">
        <v>42</v>
      </c>
      <c r="B10" s="9" t="s">
        <v>43</v>
      </c>
      <c r="C10" s="9" t="s">
        <v>76</v>
      </c>
      <c r="D10" s="9"/>
      <c r="E10" s="9"/>
    </row>
    <row r="11" customFormat="false" ht="21.75" hidden="false" customHeight="true" outlineLevel="0" collapsed="false">
      <c r="A11" s="16" t="s">
        <v>77</v>
      </c>
      <c r="B11" s="14" t="n">
        <f aca="false">B7+B8</f>
        <v>707349</v>
      </c>
      <c r="C11" s="15" t="s">
        <v>78</v>
      </c>
      <c r="D11" s="15"/>
      <c r="E11" s="15"/>
    </row>
    <row r="12" customFormat="false" ht="21.75" hidden="false" customHeight="true" outlineLevel="0" collapsed="false">
      <c r="A12" s="16" t="s">
        <v>79</v>
      </c>
      <c r="B12" s="18" t="n">
        <f aca="false">B7/B11</f>
        <v>0.151762425620168</v>
      </c>
      <c r="C12" s="15" t="s">
        <v>80</v>
      </c>
      <c r="D12" s="15"/>
      <c r="E12" s="15"/>
    </row>
    <row r="13" customFormat="false" ht="21.75" hidden="false" customHeight="true" outlineLevel="0" collapsed="false">
      <c r="A13" s="16" t="s">
        <v>81</v>
      </c>
      <c r="B13" s="23" t="n">
        <f aca="false">B8/Kapitaltabelle!$B$7</f>
        <v>24</v>
      </c>
      <c r="C13" s="15" t="s">
        <v>82</v>
      </c>
      <c r="D13" s="15"/>
      <c r="E13" s="15"/>
    </row>
    <row r="14" customFormat="false" ht="21.75" hidden="false" customHeight="true" outlineLevel="0" collapsed="false">
      <c r="A14" s="16" t="s">
        <v>83</v>
      </c>
      <c r="B14" s="13" t="n">
        <f aca="false">ROUND(B7/B13,0)</f>
        <v>4473</v>
      </c>
      <c r="C14" s="15" t="s">
        <v>84</v>
      </c>
      <c r="D14" s="15"/>
      <c r="E14" s="15"/>
    </row>
    <row r="15" customFormat="false" ht="21.75" hidden="false" customHeight="true" outlineLevel="0" collapsed="false">
      <c r="A15" s="16" t="s">
        <v>85</v>
      </c>
      <c r="B15" s="13" t="n">
        <f aca="false">Kapitaltabelle!$B$7+B14</f>
        <v>29473</v>
      </c>
      <c r="C15" s="15" t="s">
        <v>86</v>
      </c>
      <c r="D15" s="15"/>
      <c r="E15" s="15"/>
    </row>
    <row r="16" customFormat="false" ht="21.75" hidden="false" customHeight="true" outlineLevel="0" collapsed="false">
      <c r="A16" s="16" t="s">
        <v>87</v>
      </c>
      <c r="B16" s="18" t="n">
        <f aca="false">Kapitaltabelle!$D$5</f>
        <v>0.5</v>
      </c>
      <c r="C16" s="15" t="s">
        <v>88</v>
      </c>
      <c r="D16" s="15"/>
      <c r="E16" s="15"/>
    </row>
    <row r="17" customFormat="false" ht="21.75" hidden="false" customHeight="true" outlineLevel="0" collapsed="false">
      <c r="A17" s="16" t="s">
        <v>89</v>
      </c>
      <c r="B17" s="18" t="n">
        <f aca="false">Kapitaltabelle!$B$5/B15</f>
        <v>0.424116988430089</v>
      </c>
      <c r="C17" s="15" t="s">
        <v>90</v>
      </c>
      <c r="D17" s="15"/>
      <c r="E17" s="15"/>
    </row>
    <row r="18" customFormat="false" ht="21.75" hidden="false" customHeight="true" outlineLevel="0" collapsed="false">
      <c r="A18" s="16" t="s">
        <v>91</v>
      </c>
      <c r="B18" s="18" t="n">
        <f aca="false">B16-B17</f>
        <v>0.0758830115699115</v>
      </c>
      <c r="C18" s="15" t="s">
        <v>92</v>
      </c>
      <c r="D18" s="15"/>
      <c r="E18" s="15"/>
    </row>
    <row r="19" customFormat="false" ht="21.75" hidden="false" customHeight="true" outlineLevel="0" collapsed="false">
      <c r="A19" s="16" t="s">
        <v>93</v>
      </c>
      <c r="B19" s="18" t="n">
        <f aca="false">B17*2</f>
        <v>0.848233976860177</v>
      </c>
      <c r="C19" s="15" t="s">
        <v>94</v>
      </c>
      <c r="D19" s="15"/>
      <c r="E19" s="15"/>
    </row>
    <row r="21" customFormat="false" ht="31.5" hidden="false" customHeight="true" outlineLevel="0" collapsed="false">
      <c r="A21" s="12" t="s">
        <v>95</v>
      </c>
      <c r="B21" s="12"/>
      <c r="C21" s="12"/>
      <c r="D21" s="12"/>
      <c r="E21" s="12"/>
    </row>
    <row r="23" customFormat="false" ht="16.15" hidden="false" customHeight="false" outlineLevel="0" collapsed="false">
      <c r="A23" s="4" t="s">
        <v>96</v>
      </c>
    </row>
    <row r="24" customFormat="false" ht="15" hidden="false" customHeight="false" outlineLevel="0" collapsed="false">
      <c r="A24" s="9" t="s">
        <v>97</v>
      </c>
      <c r="B24" s="24" t="n">
        <v>400000</v>
      </c>
      <c r="C24" s="24" t="n">
        <v>600000</v>
      </c>
      <c r="D24" s="24" t="n">
        <v>900000</v>
      </c>
    </row>
    <row r="25" customFormat="false" ht="15" hidden="false" customHeight="false" outlineLevel="0" collapsed="false">
      <c r="A25" s="20" t="n">
        <v>50000</v>
      </c>
      <c r="B25" s="18" t="n">
        <f aca="false">$A25/($A25+B$24)</f>
        <v>0.111111111111111</v>
      </c>
      <c r="C25" s="18" t="n">
        <f aca="false">$A25/($A25+C$24)</f>
        <v>0.0769230769230769</v>
      </c>
      <c r="D25" s="18" t="n">
        <f aca="false">$A25/($A25+D$24)</f>
        <v>0.0526315789473684</v>
      </c>
    </row>
    <row r="26" customFormat="false" ht="15" hidden="false" customHeight="false" outlineLevel="0" collapsed="false">
      <c r="A26" s="20" t="n">
        <v>107349</v>
      </c>
      <c r="B26" s="18" t="n">
        <f aca="false">$A26/($A26+B$24)</f>
        <v>0.211588078423334</v>
      </c>
      <c r="C26" s="18" t="n">
        <f aca="false">$A26/($A26+C$24)</f>
        <v>0.151762425620168</v>
      </c>
      <c r="D26" s="18" t="n">
        <f aca="false">$A26/($A26+D$24)</f>
        <v>0.10656584758609</v>
      </c>
    </row>
    <row r="27" customFormat="false" ht="15" hidden="false" customHeight="false" outlineLevel="0" collapsed="false">
      <c r="A27" s="20" t="n">
        <v>200000</v>
      </c>
      <c r="B27" s="18" t="n">
        <f aca="false">$A27/($A27+B$24)</f>
        <v>0.333333333333333</v>
      </c>
      <c r="C27" s="18" t="n">
        <f aca="false">$A27/($A27+C$24)</f>
        <v>0.25</v>
      </c>
      <c r="D27" s="18" t="n">
        <f aca="false">$A27/($A27+D$24)</f>
        <v>0.181818181818182</v>
      </c>
    </row>
    <row r="29" customFormat="false" ht="27.75" hidden="false" customHeight="true" outlineLevel="0" collapsed="false">
      <c r="A29" s="12" t="s">
        <v>98</v>
      </c>
      <c r="B29" s="12"/>
      <c r="C29" s="12"/>
      <c r="D29" s="12"/>
    </row>
  </sheetData>
  <mergeCells count="16">
    <mergeCell ref="A4:E4"/>
    <mergeCell ref="C6:E6"/>
    <mergeCell ref="C7:E7"/>
    <mergeCell ref="C8:E8"/>
    <mergeCell ref="C10:E10"/>
    <mergeCell ref="C11:E11"/>
    <mergeCell ref="C12:E12"/>
    <mergeCell ref="C13:E13"/>
    <mergeCell ref="C14:E14"/>
    <mergeCell ref="C15:E15"/>
    <mergeCell ref="C16:E16"/>
    <mergeCell ref="C17:E17"/>
    <mergeCell ref="C18:E18"/>
    <mergeCell ref="C19:E19"/>
    <mergeCell ref="A21:E21"/>
    <mergeCell ref="A29:D2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90"/>
    <col collapsed="false" customWidth="true" hidden="false" outlineLevel="0" max="3" min="3" style="0" width="22"/>
  </cols>
  <sheetData>
    <row r="1" customFormat="false" ht="19.7" hidden="false" customHeight="false" outlineLevel="0" collapsed="false">
      <c r="A1" s="1" t="s">
        <v>99</v>
      </c>
    </row>
    <row r="2" customFormat="false" ht="15" hidden="false" customHeight="false" outlineLevel="0" collapsed="false">
      <c r="A2" s="2" t="s">
        <v>100</v>
      </c>
    </row>
    <row r="4" customFormat="false" ht="15" hidden="false" customHeight="false" outlineLevel="0" collapsed="false">
      <c r="A4" s="9" t="s">
        <v>101</v>
      </c>
      <c r="B4" s="9" t="s">
        <v>102</v>
      </c>
      <c r="C4" s="9" t="s">
        <v>103</v>
      </c>
    </row>
    <row r="5" customFormat="false" ht="25.5" hidden="false" customHeight="true" outlineLevel="0" collapsed="false">
      <c r="A5" s="16" t="s">
        <v>104</v>
      </c>
      <c r="B5" s="15" t="s">
        <v>105</v>
      </c>
      <c r="C5" s="7" t="s">
        <v>106</v>
      </c>
    </row>
    <row r="6" customFormat="false" ht="25.5" hidden="false" customHeight="true" outlineLevel="0" collapsed="false">
      <c r="A6" s="16" t="s">
        <v>107</v>
      </c>
      <c r="B6" s="15" t="s">
        <v>108</v>
      </c>
      <c r="C6" s="7" t="s">
        <v>106</v>
      </c>
    </row>
    <row r="7" customFormat="false" ht="25.5" hidden="false" customHeight="true" outlineLevel="0" collapsed="false">
      <c r="A7" s="16" t="s">
        <v>109</v>
      </c>
      <c r="B7" s="15" t="s">
        <v>110</v>
      </c>
      <c r="C7" s="7" t="s">
        <v>106</v>
      </c>
    </row>
    <row r="8" customFormat="false" ht="25.5" hidden="false" customHeight="true" outlineLevel="0" collapsed="false">
      <c r="A8" s="16" t="s">
        <v>25</v>
      </c>
      <c r="B8" s="15" t="s">
        <v>111</v>
      </c>
      <c r="C8" s="25" t="s">
        <v>112</v>
      </c>
    </row>
    <row r="9" customFormat="false" ht="25.5" hidden="false" customHeight="true" outlineLevel="0" collapsed="false">
      <c r="A9" s="16" t="s">
        <v>113</v>
      </c>
      <c r="B9" s="15" t="s">
        <v>114</v>
      </c>
      <c r="C9" s="7" t="s">
        <v>115</v>
      </c>
    </row>
    <row r="10" customFormat="false" ht="25.5" hidden="false" customHeight="true" outlineLevel="0" collapsed="false">
      <c r="A10" s="16" t="s">
        <v>116</v>
      </c>
      <c r="B10" s="15" t="s">
        <v>117</v>
      </c>
      <c r="C10" s="7" t="s">
        <v>115</v>
      </c>
    </row>
    <row r="11" customFormat="false" ht="25.5" hidden="false" customHeight="true" outlineLevel="0" collapsed="false">
      <c r="A11" s="16" t="s">
        <v>118</v>
      </c>
      <c r="B11" s="15" t="s">
        <v>119</v>
      </c>
      <c r="C11" s="7" t="s">
        <v>115</v>
      </c>
    </row>
    <row r="12" customFormat="false" ht="25.5" hidden="false" customHeight="true" outlineLevel="0" collapsed="false">
      <c r="A12" s="16" t="s">
        <v>120</v>
      </c>
      <c r="B12" s="15" t="s">
        <v>121</v>
      </c>
      <c r="C12" s="7" t="s">
        <v>122</v>
      </c>
    </row>
    <row r="13" customFormat="false" ht="25.5" hidden="false" customHeight="true" outlineLevel="0" collapsed="false">
      <c r="A13" s="16" t="s">
        <v>123</v>
      </c>
      <c r="B13" s="15" t="s">
        <v>124</v>
      </c>
      <c r="C13" s="25" t="s">
        <v>125</v>
      </c>
    </row>
    <row r="14" customFormat="false" ht="25.5" hidden="false" customHeight="true" outlineLevel="0" collapsed="false">
      <c r="A14" s="16" t="s">
        <v>126</v>
      </c>
      <c r="B14" s="15" t="s">
        <v>127</v>
      </c>
      <c r="C14" s="25" t="s">
        <v>125</v>
      </c>
    </row>
    <row r="15" customFormat="false" ht="25.5" hidden="false" customHeight="true" outlineLevel="0" collapsed="false">
      <c r="A15" s="16" t="s">
        <v>128</v>
      </c>
      <c r="B15" s="15" t="s">
        <v>129</v>
      </c>
      <c r="C15" s="25" t="s">
        <v>112</v>
      </c>
    </row>
    <row r="16" customFormat="false" ht="25.5" hidden="false" customHeight="true" outlineLevel="0" collapsed="false">
      <c r="A16" s="16" t="s">
        <v>47</v>
      </c>
      <c r="B16" s="15" t="s">
        <v>130</v>
      </c>
      <c r="C16" s="7" t="s">
        <v>131</v>
      </c>
    </row>
    <row r="18" customFormat="false" ht="33.75" hidden="false" customHeight="true" outlineLevel="0" collapsed="false">
      <c r="A18" s="12" t="s">
        <v>132</v>
      </c>
      <c r="B18" s="12"/>
      <c r="C18" s="12"/>
    </row>
  </sheetData>
  <mergeCells count="1">
    <mergeCell ref="A18:C1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2026-09-19T11:49:25Z</dcterms:created>
  <dc:creator>openpyxl</dc:creator>
  <dc:description/>
  <dc:language>en-US</dc:language>
  <cp:lastModifiedBy/>
  <dcterms:modified xsi:type="dcterms:W3CDTF">2026-09-19T11:49:25Z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