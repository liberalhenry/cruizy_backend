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ttbewerbe" sheetId="1" state="visible" r:id="rId3"/>
    <sheet name="Zeitachse &amp; Reihenfolge" sheetId="2" state="visible" r:id="rId4"/>
    <sheet name="Diversity &amp; Queer" sheetId="3" state="visible" r:id="rId5"/>
    <sheet name="Quellen &amp; Method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<sst xmlns="http://schemas.openxmlformats.org/spreadsheetml/2006/main" count="378" uniqueCount="320">
  <si>
    <t xml:space="preserve">Gründungswettbewerbe — sortiert nach nächster Frist</t>
  </si>
  <si>
    <t xml:space="preserve">Aufgabe A-12 · erstellt 27.07.2026 · Rolle: Fördermittelberater · Fenster V0 · Alle Angaben per Websuche am 26./27.07.2026 erhoben. Quellen auf dem Blatt „Quellen &amp; Methode". · Fristen von JUGEND GRÜNDET und STARTUP TEENS am 15.09.2026 im Lauf R-01 nachgeprüft.</t>
  </si>
  <si>
    <t xml:space="preserve">STAND 15.09.2026: EINE FRIST IST FÜR DIE KOMMENDE RUNDE BESTÄTIGT — JUGEND GRÜNDET, ENDE DER BUSINESSPLAN-PHASE AM 05.01.2027. Alle übrigen Ausrichter hatten den Termin ihrer nächsten Runde bei der Erhebung am 27.07.2026 noch nicht veröffentlicht. WIE DIE SPALTE „FRIST“ DESHALB ZU LESEN IST: Fast alle diese Wettbewerbe laufen jährlich. Wo der neue Termin noch nicht veröffentlicht ist, steht in der Fristspalte das ERWARTETE Datum aus dem Jahresrhythmus, und in der Spalte daneben, worauf sich diese Erwartung stützt. Ein erwartetes Datum ist eine Planungsgröße, kein Termin. Bevor darauf gebaut wird, gehört es bestätigt — dafür ist die gelbe Spalte da.</t>
  </si>
  <si>
    <t xml:space="preserve">Nr</t>
  </si>
  <si>
    <t xml:space="preserve">Wettbewerb</t>
  </si>
  <si>
    <t xml:space="preserve">Träger</t>
  </si>
  <si>
    <t xml:space="preserve">Ebene</t>
  </si>
  <si>
    <t xml:space="preserve">Nächste Frist</t>
  </si>
  <si>
    <t xml:space="preserve">Fristart</t>
  </si>
  <si>
    <t xml:space="preserve">Worauf sich die Frist stützt</t>
  </si>
  <si>
    <t xml:space="preserve">Preisgeld / Gegenwert</t>
  </si>
  <si>
    <t xml:space="preserve">Was eingereicht werden muss</t>
  </si>
  <si>
    <t xml:space="preserve">Aufwand</t>
  </si>
  <si>
    <t xml:space="preserve">Voraussetzungen</t>
  </si>
  <si>
    <t xml:space="preserve">Einschätzung für Cruizy</t>
  </si>
  <si>
    <t xml:space="preserve">Fenster</t>
  </si>
  <si>
    <t xml:space="preserve">Ampel</t>
  </si>
  <si>
    <t xml:space="preserve">Beworben am</t>
  </si>
  <si>
    <t xml:space="preserve">Ergebnis</t>
  </si>
  <si>
    <t xml:space="preserve">Quelle (Kurzform)</t>
  </si>
  <si>
    <t xml:space="preserve">NUK Businessplan-Wettbewerb</t>
  </si>
  <si>
    <t xml:space="preserve">NUK Neues Unternehmertum Rheinland e. V.</t>
  </si>
  <si>
    <t xml:space="preserve">NRW (Köln/Rheinland)</t>
  </si>
  <si>
    <t xml:space="preserve">erwartet</t>
  </si>
  <si>
    <t xml:space="preserve">Der Wettbewerb läuft jährlich von November bis Juni; die Einreichungsphase der 26. Runde begann im November. Ein exaktes Datum für die Runde 2026/27 ist noch nicht veröffentlicht — hier steht ein Platzhalter Ende November.</t>
  </si>
  <si>
    <t xml:space="preserve">Preisgelder im Gesamtwert von 12.000 €. Nominierte Teams erhalten zusätzlich ein Mediapaket und einen Präsentationsworkshop mit den NUK-Partnern von McKinsey Köln.</t>
  </si>
  <si>
    <t xml:space="preserve">Businessplan in drei Stufen, schrittweise mit Expertenfeedback entwickelt</t>
  </si>
  <si>
    <t xml:space="preserve">60–90 h, verteilt über acht Monate — der stufenweise Aufbau ist der Sinn der Sache</t>
  </si>
  <si>
    <t xml:space="preserve">Alle Gründungswilligen mit einer vielversprechenden Geschäftsidee oder Start-ups, die nicht älter als ein Jahr sind. Also auch vor der Gründung offen.</t>
  </si>
  <si>
    <t xml:space="preserve">Das Preisgeld ist hier NICHT der Grund. Der Grund ist, dass NUK in Köln sitzt — unserem Startmarkt — und dass drei Stufen mit Expertenfeedback über acht Monate genau das Format sind, das aus einem Konzept einen prüffähigen Plan macht. Wer den NUK durchläuft, kennt danach Menschen in Köln, die er sonst kalt anschreiben müsste. Für ein Produkt, das von Ortspartnern lebt, ist das mehr wert als 12.000 €.</t>
  </si>
  <si>
    <t xml:space="preserve">V2/V3</t>
  </si>
  <si>
    <t xml:space="preserve">grün</t>
  </si>
  <si>
    <t xml:space="preserve">neuesunternehmertum.de/faq/ und digitalhubcologne.de zur 26. Runde</t>
  </si>
  <si>
    <t xml:space="preserve">Startup-Impuls</t>
  </si>
  <si>
    <t xml:space="preserve">hannoverimpuls GmbH / Sparkasse Hannover</t>
  </si>
  <si>
    <t xml:space="preserve">Niedersachsen</t>
  </si>
  <si>
    <t xml:space="preserve">Einreichungsschluss des 23. Wettbewerbs war der 15.12.2025, 24:00 Uhr; Prämierung am 16.03.2026. Jährlicher Rhythmus, Auftakt jeweils Ende September.</t>
  </si>
  <si>
    <t xml:space="preserve">Preise im Gesamtwert von über 100.000 €. Vier Kategorien (hottest innovation · next Mittelstand · highest impact · future health) mit je 25.000 €. Zusätzlich ein Sonderpreis Marketing der HMTG im Wert von 5.000 €. Alle acht Nominierten erhalten Imageclip, Pitch-Training und Coworking-Mitgliedschaften im Hafven.</t>
  </si>
  <si>
    <t xml:space="preserve">Geschäftskonzept mit Pitch-Deck, Zusammenfassung und Lebenslauf · Vorjury-Pitch · Hauptjury-Pitch</t>
  </si>
  <si>
    <t xml:space="preserve">40–60 h für die Bewerbung, plus zwei Pitch-Termine vor Ort</t>
  </si>
  <si>
    <t xml:space="preserve">Umsetzung in der Region Hannover — ausdrücklich auch Ideen, die dort ZUKÜNFTIG umgesetzt werden sollen. Damit ist der Wettbewerb auch vor der Gründung offen. Bewertungskriterien: Umsetzbarkeit in der Region Hannover, Lösungsansatz, Alleinstellungsmerkmal, Marktstrategie.</t>
  </si>
  <si>
    <t xml:space="preserve">Der höchstdotierte regionale Wettbewerb in unserer Reichweite — und der einzige große, der ausdrücklich auch noch nicht umgesetzte Ideen zulässt. Der Haken steht im Bewertungskriterium: „Umsetzbarkeit in der Region Hannover“. Unser Startmarkt ist Köln. Entweder ihr könnt einen belastbaren Bezug zu Hannover darstellen — Wohnsitz, geplanter Sitz, zweite Stadt im Skalierungsplan — oder die Bewerbung wird im Vorjury-Raster abgewertet. Das ist keine Formalie, sondern das erste von vier genannten Kriterien.</t>
  </si>
  <si>
    <t xml:space="preserve">V1/V2</t>
  </si>
  <si>
    <t xml:space="preserve">gelb</t>
  </si>
  <si>
    <t xml:space="preserve">wirtschaftsfoerderung-hannover.de/de/Microsites/Startup-Impuls/Der_Wettbewerb.php</t>
  </si>
  <si>
    <t xml:space="preserve">Queere Projektförderung</t>
  </si>
  <si>
    <t xml:space="preserve">Bundesstiftung Magnus Hirschfeld</t>
  </si>
  <si>
    <t xml:space="preserve">Bund</t>
  </si>
  <si>
    <t xml:space="preserve">Es gibt genau eine Antragsfrist pro Jahr. Für das Förderjahr 2027 war sie der 31.12.2025; die Entscheidung des Kuratoriums fällt voraussichtlich im 4. Quartal 2026. Daraus folgt für das Förderjahr 2028 der 31.12.2026 — bestätigt durch den Jahresrhythmus, das Datum selbst ist noch nicht separat ausgeschrieben.</t>
  </si>
  <si>
    <t xml:space="preserve">Projektbezogene Zuschüsse. Die 2026 bewilligten elf Projekte lagen zwischen 1.500 € und 9.992 €, Gesamtsumme 54.912 €. Druckkostenzuschüsse bis 4.000 € je Projekt.</t>
  </si>
  <si>
    <t xml:space="preserve">Antrag ausschließlich über das offizielle Antragsformular (PDF); keine Antragsberatung, keine telefonische Sprechstunde</t>
  </si>
  <si>
    <t xml:space="preserve">25–40 h</t>
  </si>
  <si>
    <t xml:space="preserve">KEIN GRÜNDUNGSWETTBEWERB. Gefördert werden externe Bildungs- und Forschungsprojekte, die dem Stiftungszweck entsprechen. Antragstellende brauchen einen Sitz in Deutschland. Ein Projekt darf nicht vor Erteilung des Zuwendungsbescheids beginnen. Förderschwerpunkt 2026/2027: TIN.</t>
  </si>
  <si>
    <t xml:space="preserve">Diese Zeile steht bewusst hier, obwohl sie streng genommen nicht in die Liste gehört — sie ist die einzige verlässliche queer-spezifische Geldquelle des Bundes, die wir gefunden haben. Für die App selbst ist sie NICHT zugänglich: gefördert werden Bildung und Forschung, nicht Produktentwicklung. Denkbar wäre ein sauber abgegrenztes Begleitprojekt, etwa eine Erhebung zu Sicherheit und Diskriminierungserfahrungen im Cruising-Kontext — Material, das wir für die Interviews ohnehin brauchen. Das wäre ein eigener Antrag, kein Nebenprodukt, und die Abgrenzung zum Unternehmen müsste sauber sein. Vor einer Antragstellung mit dem Anwalt klären, ob das die spätere Gemeinnützigkeitsfrage berührt.</t>
  </si>
  <si>
    <t xml:space="preserve">mh-stiftung.de/foerderung-2</t>
  </si>
  <si>
    <t xml:space="preserve">JUGEND GRÜNDET</t>
  </si>
  <si>
    <t xml:space="preserve">Steinbeis-Innovationszentrum / BMBFSFJ</t>
  </si>
  <si>
    <t xml:space="preserve">bestätigt</t>
  </si>
  <si>
    <t xml:space="preserve">Bestätigt am 15.09.2026 (R-01): Laut Startseite von jugend-gruendet.de endet die Businessplan-Phase der Runde 2026/27 am 05.01.2027; die Planspiel-Phase beginnt am 01.02.2027. Die Registrierung ist offen. Eine Uhrzeit für den Stichtag ist dort nicht genannt — im Vorjahr war es 12:00 Uhr (07.01.2026).</t>
  </si>
  <si>
    <t xml:space="preserve">Geld- und Sachpreise, Preisträgerreise. Die genaue Dotierung ist in dieser Recherche NICHT belegt — vor der Anmeldung auf der Preise-Seite nachlesen. Teilnahme kostenfrei; Reise- und Übernachtungskosten zu den Events werden erstattet.</t>
  </si>
  <si>
    <t xml:space="preserve">Businessplan über eine Online-Maske (Zeichenbegrenzung beachten) · Planspiel Februar bis Mai · Wissenstest · bei Qualifikation 3-Minuten-Live-Pitch</t>
  </si>
  <si>
    <t xml:space="preserve">60–90 h über zwei Phasen (Businessplan 40–60 h, Planspiel 20–30 h)</t>
  </si>
  <si>
    <t xml:space="preserve">Schüler:innen und Auszubildende bis EINSCHLIESSLICH 23 Jahre, eingeschrieben bis zum Stichtag, Schulort in Deutschland. Team 2–5 Personen. Wettbewerbssprache Deutsch. Achtung: eigenständige Urheberschaft gefordert, generative KI ausdrücklich als Gefahrenstelle benannt.</t>
  </si>
  <si>
    <t xml:space="preserve">DER PASSENDSTE WETTBEWERB, DEN ES GERADE GIBT. ALTERSFENSTER AM 27.07.2026 BERECHNET: Zwei Runden stehen offen — 2026/27 und 2027/28. Ab der Runde 2028/29 fehlt die Schülereigenschaft, weil das Abitur im Sommer 2028 endet. Die Altersgrenze von 23 Jahren ist dagegen unkritisch. Beide Gründer sind Schüler, die Businessplan-Phase startet am 01.09.2026 — also in fünf Wochen — und das Zeitfenster V1 sieht ohnehin Businessplan-Arbeit vor. Der Wettbewerb erzwingt genau die Struktur, die A-20 später verlangt, und liefert eine Jury-Rückmeldung, die sonst Geld kostet. Einschränkung: Eine öffentliche Präsentation kann Patentschutz zerstören (Punkt 12 der Teilnahmebedingungen) — für uns unkritisch, weil wir keine Patente planen, aber die Markenanmeldung sollte vorher stehen.</t>
  </si>
  <si>
    <t xml:space="preserve">V0/V1</t>
  </si>
  <si>
    <t xml:space="preserve">jugend-gruendet.de/wettbewerb/teilnahmebedingungen · jugend-gruendet.de (Startseite, 15.09.2026)</t>
  </si>
  <si>
    <t xml:space="preserve">start2grow</t>
  </si>
  <si>
    <t xml:space="preserve">Wirtschaftsförderung Dortmund</t>
  </si>
  <si>
    <t xml:space="preserve">Bund (bundesweit offen)</t>
  </si>
  <si>
    <t xml:space="preserve">Die Runde 2025/26 startete am 29.10.2025, Abgabeschluss für den Businessplan war der 26.01.2026, 12:00 Uhr, Finale am 06.03.2026. Jährlicher Rhythmus.</t>
  </si>
  <si>
    <t xml:space="preserve">94.000 € gesamt. 1. Platz 40.000 €, 2. Platz 20.000 €, 3. Platz 10.000 € — bei den Geldpreisen wird die HÄLFTE nur bei Gründung in Dortmund ausgezahlt. Plätze 4 bis 10 erhalten Sachpreise von je 2.000 €. Das TechnologieZentrumDortmund vergibt zusätzlich einen Sonderpreis von 10.000 € unabhängig von der Platzierung.</t>
  </si>
  <si>
    <t xml:space="preserve">Vollständiger Businessplan, in einer Online-Coaching-Area eingereicht · die 20 besten Teams pitchen beim Finale in Dortmund</t>
  </si>
  <si>
    <t xml:space="preserve">80–120 h (vollständiger Businessplan, kein Konzeptpapier)</t>
  </si>
  <si>
    <t xml:space="preserve">Bundesweit offen, keine Ortsbindung für die Teilnahme. Coaching und Workshops stehen allen Teilnehmenden offen, nicht nur den Preisträgern.</t>
  </si>
  <si>
    <t xml:space="preserve">Der höchstdotierte bundesweit offene Wettbewerb in dieser Liste — und zugleich der aufwendigste. Zwei Dinge sind wichtig: Erstens ist die Hälfte der Geldpreise an eine Gründung in Dortmund gebunden, ein 1. Platz ist für uns real also eher 20.000 € als 40.000 €. Zweitens ist der eigentliche Wert das kostenlose Coaching am Businessplan — das ist genau die Leistung, die A-20 später ohnehin braucht.</t>
  </si>
  <si>
    <t xml:space="preserve">wirtschaftsfoerderung-dortmund.de/blog/2025-10/bundesweiter-gruendungswettbewerb-start2grow-202526-gestartet</t>
  </si>
  <si>
    <t xml:space="preserve">Deutscher Gründerpreis für Schüler:innen</t>
  </si>
  <si>
    <t xml:space="preserve">Porsche, stern, Sparkassen, ZDF</t>
  </si>
  <si>
    <t xml:space="preserve">Für die Spielrunde 2026 lief die Anmeldung vom 22.09.2025 bis 20.02.2026, Spielphase Januar bis Mitte Mai, Siegerehrung Mitte/Ende Juni in Frankfurt am Main. Jährlicher Rhythmus.</t>
  </si>
  <si>
    <t xml:space="preserve">Preise und Reisen für die besten Teams. Kein Startkapital für die eigene Idee — der Wettbewerb bewertet ein fiktives Unternehmen.</t>
  </si>
  <si>
    <t xml:space="preserve">Planspiel mit vorgegebenem fiktivem Unternehmen; Aufgaben werden über die Spielphase gestellt</t>
  </si>
  <si>
    <t xml:space="preserve">40–60 h über fünf Monate</t>
  </si>
  <si>
    <t xml:space="preserve">Schüler:innen ab Jahrgangsstufe 9, Anmeldung über eine Lehrkraft.</t>
  </si>
  <si>
    <t xml:space="preserve">EHRLICH GESAGT: Für Cruizy bringt dieser Wettbewerb nichts. Er bewertet ein fiktives Unternehmen, nicht eure Idee — ihr könnt hier kein Kapital für Cruizy gewinnen und keinen Text wiederverwenden. Sein Wert ist reine Übung, und die habt ihr bei JUGEND GRÜNDET produktiver. Er steht hier, damit ihr ihn bewusst überspringt und nicht dreimal darüber stolpert.</t>
  </si>
  <si>
    <t xml:space="preserve">—</t>
  </si>
  <si>
    <t xml:space="preserve">rot</t>
  </si>
  <si>
    <t xml:space="preserve">dgp-schueler.de/spielrunde-2026</t>
  </si>
  <si>
    <t xml:space="preserve">OUT OF THE BOX.NRW</t>
  </si>
  <si>
    <t xml:space="preserve">Ministerium für Wirtschaft NRW</t>
  </si>
  <si>
    <t xml:space="preserve">Nordrhein-Westfalen</t>
  </si>
  <si>
    <t xml:space="preserve">Bewerbungsphase 2026: 01.01. bis 28.02.2026 über ootb.nrw; Finale am 18.06.2026 in Bielefeld. Jährlicher Rhythmus, siebte Auflage.</t>
  </si>
  <si>
    <t xml:space="preserve">50.000 € gesamt, verteilt auf drei Siegerteams.</t>
  </si>
  <si>
    <t xml:space="preserve">Online-Bewerbung, danach Pitch beim Finale auf der Konferenz „Hinterland of Things“</t>
  </si>
  <si>
    <t xml:space="preserve">20–30 h</t>
  </si>
  <si>
    <t xml:space="preserve">HARTE HÜRDE: Sitz in NRW UND Gründung zwischen dem 01.01.2023 und dem 31.12.2025 (Runde 2026). Der Wettbewerb richtet sich an bereits gegründete digitale Start-ups, nicht an Ideen.</t>
  </si>
  <si>
    <t xml:space="preserve">Für uns heute geschlossen, aus zwei Gründen gleichzeitig: kein Sitz in NRW und keine Gründung. Interessant wird er ab der Runde etwa 2030, wenn eine 2028 gegründete Gesellschaft ins Zeitfenster rutscht — und nur dann, wenn der Sitz in NRW liegt. Damit hängt er an der Sitzentscheidung Nr. 21/33, die bisher nur zwischen Niedersachsen und Hessen abgewogen wird. NRW ist dort bislang gar nicht als Option geführt, obwohl der Startmarkt Köln ist. Das ist eine Lücke.</t>
  </si>
  <si>
    <t xml:space="preserve">nach T0</t>
  </si>
  <si>
    <t xml:space="preserve">wirtschaft.nrw/out-boxnrw und creative.nrw zur Runde 2026</t>
  </si>
  <si>
    <t xml:space="preserve">Impact of Diversity Award</t>
  </si>
  <si>
    <t xml:space="preserve">Impact of Diversity / Stifterverband</t>
  </si>
  <si>
    <t xml:space="preserve">Bewerbungsphase 2026: 02.03. bis 07.04.2026. Jährlicher Rhythmus.</t>
  </si>
  <si>
    <t xml:space="preserve">In dieser Recherche kein Geldpreis belegt. Der Gegenwert ist Auszeichnung und Sichtbarkeit in 16 Kategorien, darunter ausdrücklich „Contribution to LGBTQIA+“.</t>
  </si>
  <si>
    <t xml:space="preserve">Bewerbung oder Nominierung mit Nachweis der Wirkung</t>
  </si>
  <si>
    <t xml:space="preserve">10–15 h</t>
  </si>
  <si>
    <t xml:space="preserve">Ausgezeichnet werden BESTEHENDE Initiativen und Projekte mit nachweisbarer Wirkung auf die Diversitätsdimension und Resonanz in der jeweiligen Community — ausdrücklich keine Zukunftspläne.</t>
  </si>
  <si>
    <t xml:space="preserve">Die einzige gefundene Auszeichnung mit einer eigenen LGBTQIA+-Kategorie. Sie honoriert aber Wirkung, nicht Absicht — für uns also frühestens ein bis zwei Jahre nach dem Marktstart, realistisch 2029/2030. Kein Kapital, aber ein Signal, das in der eigenen Community mehr zählt als jeder Wirtschaftspreis. Vormerken, nicht verfolgen.</t>
  </si>
  <si>
    <t xml:space="preserve">impact-of-diversity.com/nominierung-und-teilnahmebedingungen</t>
  </si>
  <si>
    <t xml:space="preserve">Hessischer Gründerpreis</t>
  </si>
  <si>
    <t xml:space="preserve">Land Hessen mit Partnern</t>
  </si>
  <si>
    <t xml:space="preserve">Hessen</t>
  </si>
  <si>
    <t xml:space="preserve">Bewerbungsfrist 2026 war der 10.05.2026, Bewerbung kostenfrei über das Online-Formular. Jährlicher Rhythmus.</t>
  </si>
  <si>
    <t xml:space="preserve">In dieser Recherche NICHT belegt. Die öffentlich zugänglichen Seiten nennen Kategorien und Frist, aber keine Preisgeldhöhe. Vor einer Bewerbung beim Träger erfragen.</t>
  </si>
  <si>
    <t xml:space="preserve">Online-Bewerbungsformular</t>
  </si>
  <si>
    <t xml:space="preserve">15–25 h (Schätzung, da der Umfang des Formulars nicht geprüft wurde)</t>
  </si>
  <si>
    <t xml:space="preserve">Bezug zu Hessen. Vier Kategorien: Innovative Geschäftsidee · Gesellschaftliche Wirkung · Zukunftsfähige Nachfolge · Gründung aus der Hochschule.</t>
  </si>
  <si>
    <t xml:space="preserve">Nur relevant, wenn der Sitz nach Hessen geht — und die Förderlage sprach in A-09 klar für Niedersachsen. Die Kategorie „Gesellschaftliche Wirkung“ würde inhaltlich gut passen. Sollte Nicolas' Wohnsitz den Ausschlag geben, gehört dieser Preis in den Kalender; sonst nicht.</t>
  </si>
  <si>
    <t xml:space="preserve">hessischer-gruenderpreis.de/wettbewerb/bewerbung</t>
  </si>
  <si>
    <t xml:space="preserve">STARTUP TEENS Challenge</t>
  </si>
  <si>
    <t xml:space="preserve">STARTUP TEENS gGmbH</t>
  </si>
  <si>
    <t xml:space="preserve">Nachgeprüft am 15.09.2026 (R-01): Die Anmeldung zur Challenge 2027 ist offen; Abgabeschluss laut Veranstalter „Mai 2027 (18:00 Uhr)“ — der genaue Tag ist noch nicht veröffentlicht. Das Datum in der Fristspalte bleibt deshalb erwartet (Vorjahr: 11.05.2026, 18:00 Uhr; Finale im Juni in Berlin).</t>
  </si>
  <si>
    <t xml:space="preserve">7 Kategorien × 10.000 € für das jeweilige Siegerteam, also 70.000 € insgesamt.</t>
  </si>
  <si>
    <t xml:space="preserve">Businessplan-Wettbewerb, Einreichung online; Finale mit Pitch in Berlin</t>
  </si>
  <si>
    <t xml:space="preserve">30–50 h</t>
  </si>
  <si>
    <t xml:space="preserve">14 bis 19 Jahre ZUM ABGABESCHLUSS und Schulbesuch in Deutschland. Schülerfirmen und bereits gegründete Unternehmen (GmbH, UG, GbR, AG) sind zugelassen. Bis zu 6 Teammitglieder dürfen zum Finale.</t>
  </si>
  <si>
    <t xml:space="preserve">10.000 € ohne Gegenleistung, ohne Anteile, ohne Rückzahlung — für zwei Schüler die höchste erreichbare Summe pro eingesetzter Stunde. ALTERSFENSTER AM 27.07.2026 BERECHNET: Die Runde mit Abgabe im Mai 2027 ist die EINZIGE UND LETZTE, in der beide gemeinsam antreten können. Henry Luca Kurz wird am 11.10.2027 zwanzig und überschreitet damit die Grenze von 19 Jahren; bei der Runde 2028 wäre nur noch Nicolas Greulich teilnahmeberechtigt, und ein Einzelantritt widerspricht dem gemeinsamen Vorhaben. Es gibt also genau EINEN Versuch, und er liegt im Mai 2027.</t>
  </si>
  <si>
    <t xml:space="preserve">V1</t>
  </si>
  <si>
    <t xml:space="preserve">startupteens.de/challenge-link/bewerbung</t>
  </si>
  <si>
    <t xml:space="preserve">KfW Award Gründen</t>
  </si>
  <si>
    <t xml:space="preserve">KfW Bankengruppe</t>
  </si>
  <si>
    <t xml:space="preserve">Bewerbungsschluss 2026 war der 01.07.2026, Preisverleihung geplant für den 04.11.2026. Jährlicher Rhythmus.</t>
  </si>
  <si>
    <t xml:space="preserve">35.000 € gesamt: je 1.000 € pro Bundesland für den Landessieg, 9.000 € für den Bundessieg, 5.000 € Publikumspreis, 5.000 € Sonderpreis Unternehmensnachfolge.</t>
  </si>
  <si>
    <t xml:space="preserve">Online-Bewerbung mit Unternehmensdarstellung</t>
  </si>
  <si>
    <t xml:space="preserve">Unternehmen mit Hauptsitz in Deutschland, gegründet oder übernommen ab dem Gründungsjahr 2021. Eine bestehende Gesellschaft ist Voraussetzung.</t>
  </si>
  <si>
    <t xml:space="preserve">Kommt erst nach T0 in Frage, weil eine gegründete Gesellschaft verlangt wird. Dann aber mit dem besten Aufwand-Ertrag-Verhältnis der Liste: gut zehn Stunden für eine realistische Chance auf mindestens den Landessieg. Vormerken für Sommer 2029.</t>
  </si>
  <si>
    <t xml:space="preserve">kfw.de/KfW-Award-Gründen und nrwbank.de zur Runde 2026</t>
  </si>
  <si>
    <t xml:space="preserve">startsocial</t>
  </si>
  <si>
    <t xml:space="preserve">startsocial e. V., unter Schirmherrschaft des Bundeskanzleramts</t>
  </si>
  <si>
    <t xml:space="preserve">Bewerbungsphase 2026: 05.05. bis 10.07.2026. Jurierung der 100 Stipendiaten vom 02.11.2026 bis 28.02.2027, Preisverleihung im März 2027. Jährlicher Rhythmus.</t>
  </si>
  <si>
    <t xml:space="preserve">100 Beratungsstipendien über vier Monate mit Fach- und Führungskräften aus Wirtschaft, Verwaltung und Zivilgesellschaft. Von 25 Bundesauswahl-Initiativen erhalten sieben Geldpreise im Gesamtwert von 35.000 €.</t>
  </si>
  <si>
    <t xml:space="preserve">Bewerbung als soziale Initiative; Initiativen in der Ideenphase sind ausdrücklich zugelassen</t>
  </si>
  <si>
    <t xml:space="preserve">15–25 h</t>
  </si>
  <si>
    <t xml:space="preserve">Gesellschaftliche Herausforderungen, die MIT HILFE VON EHRENAMTLICHEN angegangen werden. Das ist die entscheidende Bedingung.</t>
  </si>
  <si>
    <t xml:space="preserve">Der Beratungswert wäre hoch, die Passung ist es nicht. startsocial fördert ehrenamtlich getragenes Engagement — wir bauen ein gewinnorientiertes Unternehmen mit bezahlter Moderation. Eine Bewerbung, die das verschleiert, wäre unehrlich und würde in der Jurierung auffallen. Nur dann eine Option, wenn ein klar abgegrenzter ehrenamtlicher Teil entsteht, etwa ein Ortsgruppen-Netzwerk. Sonst weglassen.</t>
  </si>
  <si>
    <t xml:space="preserve">V2</t>
  </si>
  <si>
    <t xml:space="preserve">startsocial.de/foerderung/wettbewerbsablauf</t>
  </si>
  <si>
    <t xml:space="preserve">DurchSTARTer-Preis Niedersachsen</t>
  </si>
  <si>
    <t xml:space="preserve">Land Niedersachsen mit NBank und Partnern</t>
  </si>
  <si>
    <t xml:space="preserve">unbelegt</t>
  </si>
  <si>
    <t xml:space="preserve">FRIST NICHT BELEGT. Die Preisverleihung 2025 ist dokumentiert, ein Bewerbungszeitraum für die kommende Runde war in dieser Recherche nicht öffentlich auffindbar. Beim Träger erfragen, bevor darauf geplant wird.</t>
  </si>
  <si>
    <t xml:space="preserve">25.000 € für den Preisträger. Kategorien: Newcomer · Science Spin-off · Impact bzw. Social Innovation · Scale-up.</t>
  </si>
  <si>
    <t xml:space="preserve">nicht belegt — beim Träger erfragen</t>
  </si>
  <si>
    <t xml:space="preserve">nicht belegt</t>
  </si>
  <si>
    <t xml:space="preserve">nicht belegt. Landesbezug Niedersachsen ist anzunehmen, aber nicht geprüft.</t>
  </si>
  <si>
    <t xml:space="preserve">Steht hier bewusst mit Lücken statt gar nicht: Wenn der Sitz nach Niedersachsen geht, ist das der Landespreis, und die Kategorie „Impact“ passt zu unserem Profil. Aber alles Wesentliche — Frist, Zugangsvoraussetzungen, ob Ideen oder nur gegründete Unternehmen — ist unbelegt. Eine Mail an die NBank klärt in einer Woche, was hier drei Zeilen Vermutung sind.</t>
  </si>
  <si>
    <t xml:space="preserve">durchstarterpreis.de und startup.nds.de (Preisverleihung 2025)</t>
  </si>
  <si>
    <t xml:space="preserve">Rheinland-Pitch</t>
  </si>
  <si>
    <t xml:space="preserve">STARTPLATZ Köln/Düsseldorf</t>
  </si>
  <si>
    <t xml:space="preserve">NRW (Köln)</t>
  </si>
  <si>
    <t xml:space="preserve">laufend</t>
  </si>
  <si>
    <t xml:space="preserve">KEINE STICHTAGSFRIST. Laufende Veranstaltungsreihe mit mehreren Terminen im Jahr; der Kölner Termin 2026 war am 27.04.2026. Bewerbung ist jederzeit möglich, die Termine werden fortlaufend veröffentlicht. Hier steht bewusst kein Datum, weil jedes wäre erfunden.</t>
  </si>
  <si>
    <t xml:space="preserve">KEIN PREISGELD. Der Gegenwert ist Sichtbarkeit, Jury-Feedback und Zugang zu Investoren und zur Kölner Szene.</t>
  </si>
  <si>
    <t xml:space="preserve">Kurzbewerbung, danach ein Pre-Pitch eine Woche vor dem Haupttermin; die Jury entscheidet, wer auf die Bühne kommt</t>
  </si>
  <si>
    <t xml:space="preserve">10–20 h inklusive Pitch-Vorbereitung</t>
  </si>
  <si>
    <t xml:space="preserve">Keine besonderen Voraussetzungen — von der einen Tag alten Idee bis zur zweiten Finanzierungsrunde.</t>
  </si>
  <si>
    <t xml:space="preserve">Der niedrigschwelligste Zugang zur Kölner Startup-Szene, den es gibt, und er kostet nichts außer Vorbereitung. Aber nicht jetzt: Ohne Warteliste, ohne Prototyp und ohne Zahlen steht man dort mit einer Absichtserklärung auf der Bühne. Der richtige Zeitpunkt ist V3/V4, wenn A-31 das Pitchdeck geliefert hat. Ein erster Besuch als Zuschauer ist dagegen jederzeit sinnvoll.</t>
  </si>
  <si>
    <t xml:space="preserve">V3/V4</t>
  </si>
  <si>
    <t xml:space="preserve">rheinlandpitch.de und startplatz.de (Kölner Termin 27.04.2026)</t>
  </si>
  <si>
    <t xml:space="preserve">Social Impact Award Deutschland</t>
  </si>
  <si>
    <t xml:space="preserve">Social Impact Award / Impact Hub</t>
  </si>
  <si>
    <t xml:space="preserve">Bund (Teil eines EU-weiten Netzwerks)</t>
  </si>
  <si>
    <t xml:space="preserve">FRIST NICHT BELEGT. Die Einreichung der laufenden Runde ist geschlossen; ein Datum für die nächste war öffentlich nicht auffindbar. Typischerweise Frühjahr. Über die Website nachfragen oder den Newsletter abonnieren.</t>
  </si>
  <si>
    <t xml:space="preserve">3.000 € Preisgeld für Finalist:innen, dazu 1:1-Begleitung, Inkubationsphase, Ticket zum SIA Summit und Zugang zu einer internationalen Alumni-Gemeinschaft aus über 1.000 Sozialunternehmer:innen in mehr als 25 Ländern.</t>
  </si>
  <si>
    <t xml:space="preserve">Projektbeschreibung online; danach Discovery Journey und Inkubation</t>
  </si>
  <si>
    <t xml:space="preserve">20–40 h inklusive Programmteilnahme</t>
  </si>
  <si>
    <t xml:space="preserve">14 bis 30 Jahre, Wohnsitz in Deutschland, Projekt in früher Phase. AUSSCHLUSSKRITERIUM: keine wesentliche formale Anschubfinanzierung — definiert als externe Zuschüsse über 6.000 €.</t>
  </si>
  <si>
    <t xml:space="preserve">Der Altersrahmen passt für uns über Jahre, das Programm ist inhaltlich näher an uns als startsocial. ABER die 6.000-Euro-Grenze ist ein echter Konflikt: Wer vorher bei STARTUP TEENS 10.000 € gewinnt oder ein Landesstipendium bezieht, ist hier vermutlich draußen. Das ist die erste belegte Unverträglichkeit zwischen zwei Preisen in unserer Liste — und ein Grund, die Reihenfolge bewusst zu wählen statt alles parallel einzureichen.</t>
  </si>
  <si>
    <t xml:space="preserve">germany.socialimpactaward.net und apply.socialimpactaward.net/germany</t>
  </si>
  <si>
    <t xml:space="preserve">Gründungswettbewerb – Digitale Innovationen</t>
  </si>
  <si>
    <t xml:space="preserve">BMWE (Bundeswirtschaftsministerium)</t>
  </si>
  <si>
    <t xml:space="preserve">eingestellt</t>
  </si>
  <si>
    <t xml:space="preserve">Die offizielle Seite des Ministeriums trägt mit Stand 24.03.2026 den Hinweis: „Der Gründungswettbewerb wird derzeit nicht fortgeführt.“ Auch die Auszeichnung „Digitales Start-up des Jahres“ nimmt derzeit keine Bewerbungen entgegen.</t>
  </si>
  <si>
    <t xml:space="preserve">ENTFÄLLT. Historisch: 307.000 € Preisgeld pro Runde, bis zu 6 Hauptpreise à 32.000 € und bis zu 15 weitere à 7.000 €, zwei Runden im Jahr, 45 Runden und über 1.100 ausgezeichnete Start-ups seit 1997.</t>
  </si>
  <si>
    <t xml:space="preserve">entfällt</t>
  </si>
  <si>
    <t xml:space="preserve">DER WICHTIGSTE BEFUND DIESER RECHERCHE, UND ER IST EINE SCHLECHTE NACHRICHT. Der mit Abstand naheliegendste Wettbewerb für ein digitales Vorhaben — bundesweit, zweimal jährlich, 15 Seiten Konzept statt Businessplan, kein Gründungszwang — existiert derzeit nicht mehr. Wer eine ältere Liste von Gründungswettbewerben liest, findet ihn dort noch; die meisten Ratgeberseiten haben den Hinweis noch nicht nachgezogen. Für uns heißt das: Der bequemste Weg zu 32.000 € Startkapital ist weg, und die verbleibenden Bundeswettbewerbe verlangen entweder eine bestehende Gesellschaft (KfW) oder einen vollständigen Businessplan (start2grow). Vor T0 im Sommer 2028 sollte geprüft werden, ob ein Nachfolgeprogramm aufgelegt wurde.</t>
  </si>
  <si>
    <t xml:space="preserve">bundeswirtschaftsministerium.de/Redaktion/DE/Dossier/Gruenderwettbewerb/gruenderwettbewerb.html (abgerufen 27.07.2026)</t>
  </si>
  <si>
    <t xml:space="preserve">Auswertung (rechnet automatisch)</t>
  </si>
  <si>
    <t xml:space="preserve">Wettbewerbe in der Liste</t>
  </si>
  <si>
    <t xml:space="preserve">davon grün (jetzt oder bald verfolgen)</t>
  </si>
  <si>
    <t xml:space="preserve">davon gelb (Bedingung offen)</t>
  </si>
  <si>
    <t xml:space="preserve">davon rot (heute geschlossen)</t>
  </si>
  <si>
    <t xml:space="preserve">Frist für die kommende Runde bestätigt</t>
  </si>
  <si>
    <t xml:space="preserve">Frist erwartet (aus dem Jahresrhythmus abgeleitet)</t>
  </si>
  <si>
    <t xml:space="preserve">Frist unbelegt — beim Träger erfragen</t>
  </si>
  <si>
    <t xml:space="preserve">ohne Stichtagsfrist (laufend)</t>
  </si>
  <si>
    <t xml:space="preserve">Wettbewerb eingestellt</t>
  </si>
  <si>
    <t xml:space="preserve">beworben (gelbe Spalte ausgefüllt)</t>
  </si>
  <si>
    <t xml:space="preserve">ABNAHME A-12 — Kriterium 1: mindestens 10 Wettbewerbe</t>
  </si>
  <si>
    <t xml:space="preserve">ABNAHME A-12 — Kriterium 2: keine datierte Frist vor dem 01.08.2026</t>
  </si>
  <si>
    <t xml:space="preserve">ABNAHME A-12 — Kriterium 3: jede Zeile hat eine Quelle</t>
  </si>
  <si>
    <t xml:space="preserve">Was wann — die Wettbewerbe entlang unserer eigenen Zeitachse</t>
  </si>
  <si>
    <t xml:space="preserve">Die Fenster V0 bis V4 und T0 stammen aus 01-steuerung/zeitplan-bis-start.md. T0 = Sommer 2028. Diese Seite beantwortet nicht die Frage „welcher Wettbewerb ist der beste", sondern „was ist als nächstes dran".</t>
  </si>
  <si>
    <t xml:space="preserve">Das Ergebnis vorweg</t>
  </si>
  <si>
    <t xml:space="preserve">VON SECHZEHN GEPRÜFTEN WETTBEWERBEN IST GENAU EINER JETZT OFFEN, PASSEND UND KOSTENLOS: JUGEND GRÜNDET. Die Businessplan-Phase startet am 1. September 2026 — in gut fünf Wochen. Teilnahmeberechtigt sind Schüler:innen bis einschließlich 23 Jahre; beide Gründer erfüllen das heute und noch mehrere Jahre lang. Der Wettbewerb verlangt genau das, was Fenster V1 ohnehin vorsieht: einen ausgearbeiteten Businessplan. Alles andere in dieser Liste ist entweder später, andernorts oder an eine bestehende Gesellschaft gebunden.</t>
  </si>
  <si>
    <t xml:space="preserve">Die fünf Befunde, die die Planung verändern</t>
  </si>
  <si>
    <t xml:space="preserve">Befund</t>
  </si>
  <si>
    <t xml:space="preserve">Betrifft</t>
  </si>
  <si>
    <t xml:space="preserve">Was daran wichtig ist</t>
  </si>
  <si>
    <t xml:space="preserve">Was daraus folgt</t>
  </si>
  <si>
    <t xml:space="preserve">Der Bundeswettbewerb für digitale Gründungen existiert nicht mehr</t>
  </si>
  <si>
    <t xml:space="preserve">Die Seite des Bundeswirtschaftsministeriums trägt mit Stand 24.03.2026 den Hinweis, der Wettbewerb werde derzeit nicht fortgeführt. Es war der naheliegendste Wettbewerb überhaupt: bundesweit, zweimal im Jahr, 32.000 € Hauptpreis, 15 Seiten Konzept statt Businessplan, keine Gründung vorausgesetzt. Seit 1997, 45 Runden, über 1.100 ausgezeichnete Start-ups.</t>
  </si>
  <si>
    <t xml:space="preserve">Die bequemste Quelle für Startkapital ohne Gegenleistung ist weg. Die verbleibenden Bundeswettbewerbe verlangen entweder eine bestehende Gesellschaft oder einen vollständigen Businessplan. Vor T0 prüfen, ob ein Nachfolgeprogramm aufgelegt wurde — und bis dahin älteren Wettbewerbslisten nicht trauen, die ihn noch führen.</t>
  </si>
  <si>
    <t xml:space="preserve">Das Schülerfenster ist das größte Vermögen, das wir gerade haben — und es schließt sich (berechnet)</t>
  </si>
  <si>
    <t xml:space="preserve">JUGEND GRÜNDET, STARTUP TEENS</t>
  </si>
  <si>
    <t xml:space="preserve">STARTUP TEENS zahlt 10.000 € an das Siegerteam jeder von sieben Kategorien, Altersgrenze 14 bis 19 Jahre zum Abgabeschluss. JUGEND GRÜNDET geht bis einschließlich 23. Beide sind kostenlos, beide verlangen keine Gesellschaft, beide bewerten die eigene Idee.</t>
  </si>
  <si>
    <t xml:space="preserve">AM 27.07.2026 GERECHNET UND GESCHLOSSEN. STARTUP TEENS: Die Runde mit Abgabe im Mai 2027 ist die EINZIGE UND LETZTE für ein gemeinsames Team — Henry wird am 11.10.2027 zwanzig. Ein Versuch, bis zu 10.000 € je Kategorie. JUGEND GRÜNDET: zwei Runden, 2026/27 und 2027/28; ab 2028/29 fehlt die Schülereigenschaft wegen des Abiturs. Damit sind die Termine keine Möglichkeit mehr, sondern ein Kalender.</t>
  </si>
  <si>
    <t xml:space="preserve">Preisgelder können andere Förderung ausschließen</t>
  </si>
  <si>
    <t xml:space="preserve">Social Impact Award, EXIST, Landesstipendien</t>
  </si>
  <si>
    <t xml:space="preserve">Der Social Impact Award schließt Projekte aus, die bereits externe Zuschüsse über 6.000 € erhalten haben. Ein einziger Gewinn bei STARTUP TEENS würde diese Schwelle um 4.000 € überschreiten.</t>
  </si>
  <si>
    <t xml:space="preserve">Die Reihenfolge der Bewerbungen ist selbst eine Entscheidung. Erst die Programme mit Ausschlussklausel, dann die ohne — nicht alles parallel einreichen. Für A-13 heißt das: Preisgelder gehören mit Datum ins Finanzmodell, nicht als Summe.</t>
  </si>
  <si>
    <t xml:space="preserve">Der Startmarkt und die Wettbewerbslandschaft ziehen in verschiedene Richtungen</t>
  </si>
  <si>
    <t xml:space="preserve">OUT OF THE BOX.NRW, NUK, Startup-Impuls, Hessischer Gründerpreis</t>
  </si>
  <si>
    <t xml:space="preserve">Unser Startmarkt ist Köln, also NRW. Die beiden regionalen Wettbewerbe mit NRW-Bezug sind NUK (Köln, offen für Ideen) und OUT OF THE BOX.NRW (50.000 €, aber Sitz in NRW zwingend). Die Sitzentscheidung Nr. 21/33 wägt bisher nur zwischen Niedersachsen und Hessen ab.</t>
  </si>
  <si>
    <t xml:space="preserve">NRW fehlt als Option in der Sitzentscheidung, obwohl dort der Markt liegt. Das ist keine Empfehlung, den Sitz nach Köln zu legen — die Förderlage aus A-09 spricht klar für Niedersachsen. Aber die Abwägung sollte drei Optionen kennen, nicht zwei.</t>
  </si>
  <si>
    <t xml:space="preserve">Für queere Gründungen gibt es in Deutschland keinen eigenen Gründungspreis</t>
  </si>
  <si>
    <t xml:space="preserve">gesamte Diversity-Recherche</t>
  </si>
  <si>
    <t xml:space="preserve">Gesucht wurde ausdrücklich nach LGBTQ+- und Diversity-Wettbewerben. Gefunden wurden zwei Dinge: eine Award-Kategorie „Contribution to LGBTQIA+“ beim Impact of Diversity Award, die bestehende Wirkung auszeichnet, und die Projektförderung der Bundesstiftung Magnus Hirschfeld für Bildung und Forschung. Ein Gründungswettbewerb für queere Unternehmen war nicht auffindbar.</t>
  </si>
  <si>
    <t xml:space="preserve">Es gibt keine Abkürzung über die Zielgruppe. Wir bewerben uns dort, wo sich alle bewerben, und die Zielgruppe ist ein Argument im Text, kein eigener Topf. Details auf dem Blatt „Diversity &amp; Queer".</t>
  </si>
  <si>
    <t xml:space="preserve">Reihenfolge nach unseren Fenstern</t>
  </si>
  <si>
    <t xml:space="preserve">Zeitraum</t>
  </si>
  <si>
    <t xml:space="preserve">Was ansteht</t>
  </si>
  <si>
    <t xml:space="preserve">Warum gerade das</t>
  </si>
  <si>
    <t xml:space="preserve">V0</t>
  </si>
  <si>
    <t xml:space="preserve">Jul–Sep 2026</t>
  </si>
  <si>
    <t xml:space="preserve">1. Geburtsdaten prüfen und die Altersfenster festhalten. 2. Am 1. September bei JUGEND GRÜNDET registrieren. 3. Einmal zum Rheinland-Pitch nach Köln fahren — als Zuschauer.</t>
  </si>
  <si>
    <t xml:space="preserve">Alle drei kosten zusammen weniger als einen Tag und keinen Euro. Der Zuschauerbesuch in Köln ist die billigste Marktforschung, die es gibt: Man sieht, wie in dieser Stadt gepitcht wird, bevor man selbst dort steht.</t>
  </si>
  <si>
    <t xml:space="preserve">Okt 2026–Mär 2027</t>
  </si>
  <si>
    <t xml:space="preserve">JUGEND GRÜNDET Businessplan bis zum 05.01.2027 (am 15.09.2026 bestätigt). Danach Planspiel-Phase Februar bis Mai. Parallel: Startup-Impuls prüfen, wenn ein Bezug zur Region Hannover darstellbar ist (Frist voraussichtlich 15.12.2026).</t>
  </si>
  <si>
    <t xml:space="preserve">Der Businessplan für JUGEND GRÜNDET ist kein Nebenprodukt, sondern die Vorarbeit für A-20. Was hier entsteht, wird zwei Jahre später für Förderprüfer und Investoren weiterverwendet. Doppelte Arbeit gibt es nur, wenn man es nacheinander statt gleichzeitig macht.</t>
  </si>
  <si>
    <t xml:space="preserve">Apr–Sep 2027</t>
  </si>
  <si>
    <t xml:space="preserve">STARTUP TEENS (Frist voraussichtlich Mai 2027, Altersgrenze beachten). NUK-Einreichungsphase vorbereiten. Social Impact Award prüfen — aber erst, nachdem die 6.000-Euro-Frage geklärt ist.</t>
  </si>
  <si>
    <t xml:space="preserve">In diesem Fenster steht das meiste Geld pro Aufwandsstunde zur Verfügung, und es ist das letzte, in dem das Schüleralter sicher trägt.</t>
  </si>
  <si>
    <t xml:space="preserve">V3</t>
  </si>
  <si>
    <t xml:space="preserve">Okt 2027–Mär 2028</t>
  </si>
  <si>
    <t xml:space="preserve">start2grow (Anmeldung voraussichtlich Ende Oktober 2027, Abgabe Januar 2028). NUK-Wettbewerb 2027/28 mitlaufen. Rheinland-Pitch jetzt als Teilnehmer.</t>
  </si>
  <si>
    <t xml:space="preserve">Ab hier ist ein vollständiger Businessplan vorhanden und A-31 liefert das Pitchdeck. start2grow ist der aufwendigste Wettbewerb der Liste — er lohnt erst, wenn der Plan ohnehin steht.</t>
  </si>
  <si>
    <t xml:space="preserve">V4 / nach T0</t>
  </si>
  <si>
    <t xml:space="preserve">Apr 2028 ff.</t>
  </si>
  <si>
    <t xml:space="preserve">KfW Award Gründen ab Sommer 2029. OUT OF THE BOX.NRW ab der Runde, die 2028 gegründete Unternehmen zulässt — nur bei Sitz in NRW. Impact of Diversity Award, sobald Wirkung belegbar ist.</t>
  </si>
  <si>
    <t xml:space="preserve">Diese drei setzen eine bestehende Gesellschaft oder nachweisbare Wirkung voraus. Sie gehören in den Kalender, nicht in die Arbeitsplanung.</t>
  </si>
  <si>
    <t xml:space="preserve">Was diese Liste NICHT beantwortet</t>
  </si>
  <si>
    <t xml:space="preserve">Erstens: Ob sich der Aufwand lohnt. Ein Businessplan für start2grow kostet rund hundert Stunden. Bei zwei Abiturienten mit begrenzter Wochenzeit ist das eine Entscheidung gegen etwas anderes — vermutlich gegen Kanalproduktion oder Interviews. Diese Abwägung gehört in A-13 und in die Zeitplanung, nicht hierher.
Zweitens: Ob ein Preisgeld steuerlich wie ein Zuschuss behandelt wird und ob es die spätere EXIST-Fähigkeit berührt. A-10 hat gezeigt, dass Preisgelder grundsätzlich mit EXIST vereinbar sind, weil sie keine Lebenshaltung finanzieren. Für den Einzelfall gilt das nicht automatisch — gehört auf die Anwaltsliste.
Drittens: Was passiert, wenn wir mit einer Cruising-App bei einer Sparkassen-Jury sitzen. Diese Frage ist real, sie ist unangenehm, und sie wird in A-35 (Einwand-Handbuch) beantwortet, nicht hier. Aber sie sollte vor der ersten Bewerbung bedacht sein und nicht auf der Bühne zum ersten Mal auftauchen.</t>
  </si>
  <si>
    <t xml:space="preserve">LGBTQ+- und Diversity-Wettbewerbe — was es gibt und was es nicht gibt</t>
  </si>
  <si>
    <t xml:space="preserve">Eigener Rechercheblock, wie in der Aufgabenstellung A-12 verlangt. Stand 27.07.2026.</t>
  </si>
  <si>
    <t xml:space="preserve">Der Befund in einem Satz</t>
  </si>
  <si>
    <t xml:space="preserve">EINEN GRÜNDUNGSWETTBEWERB FÜR QUEERE UNTERNEHMEN GIBT ES IN DEUTSCHLAND NACH DIESER RECHERCHE NICHT. Was es gibt, ist eine Award-Kategorie für bereits nachgewiesene Wirkung und eine Projektförderung für Bildung und Forschung. Beides ist kein Startkapital für ein Produkt.</t>
  </si>
  <si>
    <t xml:space="preserve">Was gefunden wurde</t>
  </si>
  <si>
    <t xml:space="preserve">Angebot</t>
  </si>
  <si>
    <t xml:space="preserve">Was es ist</t>
  </si>
  <si>
    <t xml:space="preserve">Was es für uns bedeutet</t>
  </si>
  <si>
    <t xml:space="preserve">Impact of Diversity Award — Kategorie „Contribution to LGBTQIA+“</t>
  </si>
  <si>
    <t xml:space="preserve">Auszeichnung in 16 Kategorien. Bewerbungsphase 2026 war vom 02.03. bis 07.04.2026. Ausgezeichnet werden bestehende Initiativen und Projekte mit nachweisbarer Wirkung auf die Diversitätsdimension und Resonanz in der Community — ausdrücklich keine Zukunftspläne. Ein Geldpreis ist in dieser Recherche nicht belegt.</t>
  </si>
  <si>
    <t xml:space="preserve">Frühestens 2029/2030 relevant, wenn Nutzerzahlen und Wirkung belegbar sind. Kein Kapital, aber eine Auszeichnung, die in der eigenen Zielgruppe mehr Glaubwürdigkeit stiftet als ein Wirtschaftspreis. Vormerken.</t>
  </si>
  <si>
    <t xml:space="preserve">Eine Antragsfrist pro Jahr, jeweils zum 31. Dezember; die Frist zum 31.12.2025 galt dem Förderjahr 2027. 2026 wurden elf Projekte mit insgesamt 54.912 € bewilligt, einzeln zwischen 1.500 € und 9.992 €. Förderschwerpunkt 2026/2027: TIN. Gefördert werden ausschließlich externe Bildungs- und Forschungsprojekte.</t>
  </si>
  <si>
    <t xml:space="preserve">Für die App selbst NICHT zugänglich — gefördert wird Bildung und Forschung, nicht Produktentwicklung. Denkbar wäre ein sauber abgegrenztes Begleitprojekt, etwa eine Erhebung zu Sicherheits- und Diskriminierungserfahrungen im Cruising-Kontext. Das wäre ein eigener Antrag mit eigener Trägerschaft, kein Nebenprodukt — und die Abgrenzung zum Unternehmen müsste vorher mit dem Anwalt geklärt sein.</t>
  </si>
  <si>
    <t xml:space="preserve">Was ausdrücklich NICHT gefunden wurde</t>
  </si>
  <si>
    <t xml:space="preserve">Gesucht wurde nach einem queeren oder LGBTQ-spezifischen Gründungspreis, einem queeren Accelerator mit Preisgeld und nach Diversity-Gründungswettbewerben mit Kapital für die Frühphase. Keines davon war auffindbar. Die vorhandenen Diversity-Auszeichnungen honorieren Arbeitgeberverhalten und bestehende Projekte, nicht Gründungsvorhaben.</t>
  </si>
  <si>
    <t xml:space="preserve">Kein Grund zur Enttäuschung, aber ein Grund zur Klarheit: Wir haben keinen Sonderweg. Cruizy bewirbt sich dort, wo sich alle bewerben — und die Zielgruppe ist ein Argument im Text, kein eigener Topf.</t>
  </si>
  <si>
    <t xml:space="preserve">Wie die Zielgruppe in einer Bewerbung vorkommen sollte</t>
  </si>
  <si>
    <t xml:space="preserve">In allgemeinen Wettbewerben ist die Zielgruppe keine Nische, sondern eine Marktdefinition — und so gehört sie auch formuliert. Nicht „wir machen etwas für eine benachteiligte Gruppe", sondern: ein klar umrissener Markt, ein bekanntes Problem, ein Wettbewerbsumfeld aus zwei bis drei etablierten Anbietern, und eine Positionierung, die sich benennen lässt. Juroren, die mit dem Thema nichts zu tun haben, folgen einer Marktargumentation ohne Weiteres; einer Betroffenheitsargumentation folgen sie höflich.
Die Kategorien „highest impact" (Startup-Impuls) und „Gesellschaftliche Wirkung" (Hessischer Gründerpreis) sind dafür die naheliegenden Türen. Sie erlauben es, gesellschaftlichen Nutzen zu benennen, ohne das Geschäftsmodell kleinzureden.</t>
  </si>
  <si>
    <t xml:space="preserve">Quellen und Methode</t>
  </si>
  <si>
    <t xml:space="preserve">Wie diese Liste entstanden ist</t>
  </si>
  <si>
    <t xml:space="preserve">Alle Angaben wurden am 26. und 27. Juli 2026 per Websuche erhoben, überwiegend direkt von den Seiten der Ausrichter. Wo eine Angabe nur über eine Drittseite auffindbar war, steht das in der Quellenzeile. Wo eine Angabe gar nicht auffindbar war — Preisgeld beim Hessischen Gründerpreis, Frist beim DurchSTARTer-Preis, Dotierung bei JUGEND GRÜNDET — steht das ausdrücklich in der Tabelle statt einer plausiblen Zahl. Diese Lücken sind Arbeitsaufträge, keine Schätzungen.
Nicht aufgenommen wurden Wettbewerbe, die ausschließlich Hochschulausgründungen, Nachfolgen, Handwerk oder einzelne Branchen adressieren, sowie reine Investorenveranstaltungen ohne Bewerbungsverfahren.</t>
  </si>
  <si>
    <t xml:space="preserve">Quellenliste</t>
  </si>
  <si>
    <t xml:space="preserve">Was belegt wird</t>
  </si>
  <si>
    <t xml:space="preserve">Adresse</t>
  </si>
  <si>
    <t xml:space="preserve">JUGEND GRÜNDET — Teilnahmebedingungen (Alter bis 23, Phasenkalender, Urheberrecht, Patenthinweis)</t>
  </si>
  <si>
    <t xml:space="preserve">https://www.jugend-gruendet.de/wettbewerb/teilnahmebedingungen/</t>
  </si>
  <si>
    <t xml:space="preserve">JUGEND GRÜNDET — Stichtag Businessplan-Phase 07.01.2026, 12:00 Uhr</t>
  </si>
  <si>
    <t xml:space="preserve">https://www.startupbw.de/beratung-coaching/start-up-bw-young-talents/news-uebersicht-young-talents/news-detail-young-talents/jugend-gruendet-2025-2026</t>
  </si>
  <si>
    <t xml:space="preserve">STARTUP TEENS Challenge — Bewerbung, Alter 14–19, Abgabeschluss 11.05.2026, Finale 25.06.2026</t>
  </si>
  <si>
    <t xml:space="preserve">https://www.startupteens.de/challenge-link/bewerbung/</t>
  </si>
  <si>
    <t xml:space="preserve">Startup-Impuls — Der Wettbewerb: Einreichung bis 15.12.2025, Vorjury 06.01.–30.01.2026, Prämierung 16.03.2026</t>
  </si>
  <si>
    <t xml:space="preserve">https://www.wirtschaftsfoerderung-hannover.de/de/Microsites/Startup-Impuls/Der_Wettbewerb.php</t>
  </si>
  <si>
    <t xml:space="preserve">Startup-Impuls — Die Preise: über 100.000 €, vier Kategorien à 25.000 €, Sonderpreis Marketing 5.000 €</t>
  </si>
  <si>
    <t xml:space="preserve">https://www.wirtschaftsfoerderung-hannover.de/de/Microsites/Startup-Impuls/Die_Preise.php</t>
  </si>
  <si>
    <t xml:space="preserve">start2grow 2025/26 — Start 29.10.2025, Businessplan-Abgabe 26.01.2026, Finale 06.03.2026, 94.000 € Preisgeld</t>
  </si>
  <si>
    <t xml:space="preserve">https://www.wirtschaftsfoerderung-dortmund.de/blog/2025-10/bundesweiter-gruendungswettbewerb-start2grow-202526-gestartet</t>
  </si>
  <si>
    <t xml:space="preserve">NUK Businessplan-Wettbewerb — FAQ: Ablauf November bis Juni, Teilnahmeberechtigung, 12.000 € Preisgelder</t>
  </si>
  <si>
    <t xml:space="preserve">https://www.neuesunternehmertum.de/faq/</t>
  </si>
  <si>
    <t xml:space="preserve">NUK — Start der Einreichungsphase beim 26. Wettbewerb (Digital Hub Cologne)</t>
  </si>
  <si>
    <t xml:space="preserve">https://digitalhubcologne.de/start-der-einreichungsphase-beim-26-nuk-businessplan-wettbewerb/</t>
  </si>
  <si>
    <t xml:space="preserve">Deutscher Gründerpreis für Schüler:innen — Spielrunde 2026: Anmeldung 22.09.2025–20.02.2026</t>
  </si>
  <si>
    <t xml:space="preserve">https://dgp-schueler.de/spielrunde-2026</t>
  </si>
  <si>
    <t xml:space="preserve">OUT OF THE BOX.NRW 2026 — Bewerbungsphase 01.01.–28.02.2026, Sitz in NRW, Gründung 2023–2025</t>
  </si>
  <si>
    <t xml:space="preserve">https://creative.nrw/news/wettbewerb-out-of-the-box-nrw-2026-gestartet/</t>
  </si>
  <si>
    <t xml:space="preserve">OUT OF THE BOX.NRW 2026 — 50.000 € an drei Teams, Finale 18.06.2026 in Bielefeld</t>
  </si>
  <si>
    <t xml:space="preserve">https://www.land.nrw/pressemitteilung/die-finalisten-des-out-boxnrw-2026-stehen-fest-zehn-start-ups-haben-sich-fuer-das</t>
  </si>
  <si>
    <t xml:space="preserve">KfW Award Gründen 2026 — Bewerbungsschluss 01.07.2026, 35.000 € Preisgeld, Gründung ab 2021</t>
  </si>
  <si>
    <t xml:space="preserve">https://www.kfw.de/%C3%9Cber-die-KfW/Newsroom/Aktuelles/Pressemitteilungen-Details_896000.html</t>
  </si>
  <si>
    <t xml:space="preserve">Hessischer Gründerpreis 2026 — Bewerbungsfrist 10.05.2026, vier Kategorien</t>
  </si>
  <si>
    <t xml:space="preserve">https://hessischer-gruenderpreis.de/wettbewerb/bewerbung</t>
  </si>
  <si>
    <t xml:space="preserve">DurchSTARTer-Preis Niedersachsen — Kategorien und 25.000 €, Preisverleihung 2025</t>
  </si>
  <si>
    <t xml:space="preserve">https://startup.nds.de/durchstarterpreis-verleihung-2025/</t>
  </si>
  <si>
    <t xml:space="preserve">Rheinland-Pitch — kein Preisgeld, Bewerbung und Pre-Pitch-Verfahren</t>
  </si>
  <si>
    <t xml:space="preserve">https://www.rheinlandpitch.de/</t>
  </si>
  <si>
    <t xml:space="preserve">Rheinland-Pitch Köln — Termin 27.04.2026</t>
  </si>
  <si>
    <t xml:space="preserve">https://www.startplatz.de/event/rheinland-pitch-koeln-2026-04-27/?lang=de</t>
  </si>
  <si>
    <t xml:space="preserve">startsocial — Wettbewerbsablauf: Bewerbung 05.05.–10.07.2026, 100 Stipendien, 35.000 € Geldpreise im März 2027</t>
  </si>
  <si>
    <t xml:space="preserve">https://startsocial.de/foerderung/wettbewerbsablauf</t>
  </si>
  <si>
    <t xml:space="preserve">Social Impact Award Deutschland — Alter 14–30, 3.000 €, Ausschluss ab 6.000 € externer Zuschüsse</t>
  </si>
  <si>
    <t xml:space="preserve">https://apply.socialimpactaward.net/germany/</t>
  </si>
  <si>
    <t xml:space="preserve">Impact of Diversity Award — Bewerbungsphase 02.03.–07.04.2026, 16 Kategorien inkl. Contribution to LGBTQIA+</t>
  </si>
  <si>
    <t xml:space="preserve">https://impact-of-diversity.com/nominierung-und-teilnahmebedingungen</t>
  </si>
  <si>
    <t xml:space="preserve">Bundesstiftung Magnus Hirschfeld — Queere Projektförderung: eine Frist pro Jahr, 31.12.2025 für Förderjahr 2027, Förderliste 2026</t>
  </si>
  <si>
    <t xml:space="preserve">https://mh-stiftung.de/foerderung-2/</t>
  </si>
  <si>
    <t xml:space="preserve">BMWE — Gründungswettbewerb Digitale Innovationen: „wird derzeit nicht fortgeführt“ (Artikel vom 24.03.2026)</t>
  </si>
  <si>
    <t xml:space="preserve">https://www.bundeswirtschaftsministerium.de/Redaktion/DE/Dossier/Gruenderwettbewerb/gruenderwettbewerb.html</t>
  </si>
  <si>
    <t xml:space="preserve">JUGEND GRÜNDET — Runde 2026/27: Ende der Businessplan-Phase 05.01.2027, Start Planspiel-Phase 01.02.2027, Registrierung offen (abgerufen 15.09.2026, R-01)</t>
  </si>
  <si>
    <t xml:space="preserve">https://www.jugend-gruendet.de/</t>
  </si>
  <si>
    <t xml:space="preserve">STARTUP TEENS Challenge 2027 — Anmeldung offen, Abgabe „Mai 2027 (18:00 Uhr)“, Alter 14–19 zum Abgabeschluss, sieben Kategorien je 10.000 € (abgerufen 15.09.2026, R-01)</t>
  </si>
</sst>
</file>

<file path=xl/styles.xml><?xml version="1.0" encoding="utf-8"?>
<styleSheet xmlns="http://schemas.openxmlformats.org/spreadsheetml/2006/main">
  <numFmts count="3">
    <numFmt numFmtId="164" formatCode="General"/>
    <numFmt numFmtId="165" formatCode="dd\.mm\.yyyy"/>
    <numFmt numFmtId="166"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9"/>
      <color rgb="FF595959"/>
      <name val="Arial"/>
      <family val="0"/>
      <charset val="1"/>
    </font>
    <font>
      <b val="true"/>
      <sz val="10"/>
      <color rgb="FFAA3333"/>
      <name val="Arial"/>
      <family val="0"/>
      <charset val="1"/>
    </font>
    <font>
      <b val="true"/>
      <sz val="10"/>
      <color rgb="FFFFFFFF"/>
      <name val="Arial"/>
      <family val="0"/>
      <charset val="1"/>
    </font>
    <font>
      <sz val="9"/>
      <name val="Arial"/>
      <family val="0"/>
      <charset val="1"/>
    </font>
    <font>
      <b val="true"/>
      <sz val="9"/>
      <name val="Arial"/>
      <family val="0"/>
      <charset val="1"/>
    </font>
    <font>
      <b val="true"/>
      <sz val="10"/>
      <name val="Arial"/>
      <family val="0"/>
      <charset val="1"/>
    </font>
    <font>
      <b val="true"/>
      <sz val="12"/>
      <color rgb="FF1F3A5F"/>
      <name val="Arial"/>
      <family val="0"/>
      <charset val="1"/>
    </font>
    <font>
      <sz val="10"/>
      <name val="Arial"/>
      <family val="0"/>
      <charset val="1"/>
    </font>
    <font>
      <b val="true"/>
      <sz val="13"/>
      <color rgb="FF1F3A5F"/>
      <name val="Arial"/>
      <family val="0"/>
      <charset val="1"/>
    </font>
    <font>
      <sz val="9"/>
      <color rgb="FF0563C1"/>
      <name val="Arial"/>
      <family val="0"/>
      <charset val="1"/>
    </font>
  </fonts>
  <fills count="9">
    <fill>
      <patternFill patternType="none"/>
    </fill>
    <fill>
      <patternFill patternType="gray125"/>
    </fill>
    <fill>
      <patternFill patternType="solid">
        <fgColor rgb="FFFDF3E7"/>
        <bgColor rgb="FFF2F2F2"/>
      </patternFill>
    </fill>
    <fill>
      <patternFill patternType="solid">
        <fgColor rgb="FF1F3A5F"/>
        <bgColor rgb="FF333333"/>
      </patternFill>
    </fill>
    <fill>
      <patternFill patternType="solid">
        <fgColor rgb="FFE6F4EA"/>
        <bgColor rgb="FFEDF2F8"/>
      </patternFill>
    </fill>
    <fill>
      <patternFill patternType="solid">
        <fgColor rgb="FFFFFF00"/>
        <bgColor rgb="FFFFFF00"/>
      </patternFill>
    </fill>
    <fill>
      <patternFill patternType="solid">
        <fgColor rgb="FFF2F2F2"/>
        <bgColor rgb="FFEDF2F8"/>
      </patternFill>
    </fill>
    <fill>
      <patternFill patternType="solid">
        <fgColor rgb="FFFCE4E4"/>
        <bgColor rgb="FFFDF3E7"/>
      </patternFill>
    </fill>
    <fill>
      <patternFill patternType="solid">
        <fgColor rgb="FFEDF2F8"/>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5" fontId="10" fillId="6" borderId="1" xfId="0" applyFont="true" applyBorder="true" applyAlignment="true" applyProtection="false">
      <alignment horizontal="center" vertical="top"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general" vertical="top" textRotation="0" wrapText="true" indent="0" shrinkToFit="false"/>
      <protection locked="true" hidden="false"/>
    </xf>
    <xf numFmtId="164" fontId="12" fillId="2" borderId="0" xfId="0" applyFont="true" applyBorder="true" applyAlignment="true" applyProtection="false">
      <alignment horizontal="general" vertical="top" textRotation="0" wrapText="true" indent="0" shrinkToFit="false"/>
      <protection locked="true" hidden="false"/>
    </xf>
    <xf numFmtId="164" fontId="12" fillId="8" borderId="0"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bottom"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AA3333"/>
      <rgbColor rgb="FFFDF3E7"/>
      <rgbColor rgb="FFE6F4EA"/>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DF2F8"/>
      <rgbColor rgb="FFF2F2F2"/>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26"/>
    <col collapsed="false" customWidth="true" hidden="false" outlineLevel="0" max="4" min="4" style="1" width="20"/>
    <col collapsed="false" customWidth="true" hidden="false" outlineLevel="0" max="5" min="5" style="1" width="13"/>
    <col collapsed="false" customWidth="true" hidden="false" outlineLevel="0" max="6" min="6" style="1" width="12"/>
    <col collapsed="false" customWidth="true" hidden="false" outlineLevel="0" max="7" min="7" style="1" width="44"/>
    <col collapsed="false" customWidth="true" hidden="false" outlineLevel="0" max="8" min="8" style="1" width="46"/>
    <col collapsed="false" customWidth="true" hidden="false" outlineLevel="0" max="9" min="9" style="1" width="34"/>
    <col collapsed="false" customWidth="true" hidden="false" outlineLevel="0" max="10" min="10" style="1" width="20"/>
    <col collapsed="false" customWidth="true" hidden="false" outlineLevel="0" max="11" min="11" style="1" width="48"/>
    <col collapsed="false" customWidth="true" hidden="false" outlineLevel="0" max="12" min="12" style="1" width="74"/>
    <col collapsed="false" customWidth="true" hidden="false" outlineLevel="0" max="13" min="13" style="1" width="10"/>
    <col collapsed="false" customWidth="true" hidden="false" outlineLevel="0" max="14" min="14" style="1" width="9"/>
    <col collapsed="false" customWidth="true" hidden="false" outlineLevel="0" max="15" min="15" style="1" width="14"/>
    <col collapsed="false" customWidth="true" hidden="false" outlineLevel="0" max="16" min="16" style="1" width="26"/>
    <col collapsed="false" customWidth="true" hidden="false" outlineLevel="0" max="17" min="17" style="1" width="44"/>
  </cols>
  <sheetData>
    <row r="1" customFormat="false" ht="19.5" hidden="false" customHeight="true" outlineLevel="0" collapsed="false">
      <c r="A1" s="2" t="s">
        <v>0</v>
      </c>
    </row>
    <row r="2" customFormat="false" ht="25.5" hidden="false" customHeight="true" outlineLevel="0" collapsed="false">
      <c r="A2" s="3" t="s">
        <v>1</v>
      </c>
    </row>
    <row r="3" customFormat="false" ht="57.75" hidden="false" customHeight="true" outlineLevel="0" collapsed="false">
      <c r="A3" s="4" t="s">
        <v>2</v>
      </c>
    </row>
    <row r="5" customFormat="false" ht="42" hidden="false" customHeight="true" outlineLevel="0" collapsed="false">
      <c r="A5" s="5" t="s">
        <v>3</v>
      </c>
      <c r="B5" s="5" t="s">
        <v>4</v>
      </c>
      <c r="C5" s="5" t="s">
        <v>5</v>
      </c>
      <c r="D5" s="5" t="s">
        <v>6</v>
      </c>
      <c r="E5" s="5" t="s">
        <v>7</v>
      </c>
      <c r="F5" s="5" t="s">
        <v>8</v>
      </c>
      <c r="G5" s="5" t="s">
        <v>9</v>
      </c>
      <c r="H5" s="5" t="s">
        <v>10</v>
      </c>
      <c r="I5" s="5" t="s">
        <v>11</v>
      </c>
      <c r="J5" s="5" t="s">
        <v>12</v>
      </c>
      <c r="K5" s="5" t="s">
        <v>13</v>
      </c>
      <c r="L5" s="5" t="s">
        <v>14</v>
      </c>
      <c r="M5" s="5" t="s">
        <v>15</v>
      </c>
      <c r="N5" s="5" t="s">
        <v>16</v>
      </c>
      <c r="O5" s="5" t="s">
        <v>17</v>
      </c>
      <c r="P5" s="5" t="s">
        <v>18</v>
      </c>
      <c r="Q5" s="5" t="s">
        <v>19</v>
      </c>
    </row>
    <row r="6" customFormat="false" ht="150" hidden="false" customHeight="true" outlineLevel="0" collapsed="false">
      <c r="A6" s="6" t="n">
        <v>5</v>
      </c>
      <c r="B6" s="7" t="s">
        <v>20</v>
      </c>
      <c r="C6" s="6" t="s">
        <v>21</v>
      </c>
      <c r="D6" s="6" t="s">
        <v>22</v>
      </c>
      <c r="E6" s="8" t="n">
        <v>46356</v>
      </c>
      <c r="F6" s="6" t="s">
        <v>23</v>
      </c>
      <c r="G6" s="6" t="s">
        <v>24</v>
      </c>
      <c r="H6" s="6" t="s">
        <v>25</v>
      </c>
      <c r="I6" s="6" t="s">
        <v>26</v>
      </c>
      <c r="J6" s="6" t="s">
        <v>27</v>
      </c>
      <c r="K6" s="6" t="s">
        <v>28</v>
      </c>
      <c r="L6" s="6" t="s">
        <v>29</v>
      </c>
      <c r="M6" s="6" t="s">
        <v>30</v>
      </c>
      <c r="N6" s="9" t="s">
        <v>31</v>
      </c>
      <c r="O6" s="10"/>
      <c r="P6" s="10"/>
      <c r="Q6" s="6" t="s">
        <v>32</v>
      </c>
    </row>
    <row r="7" customFormat="false" ht="150" hidden="false" customHeight="true" outlineLevel="0" collapsed="false">
      <c r="A7" s="6" t="n">
        <v>3</v>
      </c>
      <c r="B7" s="7" t="s">
        <v>33</v>
      </c>
      <c r="C7" s="6" t="s">
        <v>34</v>
      </c>
      <c r="D7" s="6" t="s">
        <v>35</v>
      </c>
      <c r="E7" s="8" t="n">
        <v>46371</v>
      </c>
      <c r="F7" s="6" t="s">
        <v>23</v>
      </c>
      <c r="G7" s="6" t="s">
        <v>36</v>
      </c>
      <c r="H7" s="6" t="s">
        <v>37</v>
      </c>
      <c r="I7" s="6" t="s">
        <v>38</v>
      </c>
      <c r="J7" s="6" t="s">
        <v>39</v>
      </c>
      <c r="K7" s="6" t="s">
        <v>40</v>
      </c>
      <c r="L7" s="6" t="s">
        <v>41</v>
      </c>
      <c r="M7" s="6" t="s">
        <v>42</v>
      </c>
      <c r="N7" s="11" t="s">
        <v>43</v>
      </c>
      <c r="O7" s="10"/>
      <c r="P7" s="10"/>
      <c r="Q7" s="6" t="s">
        <v>44</v>
      </c>
    </row>
    <row r="8" customFormat="false" ht="150" hidden="false" customHeight="true" outlineLevel="0" collapsed="false">
      <c r="A8" s="6" t="n">
        <v>15</v>
      </c>
      <c r="B8" s="7" t="s">
        <v>45</v>
      </c>
      <c r="C8" s="6" t="s">
        <v>46</v>
      </c>
      <c r="D8" s="6" t="s">
        <v>47</v>
      </c>
      <c r="E8" s="8" t="n">
        <v>46387</v>
      </c>
      <c r="F8" s="6" t="s">
        <v>23</v>
      </c>
      <c r="G8" s="6" t="s">
        <v>48</v>
      </c>
      <c r="H8" s="6" t="s">
        <v>49</v>
      </c>
      <c r="I8" s="6" t="s">
        <v>50</v>
      </c>
      <c r="J8" s="6" t="s">
        <v>51</v>
      </c>
      <c r="K8" s="6" t="s">
        <v>52</v>
      </c>
      <c r="L8" s="6" t="s">
        <v>53</v>
      </c>
      <c r="M8" s="6" t="s">
        <v>42</v>
      </c>
      <c r="N8" s="11" t="s">
        <v>43</v>
      </c>
      <c r="O8" s="10"/>
      <c r="P8" s="10"/>
      <c r="Q8" s="6" t="s">
        <v>54</v>
      </c>
    </row>
    <row r="9" customFormat="false" ht="150" hidden="false" customHeight="true" outlineLevel="0" collapsed="false">
      <c r="A9" s="6" t="n">
        <v>1</v>
      </c>
      <c r="B9" s="7" t="s">
        <v>55</v>
      </c>
      <c r="C9" s="6" t="s">
        <v>56</v>
      </c>
      <c r="D9" s="6" t="s">
        <v>47</v>
      </c>
      <c r="E9" s="8" t="n">
        <v>46392</v>
      </c>
      <c r="F9" s="6" t="s">
        <v>57</v>
      </c>
      <c r="G9" s="6" t="s">
        <v>58</v>
      </c>
      <c r="H9" s="6" t="s">
        <v>59</v>
      </c>
      <c r="I9" s="6" t="s">
        <v>60</v>
      </c>
      <c r="J9" s="6" t="s">
        <v>61</v>
      </c>
      <c r="K9" s="6" t="s">
        <v>62</v>
      </c>
      <c r="L9" s="6" t="s">
        <v>63</v>
      </c>
      <c r="M9" s="6" t="s">
        <v>64</v>
      </c>
      <c r="N9" s="9" t="s">
        <v>31</v>
      </c>
      <c r="O9" s="10"/>
      <c r="P9" s="10"/>
      <c r="Q9" s="6" t="s">
        <v>65</v>
      </c>
    </row>
    <row r="10" customFormat="false" ht="150" hidden="false" customHeight="true" outlineLevel="0" collapsed="false">
      <c r="A10" s="12" t="n">
        <v>4</v>
      </c>
      <c r="B10" s="13" t="s">
        <v>66</v>
      </c>
      <c r="C10" s="12" t="s">
        <v>67</v>
      </c>
      <c r="D10" s="12" t="s">
        <v>68</v>
      </c>
      <c r="E10" s="14" t="n">
        <v>46413</v>
      </c>
      <c r="F10" s="12" t="s">
        <v>23</v>
      </c>
      <c r="G10" s="12" t="s">
        <v>69</v>
      </c>
      <c r="H10" s="12" t="s">
        <v>70</v>
      </c>
      <c r="I10" s="12" t="s">
        <v>71</v>
      </c>
      <c r="J10" s="12" t="s">
        <v>72</v>
      </c>
      <c r="K10" s="12" t="s">
        <v>73</v>
      </c>
      <c r="L10" s="12" t="s">
        <v>74</v>
      </c>
      <c r="M10" s="12" t="s">
        <v>30</v>
      </c>
      <c r="N10" s="9" t="s">
        <v>31</v>
      </c>
      <c r="O10" s="10"/>
      <c r="P10" s="10"/>
      <c r="Q10" s="12" t="s">
        <v>75</v>
      </c>
    </row>
    <row r="11" customFormat="false" ht="150" hidden="false" customHeight="true" outlineLevel="0" collapsed="false">
      <c r="A11" s="12" t="n">
        <v>6</v>
      </c>
      <c r="B11" s="13" t="s">
        <v>76</v>
      </c>
      <c r="C11" s="12" t="s">
        <v>77</v>
      </c>
      <c r="D11" s="12" t="s">
        <v>47</v>
      </c>
      <c r="E11" s="14" t="n">
        <v>46438</v>
      </c>
      <c r="F11" s="12" t="s">
        <v>23</v>
      </c>
      <c r="G11" s="12" t="s">
        <v>78</v>
      </c>
      <c r="H11" s="12" t="s">
        <v>79</v>
      </c>
      <c r="I11" s="12" t="s">
        <v>80</v>
      </c>
      <c r="J11" s="12" t="s">
        <v>81</v>
      </c>
      <c r="K11" s="12" t="s">
        <v>82</v>
      </c>
      <c r="L11" s="12" t="s">
        <v>83</v>
      </c>
      <c r="M11" s="12" t="s">
        <v>84</v>
      </c>
      <c r="N11" s="15" t="s">
        <v>85</v>
      </c>
      <c r="O11" s="10"/>
      <c r="P11" s="10"/>
      <c r="Q11" s="12" t="s">
        <v>86</v>
      </c>
    </row>
    <row r="12" customFormat="false" ht="150" hidden="false" customHeight="true" outlineLevel="0" collapsed="false">
      <c r="A12" s="6" t="n">
        <v>7</v>
      </c>
      <c r="B12" s="7" t="s">
        <v>87</v>
      </c>
      <c r="C12" s="6" t="s">
        <v>88</v>
      </c>
      <c r="D12" s="6" t="s">
        <v>89</v>
      </c>
      <c r="E12" s="8" t="n">
        <v>46446</v>
      </c>
      <c r="F12" s="6" t="s">
        <v>23</v>
      </c>
      <c r="G12" s="6" t="s">
        <v>90</v>
      </c>
      <c r="H12" s="6" t="s">
        <v>91</v>
      </c>
      <c r="I12" s="6" t="s">
        <v>92</v>
      </c>
      <c r="J12" s="6" t="s">
        <v>93</v>
      </c>
      <c r="K12" s="6" t="s">
        <v>94</v>
      </c>
      <c r="L12" s="6" t="s">
        <v>95</v>
      </c>
      <c r="M12" s="6" t="s">
        <v>96</v>
      </c>
      <c r="N12" s="15" t="s">
        <v>85</v>
      </c>
      <c r="O12" s="10"/>
      <c r="P12" s="10"/>
      <c r="Q12" s="6" t="s">
        <v>97</v>
      </c>
    </row>
    <row r="13" customFormat="false" ht="150" hidden="false" customHeight="true" outlineLevel="0" collapsed="false">
      <c r="A13" s="12" t="n">
        <v>14</v>
      </c>
      <c r="B13" s="13" t="s">
        <v>98</v>
      </c>
      <c r="C13" s="12" t="s">
        <v>99</v>
      </c>
      <c r="D13" s="12" t="s">
        <v>47</v>
      </c>
      <c r="E13" s="14" t="n">
        <v>46448</v>
      </c>
      <c r="F13" s="12" t="s">
        <v>23</v>
      </c>
      <c r="G13" s="12" t="s">
        <v>100</v>
      </c>
      <c r="H13" s="12" t="s">
        <v>101</v>
      </c>
      <c r="I13" s="12" t="s">
        <v>102</v>
      </c>
      <c r="J13" s="12" t="s">
        <v>103</v>
      </c>
      <c r="K13" s="12" t="s">
        <v>104</v>
      </c>
      <c r="L13" s="12" t="s">
        <v>105</v>
      </c>
      <c r="M13" s="12" t="s">
        <v>96</v>
      </c>
      <c r="N13" s="15" t="s">
        <v>85</v>
      </c>
      <c r="O13" s="10"/>
      <c r="P13" s="10"/>
      <c r="Q13" s="12" t="s">
        <v>106</v>
      </c>
    </row>
    <row r="14" customFormat="false" ht="150" hidden="false" customHeight="true" outlineLevel="0" collapsed="false">
      <c r="A14" s="6" t="n">
        <v>9</v>
      </c>
      <c r="B14" s="7" t="s">
        <v>107</v>
      </c>
      <c r="C14" s="6" t="s">
        <v>108</v>
      </c>
      <c r="D14" s="6" t="s">
        <v>109</v>
      </c>
      <c r="E14" s="8" t="n">
        <v>46517</v>
      </c>
      <c r="F14" s="6" t="s">
        <v>23</v>
      </c>
      <c r="G14" s="6" t="s">
        <v>110</v>
      </c>
      <c r="H14" s="6" t="s">
        <v>111</v>
      </c>
      <c r="I14" s="6" t="s">
        <v>112</v>
      </c>
      <c r="J14" s="6" t="s">
        <v>113</v>
      </c>
      <c r="K14" s="6" t="s">
        <v>114</v>
      </c>
      <c r="L14" s="6" t="s">
        <v>115</v>
      </c>
      <c r="M14" s="6" t="s">
        <v>30</v>
      </c>
      <c r="N14" s="11" t="s">
        <v>43</v>
      </c>
      <c r="O14" s="10"/>
      <c r="P14" s="10"/>
      <c r="Q14" s="6" t="s">
        <v>116</v>
      </c>
    </row>
    <row r="15" customFormat="false" ht="150" hidden="false" customHeight="true" outlineLevel="0" collapsed="false">
      <c r="A15" s="12" t="n">
        <v>2</v>
      </c>
      <c r="B15" s="13" t="s">
        <v>117</v>
      </c>
      <c r="C15" s="12" t="s">
        <v>118</v>
      </c>
      <c r="D15" s="12" t="s">
        <v>47</v>
      </c>
      <c r="E15" s="14" t="n">
        <v>46518</v>
      </c>
      <c r="F15" s="12" t="s">
        <v>23</v>
      </c>
      <c r="G15" s="12" t="s">
        <v>119</v>
      </c>
      <c r="H15" s="12" t="s">
        <v>120</v>
      </c>
      <c r="I15" s="12" t="s">
        <v>121</v>
      </c>
      <c r="J15" s="12" t="s">
        <v>122</v>
      </c>
      <c r="K15" s="12" t="s">
        <v>123</v>
      </c>
      <c r="L15" s="12" t="s">
        <v>124</v>
      </c>
      <c r="M15" s="12" t="s">
        <v>125</v>
      </c>
      <c r="N15" s="9" t="s">
        <v>31</v>
      </c>
      <c r="O15" s="10"/>
      <c r="P15" s="10"/>
      <c r="Q15" s="12" t="s">
        <v>126</v>
      </c>
    </row>
    <row r="16" customFormat="false" ht="150" hidden="false" customHeight="true" outlineLevel="0" collapsed="false">
      <c r="A16" s="12" t="n">
        <v>8</v>
      </c>
      <c r="B16" s="13" t="s">
        <v>127</v>
      </c>
      <c r="C16" s="12" t="s">
        <v>128</v>
      </c>
      <c r="D16" s="12" t="s">
        <v>47</v>
      </c>
      <c r="E16" s="14" t="n">
        <v>46569</v>
      </c>
      <c r="F16" s="12" t="s">
        <v>23</v>
      </c>
      <c r="G16" s="12" t="s">
        <v>129</v>
      </c>
      <c r="H16" s="12" t="s">
        <v>130</v>
      </c>
      <c r="I16" s="12" t="s">
        <v>131</v>
      </c>
      <c r="J16" s="12" t="s">
        <v>103</v>
      </c>
      <c r="K16" s="12" t="s">
        <v>132</v>
      </c>
      <c r="L16" s="12" t="s">
        <v>133</v>
      </c>
      <c r="M16" s="12" t="s">
        <v>96</v>
      </c>
      <c r="N16" s="15" t="s">
        <v>85</v>
      </c>
      <c r="O16" s="10"/>
      <c r="P16" s="10"/>
      <c r="Q16" s="12" t="s">
        <v>134</v>
      </c>
    </row>
    <row r="17" customFormat="false" ht="150" hidden="false" customHeight="true" outlineLevel="0" collapsed="false">
      <c r="A17" s="12" t="n">
        <v>12</v>
      </c>
      <c r="B17" s="13" t="s">
        <v>135</v>
      </c>
      <c r="C17" s="12" t="s">
        <v>136</v>
      </c>
      <c r="D17" s="12" t="s">
        <v>47</v>
      </c>
      <c r="E17" s="14" t="n">
        <v>46578</v>
      </c>
      <c r="F17" s="12" t="s">
        <v>23</v>
      </c>
      <c r="G17" s="12" t="s">
        <v>137</v>
      </c>
      <c r="H17" s="12" t="s">
        <v>138</v>
      </c>
      <c r="I17" s="12" t="s">
        <v>139</v>
      </c>
      <c r="J17" s="12" t="s">
        <v>140</v>
      </c>
      <c r="K17" s="12" t="s">
        <v>141</v>
      </c>
      <c r="L17" s="12" t="s">
        <v>142</v>
      </c>
      <c r="M17" s="12" t="s">
        <v>143</v>
      </c>
      <c r="N17" s="15" t="s">
        <v>85</v>
      </c>
      <c r="O17" s="10"/>
      <c r="P17" s="10"/>
      <c r="Q17" s="12" t="s">
        <v>144</v>
      </c>
    </row>
    <row r="18" customFormat="false" ht="150" hidden="false" customHeight="true" outlineLevel="0" collapsed="false">
      <c r="A18" s="12" t="n">
        <v>10</v>
      </c>
      <c r="B18" s="13" t="s">
        <v>145</v>
      </c>
      <c r="C18" s="12" t="s">
        <v>146</v>
      </c>
      <c r="D18" s="12" t="s">
        <v>35</v>
      </c>
      <c r="E18" s="14" t="s">
        <v>84</v>
      </c>
      <c r="F18" s="12" t="s">
        <v>147</v>
      </c>
      <c r="G18" s="12" t="s">
        <v>148</v>
      </c>
      <c r="H18" s="12" t="s">
        <v>149</v>
      </c>
      <c r="I18" s="12" t="s">
        <v>150</v>
      </c>
      <c r="J18" s="12" t="s">
        <v>151</v>
      </c>
      <c r="K18" s="12" t="s">
        <v>152</v>
      </c>
      <c r="L18" s="12" t="s">
        <v>153</v>
      </c>
      <c r="M18" s="12" t="s">
        <v>30</v>
      </c>
      <c r="N18" s="11" t="s">
        <v>43</v>
      </c>
      <c r="O18" s="10"/>
      <c r="P18" s="10"/>
      <c r="Q18" s="12" t="s">
        <v>154</v>
      </c>
    </row>
    <row r="19" customFormat="false" ht="150" hidden="false" customHeight="true" outlineLevel="0" collapsed="false">
      <c r="A19" s="6" t="n">
        <v>11</v>
      </c>
      <c r="B19" s="7" t="s">
        <v>155</v>
      </c>
      <c r="C19" s="6" t="s">
        <v>156</v>
      </c>
      <c r="D19" s="6" t="s">
        <v>157</v>
      </c>
      <c r="E19" s="8" t="s">
        <v>84</v>
      </c>
      <c r="F19" s="6" t="s">
        <v>158</v>
      </c>
      <c r="G19" s="6" t="s">
        <v>159</v>
      </c>
      <c r="H19" s="6" t="s">
        <v>160</v>
      </c>
      <c r="I19" s="6" t="s">
        <v>161</v>
      </c>
      <c r="J19" s="6" t="s">
        <v>162</v>
      </c>
      <c r="K19" s="6" t="s">
        <v>163</v>
      </c>
      <c r="L19" s="6" t="s">
        <v>164</v>
      </c>
      <c r="M19" s="6" t="s">
        <v>165</v>
      </c>
      <c r="N19" s="11" t="s">
        <v>43</v>
      </c>
      <c r="O19" s="10"/>
      <c r="P19" s="10"/>
      <c r="Q19" s="6" t="s">
        <v>166</v>
      </c>
    </row>
    <row r="20" customFormat="false" ht="150" hidden="false" customHeight="true" outlineLevel="0" collapsed="false">
      <c r="A20" s="6" t="n">
        <v>13</v>
      </c>
      <c r="B20" s="7" t="s">
        <v>167</v>
      </c>
      <c r="C20" s="6" t="s">
        <v>168</v>
      </c>
      <c r="D20" s="6" t="s">
        <v>169</v>
      </c>
      <c r="E20" s="8" t="s">
        <v>84</v>
      </c>
      <c r="F20" s="6" t="s">
        <v>147</v>
      </c>
      <c r="G20" s="6" t="s">
        <v>170</v>
      </c>
      <c r="H20" s="6" t="s">
        <v>171</v>
      </c>
      <c r="I20" s="6" t="s">
        <v>172</v>
      </c>
      <c r="J20" s="6" t="s">
        <v>173</v>
      </c>
      <c r="K20" s="6" t="s">
        <v>174</v>
      </c>
      <c r="L20" s="6" t="s">
        <v>175</v>
      </c>
      <c r="M20" s="6" t="s">
        <v>42</v>
      </c>
      <c r="N20" s="11" t="s">
        <v>43</v>
      </c>
      <c r="O20" s="10"/>
      <c r="P20" s="10"/>
      <c r="Q20" s="6" t="s">
        <v>176</v>
      </c>
    </row>
    <row r="21" customFormat="false" ht="150" hidden="false" customHeight="true" outlineLevel="0" collapsed="false">
      <c r="A21" s="12" t="n">
        <v>16</v>
      </c>
      <c r="B21" s="13" t="s">
        <v>177</v>
      </c>
      <c r="C21" s="12" t="s">
        <v>178</v>
      </c>
      <c r="D21" s="12" t="s">
        <v>47</v>
      </c>
      <c r="E21" s="14" t="s">
        <v>84</v>
      </c>
      <c r="F21" s="12" t="s">
        <v>179</v>
      </c>
      <c r="G21" s="12" t="s">
        <v>180</v>
      </c>
      <c r="H21" s="12" t="s">
        <v>181</v>
      </c>
      <c r="I21" s="12" t="s">
        <v>182</v>
      </c>
      <c r="J21" s="12" t="s">
        <v>182</v>
      </c>
      <c r="K21" s="12" t="s">
        <v>182</v>
      </c>
      <c r="L21" s="12" t="s">
        <v>183</v>
      </c>
      <c r="M21" s="12" t="s">
        <v>84</v>
      </c>
      <c r="N21" s="15" t="s">
        <v>85</v>
      </c>
      <c r="O21" s="10"/>
      <c r="P21" s="10"/>
      <c r="Q21" s="12" t="s">
        <v>184</v>
      </c>
    </row>
    <row r="23" customFormat="false" ht="15" hidden="false" customHeight="true" outlineLevel="0" collapsed="false">
      <c r="A23" s="16" t="s">
        <v>185</v>
      </c>
    </row>
    <row r="24" customFormat="false" ht="15" hidden="false" customHeight="true" outlineLevel="0" collapsed="false">
      <c r="A24" s="17" t="s">
        <v>186</v>
      </c>
      <c r="D24" s="18" t="n">
        <f aca="false">COUNTA($B$6:$B$21)</f>
        <v>16</v>
      </c>
    </row>
    <row r="25" customFormat="false" ht="15" hidden="false" customHeight="true" outlineLevel="0" collapsed="false">
      <c r="A25" s="17" t="s">
        <v>187</v>
      </c>
      <c r="D25" s="18" t="n">
        <f aca="false">COUNTIF($N$6:$N$21,"grün")</f>
        <v>4</v>
      </c>
    </row>
    <row r="26" customFormat="false" ht="15" hidden="false" customHeight="true" outlineLevel="0" collapsed="false">
      <c r="A26" s="17" t="s">
        <v>188</v>
      </c>
      <c r="D26" s="18" t="n">
        <f aca="false">COUNTIF($N$6:$N$21,"gelb")</f>
        <v>6</v>
      </c>
    </row>
    <row r="27" customFormat="false" ht="15" hidden="false" customHeight="true" outlineLevel="0" collapsed="false">
      <c r="A27" s="17" t="s">
        <v>189</v>
      </c>
      <c r="D27" s="18" t="n">
        <f aca="false">COUNTIF($N$6:$N$21,"rot")</f>
        <v>6</v>
      </c>
    </row>
    <row r="28" customFormat="false" ht="15" hidden="false" customHeight="true" outlineLevel="0" collapsed="false">
      <c r="A28" s="17" t="s">
        <v>190</v>
      </c>
      <c r="D28" s="18" t="n">
        <f aca="false">COUNTIF($F$6:$F$21,"bestätigt")</f>
        <v>1</v>
      </c>
    </row>
    <row r="29" customFormat="false" ht="15" hidden="false" customHeight="true" outlineLevel="0" collapsed="false">
      <c r="A29" s="17" t="s">
        <v>191</v>
      </c>
      <c r="D29" s="18" t="n">
        <f aca="false">COUNTIF($F$6:$F$21,"erwartet")</f>
        <v>11</v>
      </c>
    </row>
    <row r="30" customFormat="false" ht="15" hidden="false" customHeight="true" outlineLevel="0" collapsed="false">
      <c r="A30" s="17" t="s">
        <v>192</v>
      </c>
      <c r="D30" s="18" t="n">
        <f aca="false">COUNTIF($F$6:$F$21,"unbelegt")</f>
        <v>2</v>
      </c>
    </row>
    <row r="31" customFormat="false" ht="15" hidden="false" customHeight="true" outlineLevel="0" collapsed="false">
      <c r="A31" s="17" t="s">
        <v>193</v>
      </c>
      <c r="D31" s="18" t="n">
        <f aca="false">COUNTIF($F$6:$F$21,"laufend")</f>
        <v>1</v>
      </c>
    </row>
    <row r="32" customFormat="false" ht="15" hidden="false" customHeight="true" outlineLevel="0" collapsed="false">
      <c r="A32" s="17" t="s">
        <v>194</v>
      </c>
      <c r="D32" s="18" t="n">
        <f aca="false">COUNTIF($F$6:$F$21,"eingestellt")</f>
        <v>1</v>
      </c>
    </row>
    <row r="33" customFormat="false" ht="15" hidden="false" customHeight="true" outlineLevel="0" collapsed="false">
      <c r="A33" s="17" t="s">
        <v>195</v>
      </c>
      <c r="D33" s="18" t="n">
        <f aca="false">COUNTA($O$6:$O$21)</f>
        <v>0</v>
      </c>
    </row>
    <row r="35" customFormat="false" ht="15" hidden="false" customHeight="true" outlineLevel="0" collapsed="false">
      <c r="A35" s="18" t="s">
        <v>196</v>
      </c>
      <c r="D35" s="18" t="str">
        <f aca="false">IF(COUNTA($B$6:$B$21)&gt;=10,"erfüllt","PRÜFEN")</f>
        <v>erfüllt</v>
      </c>
    </row>
    <row r="36" customFormat="false" ht="15" hidden="false" customHeight="true" outlineLevel="0" collapsed="false">
      <c r="A36" s="18" t="s">
        <v>197</v>
      </c>
      <c r="D36" s="18" t="str">
        <f aca="false">IF(COUNTIFS($E$6:$E$21,"&lt;"&amp;DATE(2026,8,1))=0,"erfüllt","PRÜFEN")</f>
        <v>erfüllt</v>
      </c>
    </row>
    <row r="37" customFormat="false" ht="15" hidden="false" customHeight="true" outlineLevel="0" collapsed="false">
      <c r="A37" s="18" t="s">
        <v>198</v>
      </c>
      <c r="D37" s="18" t="str">
        <f aca="false">IF(COUNTA($Q$6:$Q$21)=COUNTA($B$6:$B$21),"erfüllt","PRÜFEN")</f>
        <v>erfüllt</v>
      </c>
    </row>
  </sheetData>
  <dataValidations count="1">
    <dataValidation allowBlank="true" errorStyle="stop" operator="between" showDropDown="false" showErrorMessage="false" showInputMessage="false" sqref="P6:P21" type="list">
      <formula1>"noch nicht geprüft,Frist beim Träger bestätigt,Frist abweichend,beworben,nominiert,gewonnen,abgelehnt,bewusst ausgelassen"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0"/>
    <col collapsed="false" customWidth="true" hidden="false" outlineLevel="0" max="4" min="3" style="1" width="58"/>
  </cols>
  <sheetData>
    <row r="1" customFormat="false" ht="19.5" hidden="false" customHeight="true" outlineLevel="0" collapsed="false">
      <c r="A1" s="2" t="s">
        <v>199</v>
      </c>
    </row>
    <row r="2" customFormat="false" ht="27.75" hidden="false" customHeight="true" outlineLevel="0" collapsed="false">
      <c r="A2" s="3" t="s">
        <v>200</v>
      </c>
    </row>
    <row r="4" customFormat="false" ht="15.75" hidden="false" customHeight="true" outlineLevel="0" collapsed="false">
      <c r="A4" s="19" t="s">
        <v>201</v>
      </c>
    </row>
    <row r="5" customFormat="false" ht="66" hidden="false" customHeight="true" outlineLevel="0" collapsed="false">
      <c r="A5" s="20" t="s">
        <v>202</v>
      </c>
      <c r="B5" s="20"/>
      <c r="C5" s="20"/>
      <c r="D5" s="20"/>
    </row>
    <row r="6" customFormat="false" ht="15.75" hidden="false" customHeight="true" outlineLevel="0" collapsed="false">
      <c r="A6" s="19" t="s">
        <v>203</v>
      </c>
    </row>
    <row r="7" customFormat="false" ht="15" hidden="false" customHeight="true" outlineLevel="0" collapsed="false">
      <c r="A7" s="5" t="s">
        <v>204</v>
      </c>
      <c r="B7" s="5" t="s">
        <v>205</v>
      </c>
      <c r="C7" s="5" t="s">
        <v>206</v>
      </c>
      <c r="D7" s="5" t="s">
        <v>207</v>
      </c>
    </row>
    <row r="8" customFormat="false" ht="117.75" hidden="false" customHeight="true" outlineLevel="0" collapsed="false">
      <c r="A8" s="7" t="s">
        <v>208</v>
      </c>
      <c r="B8" s="6" t="s">
        <v>177</v>
      </c>
      <c r="C8" s="6" t="s">
        <v>209</v>
      </c>
      <c r="D8" s="6" t="s">
        <v>210</v>
      </c>
    </row>
    <row r="9" customFormat="false" ht="117.75" hidden="false" customHeight="true" outlineLevel="0" collapsed="false">
      <c r="A9" s="13" t="s">
        <v>211</v>
      </c>
      <c r="B9" s="12" t="s">
        <v>212</v>
      </c>
      <c r="C9" s="12" t="s">
        <v>213</v>
      </c>
      <c r="D9" s="12" t="s">
        <v>214</v>
      </c>
    </row>
    <row r="10" customFormat="false" ht="117.75" hidden="false" customHeight="true" outlineLevel="0" collapsed="false">
      <c r="A10" s="7" t="s">
        <v>215</v>
      </c>
      <c r="B10" s="6" t="s">
        <v>216</v>
      </c>
      <c r="C10" s="6" t="s">
        <v>217</v>
      </c>
      <c r="D10" s="6" t="s">
        <v>218</v>
      </c>
    </row>
    <row r="11" customFormat="false" ht="117.75" hidden="false" customHeight="true" outlineLevel="0" collapsed="false">
      <c r="A11" s="13" t="s">
        <v>219</v>
      </c>
      <c r="B11" s="12" t="s">
        <v>220</v>
      </c>
      <c r="C11" s="12" t="s">
        <v>221</v>
      </c>
      <c r="D11" s="12" t="s">
        <v>222</v>
      </c>
    </row>
    <row r="12" customFormat="false" ht="117.75" hidden="false" customHeight="true" outlineLevel="0" collapsed="false">
      <c r="A12" s="7" t="s">
        <v>223</v>
      </c>
      <c r="B12" s="6" t="s">
        <v>224</v>
      </c>
      <c r="C12" s="6" t="s">
        <v>225</v>
      </c>
      <c r="D12" s="6" t="s">
        <v>226</v>
      </c>
    </row>
    <row r="14" customFormat="false" ht="15.75" hidden="false" customHeight="true" outlineLevel="0" collapsed="false">
      <c r="A14" s="19" t="s">
        <v>227</v>
      </c>
    </row>
    <row r="15" customFormat="false" ht="15" hidden="false" customHeight="true" outlineLevel="0" collapsed="false">
      <c r="A15" s="5" t="s">
        <v>15</v>
      </c>
      <c r="B15" s="5" t="s">
        <v>228</v>
      </c>
      <c r="C15" s="5" t="s">
        <v>229</v>
      </c>
      <c r="D15" s="5" t="s">
        <v>230</v>
      </c>
    </row>
    <row r="16" customFormat="false" ht="96" hidden="false" customHeight="true" outlineLevel="0" collapsed="false">
      <c r="A16" s="7" t="s">
        <v>231</v>
      </c>
      <c r="B16" s="6" t="s">
        <v>232</v>
      </c>
      <c r="C16" s="6" t="s">
        <v>233</v>
      </c>
      <c r="D16" s="6" t="s">
        <v>234</v>
      </c>
    </row>
    <row r="17" customFormat="false" ht="96" hidden="false" customHeight="true" outlineLevel="0" collapsed="false">
      <c r="A17" s="13" t="s">
        <v>125</v>
      </c>
      <c r="B17" s="12" t="s">
        <v>235</v>
      </c>
      <c r="C17" s="12" t="s">
        <v>236</v>
      </c>
      <c r="D17" s="12" t="s">
        <v>237</v>
      </c>
    </row>
    <row r="18" customFormat="false" ht="96" hidden="false" customHeight="true" outlineLevel="0" collapsed="false">
      <c r="A18" s="7" t="s">
        <v>143</v>
      </c>
      <c r="B18" s="6" t="s">
        <v>238</v>
      </c>
      <c r="C18" s="6" t="s">
        <v>239</v>
      </c>
      <c r="D18" s="6" t="s">
        <v>240</v>
      </c>
    </row>
    <row r="19" customFormat="false" ht="96" hidden="false" customHeight="true" outlineLevel="0" collapsed="false">
      <c r="A19" s="13" t="s">
        <v>241</v>
      </c>
      <c r="B19" s="12" t="s">
        <v>242</v>
      </c>
      <c r="C19" s="12" t="s">
        <v>243</v>
      </c>
      <c r="D19" s="12" t="s">
        <v>244</v>
      </c>
    </row>
    <row r="20" customFormat="false" ht="96" hidden="false" customHeight="true" outlineLevel="0" collapsed="false">
      <c r="A20" s="7" t="s">
        <v>245</v>
      </c>
      <c r="B20" s="6" t="s">
        <v>246</v>
      </c>
      <c r="C20" s="6" t="s">
        <v>247</v>
      </c>
      <c r="D20" s="6" t="s">
        <v>248</v>
      </c>
    </row>
    <row r="22" customFormat="false" ht="15.75" hidden="false" customHeight="true" outlineLevel="0" collapsed="false">
      <c r="A22" s="19" t="s">
        <v>249</v>
      </c>
    </row>
    <row r="23" customFormat="false" ht="117.75" hidden="false" customHeight="true" outlineLevel="0" collapsed="false">
      <c r="A23" s="21" t="s">
        <v>250</v>
      </c>
      <c r="B23" s="21"/>
      <c r="C23" s="21"/>
      <c r="D23" s="21"/>
    </row>
  </sheetData>
  <mergeCells count="2">
    <mergeCell ref="A5:D5"/>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3" min="3" style="1" width="52"/>
    <col collapsed="false" customWidth="true" hidden="false" outlineLevel="0" max="4" min="4" style="1" width="58"/>
  </cols>
  <sheetData>
    <row r="1" customFormat="false" ht="19.5" hidden="false" customHeight="true" outlineLevel="0" collapsed="false">
      <c r="A1" s="2" t="s">
        <v>251</v>
      </c>
    </row>
    <row r="2" customFormat="false" ht="15" hidden="false" customHeight="true" outlineLevel="0" collapsed="false">
      <c r="A2" s="3" t="s">
        <v>252</v>
      </c>
    </row>
    <row r="4" customFormat="false" ht="15.75" hidden="false" customHeight="true" outlineLevel="0" collapsed="false">
      <c r="A4" s="19" t="s">
        <v>253</v>
      </c>
    </row>
    <row r="5" customFormat="false" ht="45.75" hidden="false" customHeight="true" outlineLevel="0" collapsed="false">
      <c r="A5" s="21" t="s">
        <v>254</v>
      </c>
      <c r="B5" s="21"/>
      <c r="C5" s="21"/>
      <c r="D5" s="21"/>
    </row>
    <row r="6" customFormat="false" ht="15.75" hidden="false" customHeight="true" outlineLevel="0" collapsed="false">
      <c r="A6" s="19" t="s">
        <v>255</v>
      </c>
    </row>
    <row r="7" customFormat="false" ht="15" hidden="false" customHeight="true" outlineLevel="0" collapsed="false">
      <c r="A7" s="5" t="s">
        <v>256</v>
      </c>
      <c r="B7" s="5" t="s">
        <v>5</v>
      </c>
      <c r="C7" s="5" t="s">
        <v>257</v>
      </c>
      <c r="D7" s="5" t="s">
        <v>258</v>
      </c>
    </row>
    <row r="8" customFormat="false" ht="138" hidden="false" customHeight="true" outlineLevel="0" collapsed="false">
      <c r="A8" s="7" t="s">
        <v>259</v>
      </c>
      <c r="B8" s="6" t="s">
        <v>99</v>
      </c>
      <c r="C8" s="6" t="s">
        <v>260</v>
      </c>
      <c r="D8" s="6" t="s">
        <v>261</v>
      </c>
    </row>
    <row r="9" customFormat="false" ht="138" hidden="false" customHeight="true" outlineLevel="0" collapsed="false">
      <c r="A9" s="13" t="s">
        <v>45</v>
      </c>
      <c r="B9" s="12" t="s">
        <v>46</v>
      </c>
      <c r="C9" s="12" t="s">
        <v>262</v>
      </c>
      <c r="D9" s="12" t="s">
        <v>263</v>
      </c>
    </row>
    <row r="10" customFormat="false" ht="138" hidden="false" customHeight="true" outlineLevel="0" collapsed="false">
      <c r="A10" s="7" t="s">
        <v>264</v>
      </c>
      <c r="B10" s="6" t="s">
        <v>84</v>
      </c>
      <c r="C10" s="6" t="s">
        <v>265</v>
      </c>
      <c r="D10" s="6" t="s">
        <v>266</v>
      </c>
    </row>
    <row r="12" customFormat="false" ht="15.75" hidden="false" customHeight="true" outlineLevel="0" collapsed="false">
      <c r="A12" s="19" t="s">
        <v>267</v>
      </c>
    </row>
    <row r="13" customFormat="false" ht="90" hidden="false" customHeight="true" outlineLevel="0" collapsed="false">
      <c r="A13" s="22" t="s">
        <v>268</v>
      </c>
      <c r="B13" s="22"/>
      <c r="C13" s="22"/>
      <c r="D13" s="22"/>
    </row>
  </sheetData>
  <mergeCells count="2">
    <mergeCell ref="A5:D5"/>
    <mergeCell ref="A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3" min="2" style="1" width="74"/>
  </cols>
  <sheetData>
    <row r="1" customFormat="false" ht="19.5" hidden="false" customHeight="true" outlineLevel="0" collapsed="false">
      <c r="A1" s="2" t="s">
        <v>269</v>
      </c>
    </row>
    <row r="3" customFormat="false" ht="15.75" hidden="false" customHeight="true" outlineLevel="0" collapsed="false">
      <c r="A3" s="19" t="s">
        <v>270</v>
      </c>
    </row>
    <row r="4" customFormat="false" ht="90" hidden="false" customHeight="true" outlineLevel="0" collapsed="false">
      <c r="A4" s="22" t="s">
        <v>271</v>
      </c>
      <c r="B4" s="22"/>
      <c r="C4" s="22"/>
    </row>
    <row r="5" customFormat="false" ht="15.75" hidden="false" customHeight="true" outlineLevel="0" collapsed="false">
      <c r="A5" s="19" t="s">
        <v>272</v>
      </c>
    </row>
    <row r="6" customFormat="false" ht="15" hidden="false" customHeight="true" outlineLevel="0" collapsed="false">
      <c r="A6" s="23" t="s">
        <v>3</v>
      </c>
      <c r="B6" s="23" t="s">
        <v>273</v>
      </c>
      <c r="C6" s="23" t="s">
        <v>274</v>
      </c>
    </row>
    <row r="7" customFormat="false" ht="30" hidden="false" customHeight="true" outlineLevel="0" collapsed="false">
      <c r="A7" s="24" t="n">
        <v>1</v>
      </c>
      <c r="B7" s="6" t="s">
        <v>275</v>
      </c>
      <c r="C7" s="25" t="s">
        <v>276</v>
      </c>
    </row>
    <row r="8" customFormat="false" ht="30" hidden="false" customHeight="true" outlineLevel="0" collapsed="false">
      <c r="A8" s="26" t="n">
        <v>2</v>
      </c>
      <c r="B8" s="12" t="s">
        <v>277</v>
      </c>
      <c r="C8" s="27" t="s">
        <v>278</v>
      </c>
    </row>
    <row r="9" customFormat="false" ht="30" hidden="false" customHeight="true" outlineLevel="0" collapsed="false">
      <c r="A9" s="24" t="n">
        <v>3</v>
      </c>
      <c r="B9" s="6" t="s">
        <v>279</v>
      </c>
      <c r="C9" s="25" t="s">
        <v>280</v>
      </c>
    </row>
    <row r="10" customFormat="false" ht="30" hidden="false" customHeight="true" outlineLevel="0" collapsed="false">
      <c r="A10" s="26" t="n">
        <v>4</v>
      </c>
      <c r="B10" s="12" t="s">
        <v>281</v>
      </c>
      <c r="C10" s="27" t="s">
        <v>282</v>
      </c>
    </row>
    <row r="11" customFormat="false" ht="30" hidden="false" customHeight="true" outlineLevel="0" collapsed="false">
      <c r="A11" s="24" t="n">
        <v>5</v>
      </c>
      <c r="B11" s="6" t="s">
        <v>283</v>
      </c>
      <c r="C11" s="25" t="s">
        <v>284</v>
      </c>
    </row>
    <row r="12" customFormat="false" ht="30" hidden="false" customHeight="true" outlineLevel="0" collapsed="false">
      <c r="A12" s="26" t="n">
        <v>6</v>
      </c>
      <c r="B12" s="12" t="s">
        <v>285</v>
      </c>
      <c r="C12" s="27" t="s">
        <v>286</v>
      </c>
    </row>
    <row r="13" customFormat="false" ht="30" hidden="false" customHeight="true" outlineLevel="0" collapsed="false">
      <c r="A13" s="24" t="n">
        <v>7</v>
      </c>
      <c r="B13" s="6" t="s">
        <v>287</v>
      </c>
      <c r="C13" s="25" t="s">
        <v>288</v>
      </c>
    </row>
    <row r="14" customFormat="false" ht="30" hidden="false" customHeight="true" outlineLevel="0" collapsed="false">
      <c r="A14" s="26" t="n">
        <v>8</v>
      </c>
      <c r="B14" s="12" t="s">
        <v>289</v>
      </c>
      <c r="C14" s="27" t="s">
        <v>290</v>
      </c>
    </row>
    <row r="15" customFormat="false" ht="30" hidden="false" customHeight="true" outlineLevel="0" collapsed="false">
      <c r="A15" s="24" t="n">
        <v>9</v>
      </c>
      <c r="B15" s="6" t="s">
        <v>291</v>
      </c>
      <c r="C15" s="25" t="s">
        <v>292</v>
      </c>
    </row>
    <row r="16" customFormat="false" ht="30" hidden="false" customHeight="true" outlineLevel="0" collapsed="false">
      <c r="A16" s="26" t="n">
        <v>10</v>
      </c>
      <c r="B16" s="12" t="s">
        <v>293</v>
      </c>
      <c r="C16" s="27" t="s">
        <v>294</v>
      </c>
    </row>
    <row r="17" customFormat="false" ht="30" hidden="false" customHeight="true" outlineLevel="0" collapsed="false">
      <c r="A17" s="24" t="n">
        <v>11</v>
      </c>
      <c r="B17" s="6" t="s">
        <v>295</v>
      </c>
      <c r="C17" s="25" t="s">
        <v>296</v>
      </c>
    </row>
    <row r="18" customFormat="false" ht="30" hidden="false" customHeight="true" outlineLevel="0" collapsed="false">
      <c r="A18" s="26" t="n">
        <v>12</v>
      </c>
      <c r="B18" s="12" t="s">
        <v>297</v>
      </c>
      <c r="C18" s="27" t="s">
        <v>298</v>
      </c>
    </row>
    <row r="19" customFormat="false" ht="30" hidden="false" customHeight="true" outlineLevel="0" collapsed="false">
      <c r="A19" s="24" t="n">
        <v>13</v>
      </c>
      <c r="B19" s="6" t="s">
        <v>299</v>
      </c>
      <c r="C19" s="25" t="s">
        <v>300</v>
      </c>
    </row>
    <row r="20" customFormat="false" ht="30" hidden="false" customHeight="true" outlineLevel="0" collapsed="false">
      <c r="A20" s="26" t="n">
        <v>14</v>
      </c>
      <c r="B20" s="12" t="s">
        <v>301</v>
      </c>
      <c r="C20" s="27" t="s">
        <v>302</v>
      </c>
    </row>
    <row r="21" customFormat="false" ht="30" hidden="false" customHeight="true" outlineLevel="0" collapsed="false">
      <c r="A21" s="24" t="n">
        <v>15</v>
      </c>
      <c r="B21" s="6" t="s">
        <v>303</v>
      </c>
      <c r="C21" s="25" t="s">
        <v>304</v>
      </c>
    </row>
    <row r="22" customFormat="false" ht="30" hidden="false" customHeight="true" outlineLevel="0" collapsed="false">
      <c r="A22" s="26" t="n">
        <v>16</v>
      </c>
      <c r="B22" s="12" t="s">
        <v>305</v>
      </c>
      <c r="C22" s="27" t="s">
        <v>306</v>
      </c>
    </row>
    <row r="23" customFormat="false" ht="30" hidden="false" customHeight="true" outlineLevel="0" collapsed="false">
      <c r="A23" s="24" t="n">
        <v>17</v>
      </c>
      <c r="B23" s="6" t="s">
        <v>307</v>
      </c>
      <c r="C23" s="25" t="s">
        <v>308</v>
      </c>
    </row>
    <row r="24" customFormat="false" ht="30" hidden="false" customHeight="true" outlineLevel="0" collapsed="false">
      <c r="A24" s="26" t="n">
        <v>18</v>
      </c>
      <c r="B24" s="12" t="s">
        <v>309</v>
      </c>
      <c r="C24" s="27" t="s">
        <v>310</v>
      </c>
    </row>
    <row r="25" customFormat="false" ht="30" hidden="false" customHeight="true" outlineLevel="0" collapsed="false">
      <c r="A25" s="24" t="n">
        <v>19</v>
      </c>
      <c r="B25" s="6" t="s">
        <v>311</v>
      </c>
      <c r="C25" s="25" t="s">
        <v>312</v>
      </c>
    </row>
    <row r="26" customFormat="false" ht="30" hidden="false" customHeight="true" outlineLevel="0" collapsed="false">
      <c r="A26" s="26" t="n">
        <v>20</v>
      </c>
      <c r="B26" s="12" t="s">
        <v>313</v>
      </c>
      <c r="C26" s="27" t="s">
        <v>314</v>
      </c>
    </row>
    <row r="27" customFormat="false" ht="30" hidden="false" customHeight="true" outlineLevel="0" collapsed="false">
      <c r="A27" s="24" t="n">
        <v>21</v>
      </c>
      <c r="B27" s="6" t="s">
        <v>315</v>
      </c>
      <c r="C27" s="25" t="s">
        <v>316</v>
      </c>
    </row>
    <row r="28" customFormat="false" ht="30" hidden="false" customHeight="true" outlineLevel="0" collapsed="false">
      <c r="A28" s="24" t="n">
        <v>22</v>
      </c>
      <c r="B28" s="6" t="s">
        <v>317</v>
      </c>
      <c r="C28" s="25" t="s">
        <v>318</v>
      </c>
    </row>
    <row r="29" customFormat="false" ht="30" hidden="false" customHeight="true" outlineLevel="0" collapsed="false">
      <c r="A29" s="24" t="n">
        <v>23</v>
      </c>
      <c r="B29" s="6" t="s">
        <v>319</v>
      </c>
      <c r="C29" s="25" t="s">
        <v>280</v>
      </c>
    </row>
  </sheetData>
  <mergeCells count="1">
    <mergeCell ref="A4:C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2026-07-29T13:04:35Z</dcterms:created>
  <dc:creator>openpyxl</dc:creator>
  <dc:description/>
  <dc:language>en-US</dc:language>
  <cp:lastModifiedBy/>
  <dcterms:modified xsi:type="dcterms:W3CDTF">2026-09-15T13:15:36Z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