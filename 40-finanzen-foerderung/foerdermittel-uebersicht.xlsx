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örderprogramme" sheetId="1" state="visible" r:id="rId3"/>
    <sheet name="Sitzvergleich NDS-Hessen" sheetId="2" state="visible" r:id="rId4"/>
    <sheet name="Zeitachse &amp; Quelle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<sst xmlns="http://schemas.openxmlformats.org/spreadsheetml/2006/main" count="333" uniqueCount="302">
  <si>
    <t xml:space="preserve">Fördermittel-Übersicht — Niedersachsen · Hessen · Bund · EU</t>
  </si>
  <si>
    <t xml:space="preserve">Aufgabe A-09 · erstellt 27.07.2026 · Rolle: Fördermittelberater · Fenster V0 · Alle Angaben per Websuche am 27.07.2026 erhoben. Quellen auf Blatt „Zeitachse &amp; Quellen".</t>
  </si>
  <si>
    <t xml:space="preserve">ALLE ANGABEN SIND DIE FORM DER FRAGE, NICHT DIE ANTWORT. Förderbedingungen ändern sich laufend, und der reale Start liegt bei uns im Sommer 2028. Vor jedem Antrag ist jede einzelne Angabe beim Träger neu zu bestätigen — dafür ist die gelbe Spalte da.</t>
  </si>
  <si>
    <t xml:space="preserve">Nr</t>
  </si>
  <si>
    <t xml:space="preserve">Programm</t>
  </si>
  <si>
    <t xml:space="preserve">Träger</t>
  </si>
  <si>
    <t xml:space="preserve">Ebene</t>
  </si>
  <si>
    <t xml:space="preserve">Art</t>
  </si>
  <si>
    <t xml:space="preserve">Höhe</t>
  </si>
  <si>
    <t xml:space="preserve">Was gefördert wird
(Lebensunterhalt vs. Firmenbudget)</t>
  </si>
  <si>
    <t xml:space="preserve">Voraussetzungen</t>
  </si>
  <si>
    <t xml:space="preserve">Warum es für uns passt — oder nicht</t>
  </si>
  <si>
    <t xml:space="preserve">Frist</t>
  </si>
  <si>
    <t xml:space="preserve">Ampel</t>
  </si>
  <si>
    <t xml:space="preserve">Vor Antrag beim Träger
verifiziert am</t>
  </si>
  <si>
    <t xml:space="preserve">Ergebnis der Prüfung</t>
  </si>
  <si>
    <t xml:space="preserve">Quelle</t>
  </si>
  <si>
    <t xml:space="preserve">Gründungsstipendium Niedersachsen</t>
  </si>
  <si>
    <t xml:space="preserve">NBank</t>
  </si>
  <si>
    <t xml:space="preserve">Niedersachsen</t>
  </si>
  <si>
    <t xml:space="preserve">Stipendium (Zuschuss, keine Rückzahlung)</t>
  </si>
  <si>
    <t xml:space="preserve">2.200 €/Monat je Person mit abgeschlossenem Studium ODER abgeschlossener Ausbildung · 1.100 €/Monat für Studierende und sonstige Personen · max. 10 Monate</t>
  </si>
  <si>
    <t xml:space="preserve">LEBENSUNTERHALT der Gründenden. Kein Firmenbudget.</t>
  </si>
  <si>
    <t xml:space="preserve">Natürliche Personen ab 18 mit Wohnsitz in Niedersachsen · Team bis 3 Personen · Wohnsitz UND Unternehmenssitz während der gesamten Förderdauer in Niedersachsen · Begleitung durch eine Hochschule, ein Start-up-Zentrum, eine Forschungseinrichtung oder einen Accelerator mit Sitz in Niedersachsen · Antrag vor Vorhabenbeginn</t>
  </si>
  <si>
    <t xml:space="preserve">PASST — und ist das einzige Stipendium im Feld, das KEINEN Hochschulabschluss verlangt. Für uns beide gilt der niedrigere Satz von 1.100 €, weil weder Studium noch Ausbildung abgeschlossen sind: 2 Personen × 1.100 € × 10 Monate = 22.000 €. ZWEI HARTE BEDINGUNGEN: (1) Nicolas müsste seinen Wohnsitz nach Niedersachsen verlegen, sonst ist er nicht antragsberechtigt. (2) Die Begleitung durch ein Start-up-Zentrum oder einen Accelerator muss organisiert sein — das ist keine Formalie, sondern eine Vorlaufzeit.</t>
  </si>
  <si>
    <t xml:space="preserve">Anträge derzeit bis 31.03.2027 — das liegt VOR unserem Start. Nachfolgeregelung beobachten.</t>
  </si>
  <si>
    <t xml:space="preserve">gelb</t>
  </si>
  <si>
    <t xml:space="preserve">Q1, Q2</t>
  </si>
  <si>
    <t xml:space="preserve">MikroSTARTer Niedersachsen</t>
  </si>
  <si>
    <t xml:space="preserve">Direktdarlehen</t>
  </si>
  <si>
    <t xml:space="preserve">5.000 bis 40.000 €</t>
  </si>
  <si>
    <t xml:space="preserve">FIRMENBUDGET: Investitionen, Betriebsmittel, Qualifizierung</t>
  </si>
  <si>
    <t xml:space="preserve">KMU in Niedersachsen in den ersten fünf Jahren sowie Gründende im Haupt- oder Nebenerwerb · zertifizierte Erstberatung durch eine anerkannte Beratungsstelle muss vor dem Antrag vorliegen · bei Anträgen ab 01.01.2026 Vorhabenbeginn ab Antragseingang möglich, sofern die Ausgaben unter 100.000 € liegen</t>
  </si>
  <si>
    <t xml:space="preserve">GRUNDSÄTZLICH PASSEND als kleiner Baustein. Zinssatz laut NBank 5,45 % p. a. mit Stand 02.04.2024 — dieser Wert ist über zwei Jahre alt und MUSS vor jeder Planung neu erfragt werden. Es ist ein Darlehen: Es muss zurückgezahlt werden und erzeugt eine Verbindlichkeit der GmbH.</t>
  </si>
  <si>
    <t xml:space="preserve">laufend</t>
  </si>
  <si>
    <t xml:space="preserve">Q3, Q4</t>
  </si>
  <si>
    <t xml:space="preserve">Hessen Ideen Stipendium</t>
  </si>
  <si>
    <t xml:space="preserve">Land Hessen / hessische Hochschulen</t>
  </si>
  <si>
    <t xml:space="preserve">Hessen</t>
  </si>
  <si>
    <t xml:space="preserve">Stipendium plus Akzeleratorprogramm</t>
  </si>
  <si>
    <t xml:space="preserve">2.500 €/Monat je Person, max. 3 Personen, 6 Monate</t>
  </si>
  <si>
    <t xml:space="preserve">LEBENSUNTERHALT</t>
  </si>
  <si>
    <t xml:space="preserve">Mindestens ein Teammitglied muss Angehörige oder Alumni einer staatlichen oder staatlich anerkannten gemeinnützigen privaten Hochschule in Hessen sein · erster Hochschulabschluss (Bachelor) erforderlich, nicht älter als fünf Jahre · noch keine Umsätze · noch keine Kapitalgesellschaft gegründet</t>
  </si>
  <si>
    <t xml:space="preserve">PASST NICHT. Der geforderte Bachelor-Abschluss schließt uns aus, solange keiner von uns studiert hat. Das ist kein Auslegungsspielraum, sondern eine Zugangsvoraussetzung. Aufgeführt, weil es das prominenteste hessische Stipendium ist und die Frage sonst offen bliebe.</t>
  </si>
  <si>
    <t xml:space="preserve">nächste Bewerbungsfrist 10.09.2026 (Förderlaufzeit 01.01.–30.06.2027)</t>
  </si>
  <si>
    <t xml:space="preserve">rot</t>
  </si>
  <si>
    <t xml:space="preserve">Q5, Q6</t>
  </si>
  <si>
    <t xml:space="preserve">push! Start-up-Stipendium</t>
  </si>
  <si>
    <t xml:space="preserve">Land Hessen</t>
  </si>
  <si>
    <t xml:space="preserve">Zuschuss</t>
  </si>
  <si>
    <t xml:space="preserve">bis 40.000 € je Start-up, Förderzeitraum höchstens 12 Monate</t>
  </si>
  <si>
    <t xml:space="preserve">nicht öffentlich beziffert — beim Träger erfragen — nach Beschreibung eher FIRMENBUDGET als reiner Lebensunterhalt</t>
  </si>
  <si>
    <t xml:space="preserve">Sitz in Hessen oder Verlegung dorthin innerhalb von drei Monaten nach Förderzusage · das Unternehmen muss GEGRÜNDET und bei Erhalt des Bescheids höchstens fünf Jahre alt sein · KMU bis 249 Beschäftigte · innovatives, wirtschaftlich verwertbares und nachhaltiges Geschäftsmodell</t>
  </si>
  <si>
    <t xml:space="preserve">MÖGLICHERWEISE PASSEND, aber erst NACH der Gründung. Ein Hochschulabschluss wird in den öffentlichen Angaben nicht verlangt — das ist der entscheidende Unterschied zu Hessen Ideen und muss beim Träger bestätigt werden. Wenn es zutrifft, ist push! das einzige hessische Programm, das für uns überhaupt in Frage käme.</t>
  </si>
  <si>
    <t xml:space="preserve">rundenweise, nächste Runde 2026 — Termine beim Träger erfragen</t>
  </si>
  <si>
    <t xml:space="preserve">Q7, Q8</t>
  </si>
  <si>
    <t xml:space="preserve">EXIST-Gründungsstipendium</t>
  </si>
  <si>
    <t xml:space="preserve">BMWE / Hochschulen</t>
  </si>
  <si>
    <t xml:space="preserve">Bund</t>
  </si>
  <si>
    <t xml:space="preserve">Stipendium</t>
  </si>
  <si>
    <t xml:space="preserve">siehe A-10 — dort im Detail</t>
  </si>
  <si>
    <t xml:space="preserve">LEBENSUNTERHALT plus Sachmittel und Coaching</t>
  </si>
  <si>
    <t xml:space="preserve">Anbindung an eine Hochschule oder Forschungseinrichtung erforderlich</t>
  </si>
  <si>
    <t xml:space="preserve">EIGENE AUFGABE (A-10). Hier nur der Vollständigkeit halber. Entscheidend ist die Frage, ob eine Hochschuleinschreibung nach dem Abitur diesen Weg öffnet — das ist eine Lebensentscheidung und keine Förderfrage.</t>
  </si>
  <si>
    <t xml:space="preserve">siehe A-10</t>
  </si>
  <si>
    <t xml:space="preserve">A-10</t>
  </si>
  <si>
    <t xml:space="preserve">ERP-Gründerkredit StartGeld</t>
  </si>
  <si>
    <t xml:space="preserve">KfW über die Hausbank</t>
  </si>
  <si>
    <t xml:space="preserve">Förderkredit</t>
  </si>
  <si>
    <t xml:space="preserve">bis 200.000 € je Vorhaben, davon höchstens 80.000 € für Betriebsmittel · Laufzeit bis 10 Jahre · bis zu 2 tilgungsfreie Anlaufjahre</t>
  </si>
  <si>
    <t xml:space="preserve">FIRMENBUDGET: Investitionen und Betriebsmittel</t>
  </si>
  <si>
    <t xml:space="preserve">Existenzgründende, Freiberufliche, Unternehmensnachfolgen sowie kleine Unternehmen mit weniger als 50 Beschäftigten und höchstens 10 Mio. € Umsatz oder Bilanzsumme · Unternehmen in den ersten fünf Jahren nach Aufnahme der Geschäftstätigkeit · Antrag läuft über die Hausbank, nicht direkt bei der KfW</t>
  </si>
  <si>
    <t xml:space="preserve">TECHNISCH ZUGÄNGLICH, praktisch die härteste Hürde im Feld. Die KfW übernimmt 80 % der Haftung gegenüber der Hausbank — die restlichen 20 % trägt die Bank, und genau dort entscheidet sich alles. Eine Hausbank, die zwei Berufsanfängern ohne Sicherheiten und ohne Umsatz einen Kredit gibt, ist die Ausnahme. Handbuch B setzt die KfW folgerichtig erst ab Monat 15 bis 24 und nur bei vorhandenem Umsatz an.</t>
  </si>
  <si>
    <t xml:space="preserve">Q9, Q10</t>
  </si>
  <si>
    <t xml:space="preserve">Mikromezzaninfonds Deutschland</t>
  </si>
  <si>
    <t xml:space="preserve">Bund / Mittelständische Beteiligungsgesellschaften</t>
  </si>
  <si>
    <t xml:space="preserve">stille Beteiligung (Mezzanine)</t>
  </si>
  <si>
    <t xml:space="preserve">nicht öffentlich beziffert — beim Träger erfragen</t>
  </si>
  <si>
    <t xml:space="preserve">EIGENKAPITALÄHNLICHE MITTEL — verbessert die Bilanzstruktur, ohne Anteile abzugeben</t>
  </si>
  <si>
    <t xml:space="preserve">nicht öffentlich beziffert — beim Träger erfragen — Programm richtet sich ausdrücklich an Vorhaben mit fehlenden Sicherheiten und dünner Eigenkapitalbasis</t>
  </si>
  <si>
    <t xml:space="preserve">INTERESSANT FÜR SPÄTER. Genau auf unsere Lage zugeschnitten: keine Sicherheiten, wenig Eigenkapital. Als stille Beteiligung gibt es keine Anteile ab und keine Mitsprache. Handbuch B setzt es auf Monat 12 bis 18 an. Konditionen und aktuelle Verfügbarkeit sind öffentlich nicht belastbar dokumentiert und müssen erfragt werden.</t>
  </si>
  <si>
    <t xml:space="preserve">Q11</t>
  </si>
  <si>
    <t xml:space="preserve">INVEST — Zuschuss für Wagniskapital</t>
  </si>
  <si>
    <t xml:space="preserve">BAFA</t>
  </si>
  <si>
    <t xml:space="preserve">Zuschuss an den Investor, nicht an uns</t>
  </si>
  <si>
    <t xml:space="preserve">Erwerbszuschuss auf die Investitionssumme. ACHTUNG WIDERSPRÜCHLICHE QUELLEN: Mehrere Quellen nennen 15 % nach der seit 06.03.2024 geltenden Richtlinie, andere weiterhin 25 %. Höchstens 100.000 € Zuschuss je Investor (entspricht rund 666.667 € Beteiligung).</t>
  </si>
  <si>
    <t xml:space="preserve">KEIN GELD FÜR UNS — es senkt das Risiko eines Business Angels, der bei uns einsteigt, und macht uns dadurch attraktiver</t>
  </si>
  <si>
    <t xml:space="preserve">Investierende sind natürliche Personen oder Angel-GmbHs · Beteiligung mindestens 10.000 € · Start-up höchstens 7 Jahre alt · das Start-up muss seine Förderfähigkeit VORAB beim BAFA feststellen lassen · Anteile mindestens 3 Jahre halten</t>
  </si>
  <si>
    <t xml:space="preserve">ERST RELEVANT MIT EINEM ANGEL. Der Punkt, den man sich merken muss: Die Förderfähigkeit wird vom Start-up beantragt, nicht vom Investor — man kann sie also vorbereiten, bevor überhaupt ein Gespräch stattfindet. ACHTUNG: Die Richtlinie gilt nach den gefundenen Angaben bis Dezember 2026. Ob sie danach fortbesteht, ist offen und für unseren Zeitplan (Start 2028) entscheidend.</t>
  </si>
  <si>
    <t xml:space="preserve">Richtlinie läuft laut Quellen Dezember 2026 aus — Nachfolge beobachten</t>
  </si>
  <si>
    <t xml:space="preserve">Q12, Q13</t>
  </si>
  <si>
    <t xml:space="preserve">Gründungszuschuss</t>
  </si>
  <si>
    <t xml:space="preserve">Agentur für Arbeit</t>
  </si>
  <si>
    <t xml:space="preserve">entfällt</t>
  </si>
  <si>
    <t xml:space="preserve">Setzt einen bestehenden Anspruch auf Arbeitslosengeld I voraus</t>
  </si>
  <si>
    <t xml:space="preserve">TRIFFT AUF UNS NICHT ZU. Wir kommen aus der Schule, nicht aus einem Beschäftigungsverhältnis, und haben keinen Anspruch auf Arbeitslosengeld. Aufgeführt, weil dieses Programm in jeder Gründerberatung als Erstes genannt wird und die Frage sonst wiederkehrt.</t>
  </si>
  <si>
    <t xml:space="preserve">—</t>
  </si>
  <si>
    <t xml:space="preserve">Q14</t>
  </si>
  <si>
    <t xml:space="preserve">EIC Accelerator</t>
  </si>
  <si>
    <t xml:space="preserve">Europäische Kommission / EIC</t>
  </si>
  <si>
    <t xml:space="preserve">EU</t>
  </si>
  <si>
    <t xml:space="preserve">Zuschuss plus Beteiligung</t>
  </si>
  <si>
    <t xml:space="preserve">bis 2,5 Mio. € Zuschuss, dazu 1 bis 10 Mio. € Beteiligung durch den EIC Fund · Gesamtbudget 2026 rund 634 Mio. €</t>
  </si>
  <si>
    <t xml:space="preserve">FIRMENBUDGET, Entwicklung und Markteintritt</t>
  </si>
  <si>
    <t xml:space="preserve">Richtet sich an Technologien auf Reifegrad 5 bis 8, die für private Investoren allein zu riskant sind · Zielgruppe sind bahnbrechende Technologien mit globaler Wirkung · keine Mindestunternehmensgröße</t>
  </si>
  <si>
    <t xml:space="preserve">PASST NICHT, und das sollte man sich ehrlich eingestehen. Der EIC finanziert Tiefentechnologie — Verfahren, Werkstoffe, Medizintechnik. Eine Dating-App mit sorgfältiger Datenarchitektur ist ein gutes Produkt, aber keine bahnbrechende Technologie im Sinne dieses Programms. Ein Antrag würde Wochen kosten und wäre chancenlos. Aufgeführt, weil EU-Förderung immer wieder vorgeschlagen wird.</t>
  </si>
  <si>
    <t xml:space="preserve">sechs Stichtage je Jahr</t>
  </si>
  <si>
    <t xml:space="preserve">Q15, Q16</t>
  </si>
  <si>
    <t xml:space="preserve">Horizon Europe / Digital Europe</t>
  </si>
  <si>
    <t xml:space="preserve">Europäische Kommission</t>
  </si>
  <si>
    <t xml:space="preserve">Zuschuss, meist im Konsortium</t>
  </si>
  <si>
    <t xml:space="preserve">je Ausschreibung sehr unterschiedlich</t>
  </si>
  <si>
    <t xml:space="preserve">FIRMENBUDGET im Rahmen eines Projekts</t>
  </si>
  <si>
    <t xml:space="preserve">In aller Regel Verbundvorhaben mit mehreren Partnern aus mehreren Mitgliedstaaten · umfangreiche Antrags- und Berichtspflichten</t>
  </si>
  <si>
    <t xml:space="preserve">PASST NICHT für ein Zweipersonenteam. Der Verwaltungsaufwand allein übersteigt unsere Kapazität, und ohne Konsortialpartner ist der Zugang faktisch verschlossen. Falls sich das jemals ändert, dann über eine Beteiligung an einem bestehenden Konsortium — nicht über einen eigenen Antrag.</t>
  </si>
  <si>
    <t xml:space="preserve">je Ausschreibung</t>
  </si>
  <si>
    <t xml:space="preserve">Q17</t>
  </si>
  <si>
    <t xml:space="preserve">Gründungswettbewerbe</t>
  </si>
  <si>
    <t xml:space="preserve">verschiedene</t>
  </si>
  <si>
    <t xml:space="preserve">Bund, Land, EU</t>
  </si>
  <si>
    <t xml:space="preserve">Preisgeld</t>
  </si>
  <si>
    <t xml:space="preserve">siehe A-12</t>
  </si>
  <si>
    <t xml:space="preserve">meist frei verwendbar — Preisgeld ohne Gegenleistung</t>
  </si>
  <si>
    <t xml:space="preserve">je Wettbewerb unterschiedlich</t>
  </si>
  <si>
    <t xml:space="preserve">EIGENE AUFGABE (A-12). Für unsere Lage der attraktivste Weg überhaupt: kein Eigenanteil, keine Rückzahlung, keine Anteile — und die Bewerbung zwingt zu einem prüffähigen Plan, was für sich genommen schon wertvoll ist.</t>
  </si>
  <si>
    <t xml:space="preserve">grün</t>
  </si>
  <si>
    <t xml:space="preserve">A-12</t>
  </si>
  <si>
    <t xml:space="preserve">Auswertung (rechnet automatisch)</t>
  </si>
  <si>
    <t xml:space="preserve">Programme gesamt</t>
  </si>
  <si>
    <t xml:space="preserve">davon grün</t>
  </si>
  <si>
    <t xml:space="preserve">davon gelb</t>
  </si>
  <si>
    <t xml:space="preserve">davon rot</t>
  </si>
  <si>
    <t xml:space="preserve">davon Niedersachsen</t>
  </si>
  <si>
    <t xml:space="preserve">davon Hessen</t>
  </si>
  <si>
    <t xml:space="preserve">beim Träger bestätigt</t>
  </si>
  <si>
    <t xml:space="preserve">Abnahmekriterium A-09: mindestens 8 Programme</t>
  </si>
  <si>
    <t xml:space="preserve">Niedersachsen oder Hessen — allein nach Förderlage</t>
  </si>
  <si>
    <t xml:space="preserve">Beitrag zu offener Entscheidung Nr. 21. Diese Seite betrachtet AUSSCHLIESSLICH die Förderlage. Registergericht, Datenschutzaufsicht, Gewerbesteuer-Hebesatz und persönliche Gründe stehen in der Anwaltsakte Teil B4.3 und wiegen möglicherweise schwerer.</t>
  </si>
  <si>
    <t xml:space="preserve">Das Ergebnis vorweg</t>
  </si>
  <si>
    <t xml:space="preserve">Nach Förderlage ist NIEDERSACHSEN eindeutig günstiger — und der Grund ist ein einziger Satz: Das Gründungsstipendium Niedersachsen verlangt KEINEN Hochschulabschluss. Es genügt, dass die Gründung von einer Hochschule, einem Start-up-Zentrum, einer Forschungseinrichtung oder einem Accelerator mit Sitz in Niedersachsen BEGLEITET wird. Das hessische Gegenstück, Hessen Ideen, verlangt einen Bachelor, der nicht länger als fünf Jahre zurückliegt. Für zwei Abiturienten ist das kein Auslegungsspielraum, sondern eine geschlossene Tür.</t>
  </si>
  <si>
    <t xml:space="preserve">Gegenüberstellung</t>
  </si>
  <si>
    <t xml:space="preserve">Kriterium</t>
  </si>
  <si>
    <t xml:space="preserve">Stipendium ohne Hochschulabschluss</t>
  </si>
  <si>
    <t xml:space="preserve">JA — Gründungsstipendium, 1.100 €/Person/Monat für uns, bis zu 10 Monate. Bei zwei Personen rund 22.000 €.</t>
  </si>
  <si>
    <t xml:space="preserve">NEIN — Hessen Ideen verlangt einen Bachelor. push! verlangt keinen Abschluss, setzt aber eine bereits gegründete Gesellschaft voraus.</t>
  </si>
  <si>
    <t xml:space="preserve">Höchstbetrag im günstigsten Fall</t>
  </si>
  <si>
    <t xml:space="preserve">rund 22.000 € Stipendium (beide Gründer, 10 Monate) plus MikroSTARTer bis 40.000 € als Darlehen</t>
  </si>
  <si>
    <t xml:space="preserve">bis 40.000 € Zuschuss über push! — aber erst nach der Gründung und mit ungeklärter Zugangsvoraussetzung</t>
  </si>
  <si>
    <t xml:space="preserve">Wohnsitzbedingung</t>
  </si>
  <si>
    <t xml:space="preserve">HART: Wohnsitz UND Unternehmenssitz müssen während der gesamten Förderdauer in Niedersachsen liegen. Nicolas müsste umziehen, sonst ist er nicht antragsberechtigt.</t>
  </si>
  <si>
    <t xml:space="preserve">Sitz des Unternehmens in Hessen oder Verlegung binnen drei Monaten. Zum Wohnsitz der Gründenden keine vergleichbar harte Angabe gefunden.</t>
  </si>
  <si>
    <t xml:space="preserve">Zeitpunkt der Antragstellung</t>
  </si>
  <si>
    <t xml:space="preserve">VOR Vorhabenbeginn, also vor der Gründung. Passt zu unserem Plan, erst zu T0 zu gründen.</t>
  </si>
  <si>
    <t xml:space="preserve">push! setzt eine bereits gegründete Gesellschaft voraus — also erst NACH T0.</t>
  </si>
  <si>
    <t xml:space="preserve">Mikrofinanzierung</t>
  </si>
  <si>
    <t xml:space="preserve">MikroSTARTer: Direktdarlehen 5.000–40.000 €, Zinssatz 5,45 % mit Stand 04/2024 (veraltet, neu erfragen)</t>
  </si>
  <si>
    <t xml:space="preserve">Vergleichbares Landesdarlehen in dieser Recherche nicht belegt — offen</t>
  </si>
  <si>
    <t xml:space="preserve">Verlässlichkeit der Angaben</t>
  </si>
  <si>
    <t xml:space="preserve">gut: NBank und Förderdatenbank des Bundes dokumentieren die Bedingungen ausführlich</t>
  </si>
  <si>
    <t xml:space="preserve">mittel: push! ist in den öffentlichen Quellen weniger genau beschrieben, insbesondere zu den persönlichen Voraussetzungen</t>
  </si>
  <si>
    <t xml:space="preserve">Der Haken, den man kennen muss</t>
  </si>
  <si>
    <t xml:space="preserve">Die Antragsfrist für das Gründungsstipendium Niedersachsen läuft nach den gefundenen Angaben am 31.03.2027 aus — also mehr als ein Jahr VOR unserem Start. Das Programm wurde in der Vergangenheit bereits verlängert und mit verbesserten Konditionen fortgesetzt, eine Nachfolgeregelung ist also plausibel, aber nicht garantiert. Daraus folgt keine Panik, sondern eine Beobachtungsaufgabe: Ab Anfang 2027 gehört die Nachfolgeregelung auf die monatliche Prüfliste. Fällt sie weg, verschiebt sich das Bild zwischen den Ländern erheblich.</t>
  </si>
  <si>
    <t xml:space="preserve">Was das für die Wohnsitzfrage bedeutet</t>
  </si>
  <si>
    <t xml:space="preserve">Fall</t>
  </si>
  <si>
    <t xml:space="preserve">Was möglich ist</t>
  </si>
  <si>
    <t xml:space="preserve">Was es kostet</t>
  </si>
  <si>
    <t xml:space="preserve">Beide mit Wohnsitz in Niedersachsen</t>
  </si>
  <si>
    <t xml:space="preserve">Beide antragsberechtigt für das Gründungsstipendium</t>
  </si>
  <si>
    <t xml:space="preserve">Nicolas müsste umziehen. Gegenwert nach heutigem Stand: rund 11.000 € zusätzliches Stipendium über zehn Monate.</t>
  </si>
  <si>
    <t xml:space="preserve">Nur Henry in Niedersachsen, Sitz Niedersachsen</t>
  </si>
  <si>
    <t xml:space="preserve">Nur Henry antragsberechtigt</t>
  </si>
  <si>
    <t xml:space="preserve">rund 11.000 € statt 22.000 €. Das Vorhaben bleibt förderfähig, nur eben halb.</t>
  </si>
  <si>
    <t xml:space="preserve">Sitz Hessen</t>
  </si>
  <si>
    <t xml:space="preserve">Kein Stipendium ohne Hochschulabschluss. push! erst nach Gründung, Zugangsvoraussetzungen ungeklärt.</t>
  </si>
  <si>
    <t xml:space="preserve">Der gesamte Stipendienpfad entfällt, solange keiner von uns studiert hat.</t>
  </si>
  <si>
    <t xml:space="preserve">Was diese Seite NICHT entscheidet</t>
  </si>
  <si>
    <t xml:space="preserve">Die Förderlage ist ein Kriterium von sechsen. Registergericht, Datenschutzaufsicht, Landesförderprogramme jenseits von Stipendien, Gewerbesteuer-Hebesatz der konkreten Gemeinde, Nähe zu Beratungsstellen und schlicht die Frage, wo zwei Menschen leben wollen — all das steht in der Anwaltsakte Teil B4.3 und kann schwerer wiegen als 11.000 € einmalig. Diese Seite liefert eine Zahl, keine Lebensentscheidung.</t>
  </si>
  <si>
    <t xml:space="preserve">Wann was beantragt wird — und woher die Angaben stammen</t>
  </si>
  <si>
    <t xml:space="preserve">Alle Quellen abgerufen am 27.07.2026. Zeitachse bezogen auf T0 = realer Start, planmäßig Sommer 2028.</t>
  </si>
  <si>
    <t xml:space="preserve">Zeitachse</t>
  </si>
  <si>
    <t xml:space="preserve">Fenster</t>
  </si>
  <si>
    <t xml:space="preserve">Wann</t>
  </si>
  <si>
    <t xml:space="preserve">Was passiert</t>
  </si>
  <si>
    <t xml:space="preserve">Warum gerade dann</t>
  </si>
  <si>
    <t xml:space="preserve">V0</t>
  </si>
  <si>
    <t xml:space="preserve">jetzt</t>
  </si>
  <si>
    <t xml:space="preserve">Nichts beantragen. Nur: Bedingungen kennen, Kontakt zu einem Start-up-Zentrum oder Accelerator in Niedersachsen aufbauen.</t>
  </si>
  <si>
    <t xml:space="preserve">Die Begleitung durch eine solche Einrichtung ist Voraussetzung für das Gründungsstipendium und lässt sich nicht in zwei Wochen herstellen.</t>
  </si>
  <si>
    <t xml:space="preserve">V1</t>
  </si>
  <si>
    <t xml:space="preserve">Okt 2026 – Mär 2027</t>
  </si>
  <si>
    <t xml:space="preserve">Nachfolgeregelung des Gründungsstipendiums Niedersachsen beobachten. Bei push! Hessen die Zugangsvoraussetzungen schriftlich erfragen.</t>
  </si>
  <si>
    <t xml:space="preserve">Die aktuelle Frist endet 31.03.2027. Was danach gilt, entscheidet mit über den Sitz.</t>
  </si>
  <si>
    <t xml:space="preserve">V2</t>
  </si>
  <si>
    <t xml:space="preserve">Apr – Sep 2027</t>
  </si>
  <si>
    <t xml:space="preserve">EXIST-Frage klären (A-10). Falls eine Hochschuleinschreibung in Betracht kommt, muss sie hier entschieden sein.</t>
  </si>
  <si>
    <t xml:space="preserve">Eine Einschreibung ist an Semestertermine gebunden und öffnet EXIST wie auch Hessen Ideen.</t>
  </si>
  <si>
    <t xml:space="preserve">V3</t>
  </si>
  <si>
    <t xml:space="preserve">Okt 2027 – Mär 2028</t>
  </si>
  <si>
    <t xml:space="preserve">Businessplan und Finanzmodell fertigstellen. Gründungswettbewerbe (A-12) bewerben.</t>
  </si>
  <si>
    <t xml:space="preserve">Fast jeder Antrag verlangt einen prüffähigen Plan. Wettbewerbe sind der einzige Weg mit Preisgeld ohne Gegenleistung.</t>
  </si>
  <si>
    <t xml:space="preserve">V4</t>
  </si>
  <si>
    <t xml:space="preserve">Apr – Jul 2028</t>
  </si>
  <si>
    <t xml:space="preserve">Stipendienantrag vorbereiten und vor Vorhabenbeginn einreichen. Erstberatung für MikroSTARTer terminieren.</t>
  </si>
  <si>
    <t xml:space="preserve">Das Gründungsstipendium ist VOR Vorhabenbeginn zu beantragen. Wer zuerst gründet, verliert den Zugang.</t>
  </si>
  <si>
    <t xml:space="preserve">nach T0</t>
  </si>
  <si>
    <t xml:space="preserve">ab Sommer 2028</t>
  </si>
  <si>
    <t xml:space="preserve">push! Hessen wäre erst jetzt möglich (setzt Gründung voraus). INVEST-Förderfähigkeit beim BAFA feststellen lassen, falls ein Angel-Gespräch ansteht.</t>
  </si>
  <si>
    <t xml:space="preserve">Beide Programme setzen ein existierendes Unternehmen voraus.</t>
  </si>
  <si>
    <t xml:space="preserve">Quellen</t>
  </si>
  <si>
    <t xml:space="preserve">Link</t>
  </si>
  <si>
    <t xml:space="preserve">Was daraus stammt</t>
  </si>
  <si>
    <t xml:space="preserve">Q1</t>
  </si>
  <si>
    <t xml:space="preserve">NBank: Gründungsstipendium — Programmseite</t>
  </si>
  <si>
    <t xml:space="preserve">https://www.nbank.de/Förderprogramme/Aktuelle-Förderprogramme/Gründungsstipendium.html</t>
  </si>
  <si>
    <t xml:space="preserve">Höhe, Antragsweg, Frist 31.03.2027</t>
  </si>
  <si>
    <t xml:space="preserve">Q2</t>
  </si>
  <si>
    <t xml:space="preserve">Förderdatenbank des Bundes: Richtlinie Gründungsstipendium Niedersachsen</t>
  </si>
  <si>
    <t xml:space="preserve">https://www.foerderdatenbank.de/FDB/Content/DE/Foerderprogramm/Land/Niedersachsen/richtlinie-gruendungsstipendium.html</t>
  </si>
  <si>
    <t xml:space="preserve">Antragsberechtigung ab 18, Wohnsitz und Unternehmenssitz in Niedersachsen, Team bis 3, Begleitung durch Hochschule oder Accelerator</t>
  </si>
  <si>
    <t xml:space="preserve">Q3</t>
  </si>
  <si>
    <t xml:space="preserve">NBank: MikroSTARTer Niedersachsen</t>
  </si>
  <si>
    <t xml:space="preserve">https://www.nbank.de/Förderprogramme/Aktuelle-Förderprogramme/MikroSTARTer-Niedersachsen.html</t>
  </si>
  <si>
    <t xml:space="preserve">Darlehen 5.000–40.000 €</t>
  </si>
  <si>
    <t xml:space="preserve">Q4</t>
  </si>
  <si>
    <t xml:space="preserve">Förderdatenbank des Bundes: MikroSTARTer Niedersachsen</t>
  </si>
  <si>
    <t xml:space="preserve">https://www.foerderdatenbank.de/FDB/Content/DE/Foerderprogramm/Land/Niedersachsen/mikrostarter-niedersachsen.html</t>
  </si>
  <si>
    <t xml:space="preserve">Zinssatz 5,45 % p. a. mit Stand 02.04.2024, Laufzeit bis 7 Jahre, Erstberatung erforderlich</t>
  </si>
  <si>
    <t xml:space="preserve">Q5</t>
  </si>
  <si>
    <t xml:space="preserve">Hessen Ideen: Stipendium — Informationen</t>
  </si>
  <si>
    <t xml:space="preserve">https://hessen-ideen.de/stipendium/informationen</t>
  </si>
  <si>
    <t xml:space="preserve">2.500 €/Monat, 6 Monate, max. 3 Personen</t>
  </si>
  <si>
    <t xml:space="preserve">Q6</t>
  </si>
  <si>
    <t xml:space="preserve">StartHub Hessen: Hessen Ideen Stipendium</t>
  </si>
  <si>
    <t xml:space="preserve">https://www.starthub-hessen.de/de/services/navigator/hessen-ideen-stipendium/</t>
  </si>
  <si>
    <t xml:space="preserve">Hochschulangehörigkeit und Bachelor nicht älter als fünf Jahre, Bewerbungsfrist 10.09.2026</t>
  </si>
  <si>
    <t xml:space="preserve">Q7</t>
  </si>
  <si>
    <t xml:space="preserve">push! — Startseite des Landesprogramms</t>
  </si>
  <si>
    <t xml:space="preserve">https://push.hessen.de/</t>
  </si>
  <si>
    <t xml:space="preserve">Programmbeschreibung</t>
  </si>
  <si>
    <t xml:space="preserve">Q8</t>
  </si>
  <si>
    <t xml:space="preserve">IHK Hessen innovativ: Neue Förderrunde push! 2026</t>
  </si>
  <si>
    <t xml:space="preserve">https://www.ihk-hessen-innovativ.de/magazin/push-startup-stipendium-2026</t>
  </si>
  <si>
    <t xml:space="preserve">bis 40.000 €, höchstens 12 Monate, Sitz in Hessen, Unternehmen gegründet und höchstens fünf Jahre alt, KMU bis 249 Beschäftigte</t>
  </si>
  <si>
    <t xml:space="preserve">Q9</t>
  </si>
  <si>
    <t xml:space="preserve">KfW: ERP-Gründerkredit StartGeld</t>
  </si>
  <si>
    <t xml:space="preserve">https://www.kfw.de/Über-die-KfW/Newsroom/Aktuelles/StartGeld.html</t>
  </si>
  <si>
    <t xml:space="preserve">bis 200.000 €, davon 80.000 € Betriebsmittel</t>
  </si>
  <si>
    <t xml:space="preserve">Q10</t>
  </si>
  <si>
    <t xml:space="preserve">KfW: Merkblatt Kredit Nr. 067 StartGeld</t>
  </si>
  <si>
    <t xml:space="preserve">https://www.kfw.de/PDF/Download-Center/Förderprogramme-(Inlandsförderung)/PDF-Dokumente/6000002258_M_067_StartGeld.pdf</t>
  </si>
  <si>
    <t xml:space="preserve">Laufzeit bis 10 Jahre, bis 2 tilgungsfreie Jahre, 80 % Haftungsfreistellung, Zielgruppe</t>
  </si>
  <si>
    <t xml:space="preserve">Gruenderfreunde: Mikromezzaninfonds Deutschland 2026</t>
  </si>
  <si>
    <t xml:space="preserve">https://gruenderfreunde.de/mikromezzaninfonds-deutschland-stille-beteiligung/</t>
  </si>
  <si>
    <t xml:space="preserve">Zielgruppe: fehlende Sicherheiten, dünne Eigenkapitalbasis</t>
  </si>
  <si>
    <t xml:space="preserve">Q12</t>
  </si>
  <si>
    <t xml:space="preserve">BMWE: INVEST — Zuschuss für Wagniskapital</t>
  </si>
  <si>
    <t xml:space="preserve">https://www.bundeswirtschaftsministerium.de/Redaktion/DE/Dossier/invest.html</t>
  </si>
  <si>
    <t xml:space="preserve">Programmdarstellung des Ministeriums</t>
  </si>
  <si>
    <t xml:space="preserve">Q13</t>
  </si>
  <si>
    <t xml:space="preserve">BAFA: INVEST — Zuschuss für Wagniskapital</t>
  </si>
  <si>
    <t xml:space="preserve">https://www.bafa.de/DE/Wirtschaft/Beratung_Finanzierung/Invest/invest_node.html</t>
  </si>
  <si>
    <t xml:space="preserve">Antragsweg; Zuschusssatz in den Quellen widersprüchlich (15 % gegenüber 25 %) — beim BAFA verifizieren</t>
  </si>
  <si>
    <t xml:space="preserve">Agentur für Arbeit: Gründungszuschuss</t>
  </si>
  <si>
    <t xml:space="preserve">https://www.arbeitsagentur.de/</t>
  </si>
  <si>
    <t xml:space="preserve">Anspruch auf Arbeitslosengeld I als Voraussetzung</t>
  </si>
  <si>
    <t xml:space="preserve">Q15</t>
  </si>
  <si>
    <t xml:space="preserve">European Innovation Council: EIC Accelerator</t>
  </si>
  <si>
    <t xml:space="preserve">https://eic.ec.europa.eu/eic-funding-opportunities/eic-accelerator_en</t>
  </si>
  <si>
    <t xml:space="preserve">Zuschuss bis 2,5 Mio. €, Beteiligung 1–10 Mio. €, Reifegrad 5–8</t>
  </si>
  <si>
    <t xml:space="preserve">Q16</t>
  </si>
  <si>
    <t xml:space="preserve">EIC-Arbeitsprogramm 2026</t>
  </si>
  <si>
    <t xml:space="preserve">https://eic.ec.europa.eu/</t>
  </si>
  <si>
    <t xml:space="preserve">Budget 2026, Stichtage</t>
  </si>
  <si>
    <t xml:space="preserve">Europäische Kommission: Digital Europe Programme</t>
  </si>
  <si>
    <t xml:space="preserve">https://digital-strategy.ec.europa.eu/de/activities/digital-programme</t>
  </si>
  <si>
    <t xml:space="preserve">Verbundvorhaben, Ausschreibungslogik</t>
  </si>
  <si>
    <t xml:space="preserve">Was diese Übersicht nicht leistet</t>
  </si>
  <si>
    <t xml:space="preserve">Lücke</t>
  </si>
  <si>
    <t xml:space="preserve">Erläuterung</t>
  </si>
  <si>
    <t xml:space="preserve">Aktualität</t>
  </si>
  <si>
    <t xml:space="preserve">Der reale Start liegt zwei Jahre in der Zukunft. Zwei der wichtigsten Programme haben absehbare Enddaten: Die Antragsfrist des Gründungsstipendiums Niedersachsen läuft am 31.03.2027 aus, die INVEST-Richtlinie nach den gefundenen Angaben im Dezember 2026. Diese Tabelle ist eine Momentaufnahme.</t>
  </si>
  <si>
    <t xml:space="preserve">Widersprüchliche Angabe bei INVEST</t>
  </si>
  <si>
    <t xml:space="preserve">Zum Erwerbszuschuss nennen die Quellen 15 % und 25 % nebeneinander. Die neuere Richtlinie vom 06.03.2024 spricht für 15 %. Vor jeder Planung beim BAFA verifizieren.</t>
  </si>
  <si>
    <t xml:space="preserve">Veralteter Zinssatz</t>
  </si>
  <si>
    <t xml:space="preserve">Der Zinssatz für MikroSTARTer stammt mit Stand 02.04.2024 aus einer über zwei Jahre alten Angabe und ist mit Sicherheit überholt.</t>
  </si>
  <si>
    <t xml:space="preserve">Mikromezzaninfonds</t>
  </si>
  <si>
    <t xml:space="preserve">Konditionen sind öffentlich nicht belastbar dokumentiert. Nur ein Gespräch mit der Mittelständischen Beteiligungsgesellschaft bringt Klarheit.</t>
  </si>
  <si>
    <t xml:space="preserve">push! Hessen</t>
  </si>
  <si>
    <t xml:space="preserve">Ob ein Hochschulabschluss verlangt wird, geht aus den öffentlichen Angaben nicht hervor. Das ist die einzige Frage, die über die Brauchbarkeit des gesamten hessischen Pfades entscheidet — und sie ist mit einer E-Mail zu klären.</t>
  </si>
  <si>
    <t xml:space="preserve">Finanzierungsszenarien</t>
  </si>
  <si>
    <t xml:space="preserve">Eigenkapitalstufen, KfW-Studienkredit und Business Angels sind bewusst NICHT Gegenstand dieser Aufgabe. Sie sind in A-13 als eigenes Blatt „Finanzierungswege" aufgenommen.</t>
  </si>
  <si>
    <t xml:space="preserve">Nächste Handlungen</t>
  </si>
  <si>
    <t xml:space="preserve">Wer</t>
  </si>
  <si>
    <t xml:space="preserve">Was</t>
  </si>
  <si>
    <t xml:space="preserve">[M] Gründer</t>
  </si>
  <si>
    <t xml:space="preserve">Bei push! Hessen schriftlich erfragen, ob ein Hochschulabschluss Voraussetzung ist. Eine E-Mail, und der hessische Pfad ist geklärt.</t>
  </si>
  <si>
    <t xml:space="preserve">Kontakt zu einem Start-up-Zentrum oder Accelerator in Niedersachsen aufnehmen. Nicht wegen des Geldes — wegen der Begleitung, die Voraussetzung ist.</t>
  </si>
  <si>
    <t xml:space="preserve">Die Wohnsitzfrage bewusst besprechen. Nach heutigem Stand hängen rund 11.000 € daran, ob Nicolas nach Niedersachsen zieht.</t>
  </si>
  <si>
    <t xml:space="preserve">[KI] monatlich</t>
  </si>
  <si>
    <t xml:space="preserve">Nachfolgeregelung des Gründungsstipendiums und Fortbestand der INVEST-Richtlinie in die Wettbewerbsbeobachtung (R-01) aufnehmen.</t>
  </si>
  <si>
    <t xml:space="preserve">[KI] später</t>
  </si>
  <si>
    <t xml:space="preserve">A-10 (EXIST), A-12 (Wettbewerbe) und A-13 Blatt „Finanzierungswege" bauen darauf auf.</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</si>
</sst>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9"/>
      <color rgb="FF595959"/>
      <name val="Arial"/>
      <family val="0"/>
      <charset val="1"/>
    </font>
    <font>
      <b val="true"/>
      <sz val="10"/>
      <color rgb="FFAA3333"/>
      <name val="Arial"/>
      <family val="0"/>
      <charset val="1"/>
    </font>
    <font>
      <b val="true"/>
      <sz val="10"/>
      <color rgb="FFFFFFFF"/>
      <name val="Arial"/>
      <family val="0"/>
      <charset val="1"/>
    </font>
    <font>
      <sz val="9"/>
      <name val="Arial"/>
      <family val="0"/>
      <charset val="1"/>
    </font>
    <font>
      <b val="true"/>
      <sz val="9"/>
      <name val="Arial"/>
      <family val="0"/>
      <charset val="1"/>
    </font>
    <font>
      <b val="true"/>
      <sz val="12"/>
      <color rgb="FF1F3A5F"/>
      <name val="Arial"/>
      <family val="0"/>
      <charset val="1"/>
    </font>
    <font>
      <sz val="10"/>
      <name val="Arial"/>
      <family val="0"/>
      <charset val="1"/>
    </font>
    <font>
      <b val="true"/>
      <sz val="10"/>
      <name val="Arial"/>
      <family val="0"/>
      <charset val="1"/>
    </font>
    <font>
      <b val="true"/>
      <sz val="13"/>
      <color rgb="FF1F3A5F"/>
      <name val="Arial"/>
      <family val="0"/>
      <charset val="1"/>
    </font>
  </fonts>
  <fills count="9">
    <fill>
      <patternFill patternType="none"/>
    </fill>
    <fill>
      <patternFill patternType="gray125"/>
    </fill>
    <fill>
      <patternFill patternType="solid">
        <fgColor rgb="FFFDF3E7"/>
        <bgColor rgb="FFF2F2F2"/>
      </patternFill>
    </fill>
    <fill>
      <patternFill patternType="solid">
        <fgColor rgb="FF1F3A5F"/>
        <bgColor rgb="FF333333"/>
      </patternFill>
    </fill>
    <fill>
      <patternFill patternType="solid">
        <fgColor rgb="FFFFFF00"/>
        <bgColor rgb="FFFFFF00"/>
      </patternFill>
    </fill>
    <fill>
      <patternFill patternType="solid">
        <fgColor rgb="FFF2F2F2"/>
        <bgColor rgb="FFEDF2F8"/>
      </patternFill>
    </fill>
    <fill>
      <patternFill patternType="solid">
        <fgColor rgb="FFFCE4E4"/>
        <bgColor rgb="FFFDF3E7"/>
      </patternFill>
    </fill>
    <fill>
      <patternFill patternType="solid">
        <fgColor rgb="FFE6F4EA"/>
        <bgColor rgb="FFEDF2F8"/>
      </patternFill>
    </fill>
    <fill>
      <patternFill patternType="solid">
        <fgColor rgb="FFEDF2F8"/>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xf numFmtId="164" fontId="11" fillId="2" borderId="0" xfId="0" applyFont="true" applyBorder="true" applyAlignment="true" applyProtection="false">
      <alignment horizontal="general" vertical="top" textRotation="0" wrapText="true" indent="0" shrinkToFit="false"/>
      <protection locked="true" hidden="false"/>
    </xf>
    <xf numFmtId="164" fontId="11" fillId="8"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AA3333"/>
      <rgbColor rgb="FFFDF3E7"/>
      <rgbColor rgb="FFE6F4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F2F8"/>
      <rgbColor rgb="FFF2F2F2"/>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22"/>
    <col collapsed="false" customWidth="true" hidden="false" outlineLevel="0" max="4" min="4" style="0" width="15"/>
    <col collapsed="false" customWidth="true" hidden="false" outlineLevel="0" max="5" min="5" style="0" width="22"/>
    <col collapsed="false" customWidth="true" hidden="false" outlineLevel="0" max="6" min="6" style="0" width="40"/>
    <col collapsed="false" customWidth="true" hidden="false" outlineLevel="0" max="7" min="7" style="0" width="30"/>
    <col collapsed="false" customWidth="true" hidden="false" outlineLevel="0" max="8" min="8" style="0" width="52"/>
    <col collapsed="false" customWidth="true" hidden="false" outlineLevel="0" max="9" min="9" style="0" width="66"/>
    <col collapsed="false" customWidth="true" hidden="false" outlineLevel="0" max="10" min="10" style="0" width="30"/>
    <col collapsed="false" customWidth="true" hidden="false" outlineLevel="0" max="11" min="11" style="0" width="9"/>
    <col collapsed="false" customWidth="true" hidden="false" outlineLevel="0" max="12" min="12" style="0" width="20"/>
    <col collapsed="false" customWidth="true" hidden="false" outlineLevel="0" max="13" min="13" style="0" width="30"/>
    <col collapsed="false" customWidth="true" hidden="false" outlineLevel="0" max="14" min="14" style="0" width="10"/>
  </cols>
  <sheetData>
    <row r="1" customFormat="false" ht="19.7" hidden="false" customHeight="false" outlineLevel="0" collapsed="false">
      <c r="A1" s="1" t="s">
        <v>0</v>
      </c>
    </row>
    <row r="2" customFormat="false" ht="25.5" hidden="false" customHeight="true" outlineLevel="0" collapsed="false">
      <c r="A2" s="2" t="s">
        <v>1</v>
      </c>
    </row>
    <row r="3" customFormat="false" ht="30" hidden="false" customHeight="true" outlineLevel="0" collapsed="false">
      <c r="A3" s="3" t="s">
        <v>2</v>
      </c>
    </row>
    <row r="5" customFormat="false" ht="45.75" hidden="false" customHeight="true" outlineLevel="0" collapsed="false">
      <c r="A5" s="4" t="s">
        <v>3</v>
      </c>
      <c r="B5" s="4" t="s">
        <v>4</v>
      </c>
      <c r="C5" s="4" t="s">
        <v>5</v>
      </c>
      <c r="D5" s="4" t="s">
        <v>6</v>
      </c>
      <c r="E5" s="4" t="s">
        <v>7</v>
      </c>
      <c r="F5" s="4" t="s">
        <v>8</v>
      </c>
      <c r="G5" s="4" t="s">
        <v>9</v>
      </c>
      <c r="H5" s="4" t="s">
        <v>10</v>
      </c>
      <c r="I5" s="4" t="s">
        <v>11</v>
      </c>
      <c r="J5" s="4" t="s">
        <v>12</v>
      </c>
      <c r="K5" s="4" t="s">
        <v>13</v>
      </c>
      <c r="L5" s="4" t="s">
        <v>14</v>
      </c>
      <c r="M5" s="4" t="s">
        <v>15</v>
      </c>
      <c r="N5" s="4" t="s">
        <v>16</v>
      </c>
    </row>
    <row r="6" customFormat="false" ht="117.75" hidden="false" customHeight="true" outlineLevel="0" collapsed="false">
      <c r="A6" s="5" t="n">
        <v>1</v>
      </c>
      <c r="B6" s="6" t="s">
        <v>17</v>
      </c>
      <c r="C6" s="5" t="s">
        <v>18</v>
      </c>
      <c r="D6" s="5" t="s">
        <v>19</v>
      </c>
      <c r="E6" s="5" t="s">
        <v>20</v>
      </c>
      <c r="F6" s="5" t="s">
        <v>21</v>
      </c>
      <c r="G6" s="5" t="s">
        <v>22</v>
      </c>
      <c r="H6" s="5" t="s">
        <v>23</v>
      </c>
      <c r="I6" s="5" t="s">
        <v>24</v>
      </c>
      <c r="J6" s="5" t="s">
        <v>25</v>
      </c>
      <c r="K6" s="7" t="s">
        <v>26</v>
      </c>
      <c r="L6" s="8"/>
      <c r="M6" s="8"/>
      <c r="N6" s="5" t="s">
        <v>27</v>
      </c>
    </row>
    <row r="7" customFormat="false" ht="117.75" hidden="false" customHeight="true" outlineLevel="0" collapsed="false">
      <c r="A7" s="9" t="n">
        <v>2</v>
      </c>
      <c r="B7" s="10" t="s">
        <v>28</v>
      </c>
      <c r="C7" s="9" t="s">
        <v>18</v>
      </c>
      <c r="D7" s="9" t="s">
        <v>19</v>
      </c>
      <c r="E7" s="9" t="s">
        <v>29</v>
      </c>
      <c r="F7" s="9" t="s">
        <v>30</v>
      </c>
      <c r="G7" s="9" t="s">
        <v>31</v>
      </c>
      <c r="H7" s="9" t="s">
        <v>32</v>
      </c>
      <c r="I7" s="9" t="s">
        <v>33</v>
      </c>
      <c r="J7" s="9" t="s">
        <v>34</v>
      </c>
      <c r="K7" s="7" t="s">
        <v>26</v>
      </c>
      <c r="L7" s="8"/>
      <c r="M7" s="8"/>
      <c r="N7" s="9" t="s">
        <v>35</v>
      </c>
    </row>
    <row r="8" customFormat="false" ht="117.75" hidden="false" customHeight="true" outlineLevel="0" collapsed="false">
      <c r="A8" s="5" t="n">
        <v>3</v>
      </c>
      <c r="B8" s="6" t="s">
        <v>36</v>
      </c>
      <c r="C8" s="5" t="s">
        <v>37</v>
      </c>
      <c r="D8" s="5" t="s">
        <v>38</v>
      </c>
      <c r="E8" s="5" t="s">
        <v>39</v>
      </c>
      <c r="F8" s="5" t="s">
        <v>40</v>
      </c>
      <c r="G8" s="5" t="s">
        <v>41</v>
      </c>
      <c r="H8" s="5" t="s">
        <v>42</v>
      </c>
      <c r="I8" s="5" t="s">
        <v>43</v>
      </c>
      <c r="J8" s="5" t="s">
        <v>44</v>
      </c>
      <c r="K8" s="11" t="s">
        <v>45</v>
      </c>
      <c r="L8" s="8"/>
      <c r="M8" s="8"/>
      <c r="N8" s="5" t="s">
        <v>46</v>
      </c>
    </row>
    <row r="9" customFormat="false" ht="117.75" hidden="false" customHeight="true" outlineLevel="0" collapsed="false">
      <c r="A9" s="9" t="n">
        <v>4</v>
      </c>
      <c r="B9" s="10" t="s">
        <v>47</v>
      </c>
      <c r="C9" s="9" t="s">
        <v>48</v>
      </c>
      <c r="D9" s="9" t="s">
        <v>38</v>
      </c>
      <c r="E9" s="9" t="s">
        <v>49</v>
      </c>
      <c r="F9" s="9" t="s">
        <v>50</v>
      </c>
      <c r="G9" s="9" t="s">
        <v>51</v>
      </c>
      <c r="H9" s="9" t="s">
        <v>52</v>
      </c>
      <c r="I9" s="9" t="s">
        <v>53</v>
      </c>
      <c r="J9" s="9" t="s">
        <v>54</v>
      </c>
      <c r="K9" s="7" t="s">
        <v>26</v>
      </c>
      <c r="L9" s="8"/>
      <c r="M9" s="8"/>
      <c r="N9" s="9" t="s">
        <v>55</v>
      </c>
    </row>
    <row r="10" customFormat="false" ht="117.75" hidden="false" customHeight="true" outlineLevel="0" collapsed="false">
      <c r="A10" s="5" t="n">
        <v>5</v>
      </c>
      <c r="B10" s="6" t="s">
        <v>56</v>
      </c>
      <c r="C10" s="5" t="s">
        <v>57</v>
      </c>
      <c r="D10" s="5" t="s">
        <v>58</v>
      </c>
      <c r="E10" s="5" t="s">
        <v>59</v>
      </c>
      <c r="F10" s="5" t="s">
        <v>60</v>
      </c>
      <c r="G10" s="5" t="s">
        <v>61</v>
      </c>
      <c r="H10" s="5" t="s">
        <v>62</v>
      </c>
      <c r="I10" s="5" t="s">
        <v>63</v>
      </c>
      <c r="J10" s="5" t="s">
        <v>64</v>
      </c>
      <c r="K10" s="7" t="s">
        <v>26</v>
      </c>
      <c r="L10" s="8"/>
      <c r="M10" s="8"/>
      <c r="N10" s="5" t="s">
        <v>65</v>
      </c>
    </row>
    <row r="11" customFormat="false" ht="117.75" hidden="false" customHeight="true" outlineLevel="0" collapsed="false">
      <c r="A11" s="9" t="n">
        <v>6</v>
      </c>
      <c r="B11" s="10" t="s">
        <v>66</v>
      </c>
      <c r="C11" s="9" t="s">
        <v>67</v>
      </c>
      <c r="D11" s="9" t="s">
        <v>58</v>
      </c>
      <c r="E11" s="9" t="s">
        <v>68</v>
      </c>
      <c r="F11" s="9" t="s">
        <v>69</v>
      </c>
      <c r="G11" s="9" t="s">
        <v>70</v>
      </c>
      <c r="H11" s="9" t="s">
        <v>71</v>
      </c>
      <c r="I11" s="9" t="s">
        <v>72</v>
      </c>
      <c r="J11" s="9" t="s">
        <v>34</v>
      </c>
      <c r="K11" s="7" t="s">
        <v>26</v>
      </c>
      <c r="L11" s="8"/>
      <c r="M11" s="8"/>
      <c r="N11" s="9" t="s">
        <v>73</v>
      </c>
    </row>
    <row r="12" customFormat="false" ht="117.75" hidden="false" customHeight="true" outlineLevel="0" collapsed="false">
      <c r="A12" s="5" t="n">
        <v>7</v>
      </c>
      <c r="B12" s="6" t="s">
        <v>74</v>
      </c>
      <c r="C12" s="5" t="s">
        <v>75</v>
      </c>
      <c r="D12" s="5" t="s">
        <v>58</v>
      </c>
      <c r="E12" s="5" t="s">
        <v>76</v>
      </c>
      <c r="F12" s="5" t="s">
        <v>77</v>
      </c>
      <c r="G12" s="5" t="s">
        <v>78</v>
      </c>
      <c r="H12" s="5" t="s">
        <v>79</v>
      </c>
      <c r="I12" s="5" t="s">
        <v>80</v>
      </c>
      <c r="J12" s="5" t="s">
        <v>77</v>
      </c>
      <c r="K12" s="7" t="s">
        <v>26</v>
      </c>
      <c r="L12" s="8"/>
      <c r="M12" s="8"/>
      <c r="N12" s="5" t="s">
        <v>81</v>
      </c>
    </row>
    <row r="13" customFormat="false" ht="117.75" hidden="false" customHeight="true" outlineLevel="0" collapsed="false">
      <c r="A13" s="9" t="n">
        <v>8</v>
      </c>
      <c r="B13" s="10" t="s">
        <v>82</v>
      </c>
      <c r="C13" s="9" t="s">
        <v>83</v>
      </c>
      <c r="D13" s="9" t="s">
        <v>58</v>
      </c>
      <c r="E13" s="9" t="s">
        <v>84</v>
      </c>
      <c r="F13" s="9" t="s">
        <v>85</v>
      </c>
      <c r="G13" s="9" t="s">
        <v>86</v>
      </c>
      <c r="H13" s="9" t="s">
        <v>87</v>
      </c>
      <c r="I13" s="9" t="s">
        <v>88</v>
      </c>
      <c r="J13" s="9" t="s">
        <v>89</v>
      </c>
      <c r="K13" s="7" t="s">
        <v>26</v>
      </c>
      <c r="L13" s="8"/>
      <c r="M13" s="8"/>
      <c r="N13" s="9" t="s">
        <v>90</v>
      </c>
    </row>
    <row r="14" customFormat="false" ht="117.75" hidden="false" customHeight="true" outlineLevel="0" collapsed="false">
      <c r="A14" s="5" t="n">
        <v>9</v>
      </c>
      <c r="B14" s="6" t="s">
        <v>91</v>
      </c>
      <c r="C14" s="5" t="s">
        <v>92</v>
      </c>
      <c r="D14" s="5" t="s">
        <v>58</v>
      </c>
      <c r="E14" s="5" t="s">
        <v>49</v>
      </c>
      <c r="F14" s="5" t="s">
        <v>93</v>
      </c>
      <c r="G14" s="5" t="s">
        <v>41</v>
      </c>
      <c r="H14" s="5" t="s">
        <v>94</v>
      </c>
      <c r="I14" s="5" t="s">
        <v>95</v>
      </c>
      <c r="J14" s="5" t="s">
        <v>96</v>
      </c>
      <c r="K14" s="11" t="s">
        <v>45</v>
      </c>
      <c r="L14" s="8"/>
      <c r="M14" s="8"/>
      <c r="N14" s="5" t="s">
        <v>97</v>
      </c>
    </row>
    <row r="15" customFormat="false" ht="117.75" hidden="false" customHeight="true" outlineLevel="0" collapsed="false">
      <c r="A15" s="9" t="n">
        <v>10</v>
      </c>
      <c r="B15" s="10" t="s">
        <v>98</v>
      </c>
      <c r="C15" s="9" t="s">
        <v>99</v>
      </c>
      <c r="D15" s="9" t="s">
        <v>100</v>
      </c>
      <c r="E15" s="9" t="s">
        <v>101</v>
      </c>
      <c r="F15" s="9" t="s">
        <v>102</v>
      </c>
      <c r="G15" s="9" t="s">
        <v>103</v>
      </c>
      <c r="H15" s="9" t="s">
        <v>104</v>
      </c>
      <c r="I15" s="9" t="s">
        <v>105</v>
      </c>
      <c r="J15" s="9" t="s">
        <v>106</v>
      </c>
      <c r="K15" s="11" t="s">
        <v>45</v>
      </c>
      <c r="L15" s="8"/>
      <c r="M15" s="8"/>
      <c r="N15" s="9" t="s">
        <v>107</v>
      </c>
    </row>
    <row r="16" customFormat="false" ht="117.75" hidden="false" customHeight="true" outlineLevel="0" collapsed="false">
      <c r="A16" s="5" t="n">
        <v>11</v>
      </c>
      <c r="B16" s="6" t="s">
        <v>108</v>
      </c>
      <c r="C16" s="5" t="s">
        <v>109</v>
      </c>
      <c r="D16" s="5" t="s">
        <v>100</v>
      </c>
      <c r="E16" s="5" t="s">
        <v>110</v>
      </c>
      <c r="F16" s="5" t="s">
        <v>111</v>
      </c>
      <c r="G16" s="5" t="s">
        <v>112</v>
      </c>
      <c r="H16" s="5" t="s">
        <v>113</v>
      </c>
      <c r="I16" s="5" t="s">
        <v>114</v>
      </c>
      <c r="J16" s="5" t="s">
        <v>115</v>
      </c>
      <c r="K16" s="11" t="s">
        <v>45</v>
      </c>
      <c r="L16" s="8"/>
      <c r="M16" s="8"/>
      <c r="N16" s="5" t="s">
        <v>116</v>
      </c>
    </row>
    <row r="17" customFormat="false" ht="117.75" hidden="false" customHeight="true" outlineLevel="0" collapsed="false">
      <c r="A17" s="9" t="n">
        <v>12</v>
      </c>
      <c r="B17" s="10" t="s">
        <v>117</v>
      </c>
      <c r="C17" s="9" t="s">
        <v>118</v>
      </c>
      <c r="D17" s="9" t="s">
        <v>119</v>
      </c>
      <c r="E17" s="9" t="s">
        <v>120</v>
      </c>
      <c r="F17" s="9" t="s">
        <v>121</v>
      </c>
      <c r="G17" s="9" t="s">
        <v>122</v>
      </c>
      <c r="H17" s="9" t="s">
        <v>123</v>
      </c>
      <c r="I17" s="9" t="s">
        <v>124</v>
      </c>
      <c r="J17" s="9" t="s">
        <v>121</v>
      </c>
      <c r="K17" s="12" t="s">
        <v>125</v>
      </c>
      <c r="L17" s="8"/>
      <c r="M17" s="8"/>
      <c r="N17" s="9" t="s">
        <v>126</v>
      </c>
    </row>
    <row r="19" customFormat="false" ht="15" hidden="false" customHeight="false" outlineLevel="0" collapsed="false">
      <c r="A19" s="13" t="s">
        <v>127</v>
      </c>
    </row>
    <row r="20" customFormat="false" ht="15" hidden="false" customHeight="false" outlineLevel="0" collapsed="false">
      <c r="A20" s="14" t="s">
        <v>128</v>
      </c>
      <c r="C20" s="15" t="n">
        <f aca="false">COUNTA($B$6:$B$17)</f>
        <v>12</v>
      </c>
    </row>
    <row r="21" customFormat="false" ht="15" hidden="false" customHeight="false" outlineLevel="0" collapsed="false">
      <c r="A21" s="14" t="s">
        <v>129</v>
      </c>
      <c r="C21" s="15" t="n">
        <f aca="false">COUNTIF($K$6:$K$17,"grün")</f>
        <v>1</v>
      </c>
    </row>
    <row r="22" customFormat="false" ht="15" hidden="false" customHeight="false" outlineLevel="0" collapsed="false">
      <c r="A22" s="14" t="s">
        <v>130</v>
      </c>
      <c r="C22" s="15" t="n">
        <f aca="false">COUNTIF($K$6:$K$17,"gelb")</f>
        <v>7</v>
      </c>
    </row>
    <row r="23" customFormat="false" ht="15" hidden="false" customHeight="false" outlineLevel="0" collapsed="false">
      <c r="A23" s="14" t="s">
        <v>131</v>
      </c>
      <c r="C23" s="15" t="n">
        <f aca="false">COUNTIF($K$6:$K$17,"rot")</f>
        <v>4</v>
      </c>
    </row>
    <row r="24" customFormat="false" ht="15" hidden="false" customHeight="false" outlineLevel="0" collapsed="false">
      <c r="A24" s="14" t="s">
        <v>132</v>
      </c>
      <c r="C24" s="15" t="n">
        <f aca="false">COUNTIF($D$6:$D$17,"Niedersachsen")</f>
        <v>2</v>
      </c>
    </row>
    <row r="25" customFormat="false" ht="15" hidden="false" customHeight="false" outlineLevel="0" collapsed="false">
      <c r="A25" s="14" t="s">
        <v>133</v>
      </c>
      <c r="C25" s="15" t="n">
        <f aca="false">COUNTIF($D$6:$D$17,"Hessen")</f>
        <v>2</v>
      </c>
    </row>
    <row r="26" customFormat="false" ht="15" hidden="false" customHeight="false" outlineLevel="0" collapsed="false">
      <c r="A26" s="14" t="s">
        <v>134</v>
      </c>
      <c r="C26" s="15" t="n">
        <f aca="false">COUNTIF($M$6:$M$17,"bestätigt")</f>
        <v>0</v>
      </c>
    </row>
    <row r="27" customFormat="false" ht="15" hidden="false" customHeight="false" outlineLevel="0" collapsed="false">
      <c r="A27" s="15" t="s">
        <v>135</v>
      </c>
      <c r="C27" s="15" t="str">
        <f aca="false">IF(COUNTA($B$6:$B$17)&gt;=8,"erfüllt","PRÜFEN")</f>
        <v>erfüllt</v>
      </c>
    </row>
  </sheetData>
  <dataValidations count="1">
    <dataValidation allowBlank="true" errorStyle="stop" operator="between" showDropDown="false" showErrorMessage="false" showInputMessage="false" sqref="M6:M17" type="list">
      <formula1>"noch nicht geprüft,bestätigt,geändert,entfallen,nicht zutreffend"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3" min="2" style="0" width="46"/>
  </cols>
  <sheetData>
    <row r="1" customFormat="false" ht="19.7" hidden="false" customHeight="false" outlineLevel="0" collapsed="false">
      <c r="A1" s="1" t="s">
        <v>136</v>
      </c>
    </row>
    <row r="2" customFormat="false" ht="30" hidden="false" customHeight="true" outlineLevel="0" collapsed="false">
      <c r="A2" s="2" t="s">
        <v>137</v>
      </c>
    </row>
    <row r="4" customFormat="false" ht="16.15" hidden="false" customHeight="false" outlineLevel="0" collapsed="false">
      <c r="A4" s="16" t="s">
        <v>138</v>
      </c>
    </row>
    <row r="5" customFormat="false" ht="61.5" hidden="false" customHeight="true" outlineLevel="0" collapsed="false">
      <c r="A5" s="17" t="s">
        <v>139</v>
      </c>
      <c r="B5" s="17"/>
      <c r="C5" s="17"/>
    </row>
    <row r="6" customFormat="false" ht="16.15" hidden="false" customHeight="false" outlineLevel="0" collapsed="false">
      <c r="A6" s="16" t="s">
        <v>140</v>
      </c>
    </row>
    <row r="7" customFormat="false" ht="15" hidden="false" customHeight="false" outlineLevel="0" collapsed="false">
      <c r="A7" s="4" t="s">
        <v>141</v>
      </c>
      <c r="B7" s="4" t="s">
        <v>19</v>
      </c>
      <c r="C7" s="4" t="s">
        <v>38</v>
      </c>
    </row>
    <row r="8" customFormat="false" ht="48" hidden="false" customHeight="true" outlineLevel="0" collapsed="false">
      <c r="A8" s="6" t="s">
        <v>142</v>
      </c>
      <c r="B8" s="5" t="s">
        <v>143</v>
      </c>
      <c r="C8" s="5" t="s">
        <v>144</v>
      </c>
    </row>
    <row r="9" customFormat="false" ht="48" hidden="false" customHeight="true" outlineLevel="0" collapsed="false">
      <c r="A9" s="10" t="s">
        <v>145</v>
      </c>
      <c r="B9" s="9" t="s">
        <v>146</v>
      </c>
      <c r="C9" s="9" t="s">
        <v>147</v>
      </c>
    </row>
    <row r="10" customFormat="false" ht="48" hidden="false" customHeight="true" outlineLevel="0" collapsed="false">
      <c r="A10" s="6" t="s">
        <v>148</v>
      </c>
      <c r="B10" s="5" t="s">
        <v>149</v>
      </c>
      <c r="C10" s="5" t="s">
        <v>150</v>
      </c>
    </row>
    <row r="11" customFormat="false" ht="48" hidden="false" customHeight="true" outlineLevel="0" collapsed="false">
      <c r="A11" s="10" t="s">
        <v>151</v>
      </c>
      <c r="B11" s="9" t="s">
        <v>152</v>
      </c>
      <c r="C11" s="9" t="s">
        <v>153</v>
      </c>
    </row>
    <row r="12" customFormat="false" ht="48" hidden="false" customHeight="true" outlineLevel="0" collapsed="false">
      <c r="A12" s="6" t="s">
        <v>154</v>
      </c>
      <c r="B12" s="5" t="s">
        <v>155</v>
      </c>
      <c r="C12" s="5" t="s">
        <v>156</v>
      </c>
    </row>
    <row r="13" customFormat="false" ht="48" hidden="false" customHeight="true" outlineLevel="0" collapsed="false">
      <c r="A13" s="10" t="s">
        <v>157</v>
      </c>
      <c r="B13" s="9" t="s">
        <v>158</v>
      </c>
      <c r="C13" s="9" t="s">
        <v>159</v>
      </c>
    </row>
    <row r="15" customFormat="false" ht="16.15" hidden="false" customHeight="false" outlineLevel="0" collapsed="false">
      <c r="A15" s="16" t="s">
        <v>160</v>
      </c>
    </row>
    <row r="16" customFormat="false" ht="61.5" hidden="false" customHeight="true" outlineLevel="0" collapsed="false">
      <c r="A16" s="18" t="s">
        <v>161</v>
      </c>
      <c r="B16" s="18"/>
      <c r="C16" s="18"/>
    </row>
    <row r="17" customFormat="false" ht="16.15" hidden="false" customHeight="false" outlineLevel="0" collapsed="false">
      <c r="A17" s="16" t="s">
        <v>162</v>
      </c>
    </row>
    <row r="18" customFormat="false" ht="15" hidden="false" customHeight="false" outlineLevel="0" collapsed="false">
      <c r="A18" s="4" t="s">
        <v>163</v>
      </c>
      <c r="B18" s="4" t="s">
        <v>164</v>
      </c>
      <c r="C18" s="4" t="s">
        <v>165</v>
      </c>
    </row>
    <row r="19" customFormat="false" ht="54" hidden="false" customHeight="true" outlineLevel="0" collapsed="false">
      <c r="A19" s="6" t="s">
        <v>166</v>
      </c>
      <c r="B19" s="5" t="s">
        <v>167</v>
      </c>
      <c r="C19" s="5" t="s">
        <v>168</v>
      </c>
    </row>
    <row r="20" customFormat="false" ht="54" hidden="false" customHeight="true" outlineLevel="0" collapsed="false">
      <c r="A20" s="10" t="s">
        <v>169</v>
      </c>
      <c r="B20" s="9" t="s">
        <v>170</v>
      </c>
      <c r="C20" s="9" t="s">
        <v>171</v>
      </c>
    </row>
    <row r="21" customFormat="false" ht="54" hidden="false" customHeight="true" outlineLevel="0" collapsed="false">
      <c r="A21" s="6" t="s">
        <v>172</v>
      </c>
      <c r="B21" s="5" t="s">
        <v>173</v>
      </c>
      <c r="C21" s="5" t="s">
        <v>174</v>
      </c>
    </row>
    <row r="23" customFormat="false" ht="16.15" hidden="false" customHeight="false" outlineLevel="0" collapsed="false">
      <c r="A23" s="16" t="s">
        <v>175</v>
      </c>
    </row>
    <row r="24" customFormat="false" ht="55.5" hidden="false" customHeight="true" outlineLevel="0" collapsed="false">
      <c r="A24" s="19" t="s">
        <v>176</v>
      </c>
      <c r="B24" s="19"/>
      <c r="C24" s="19"/>
    </row>
  </sheetData>
  <mergeCells count="3">
    <mergeCell ref="A5:C5"/>
    <mergeCell ref="A16:C16"/>
    <mergeCell ref="A24:C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4" min="3" style="0" width="58"/>
  </cols>
  <sheetData>
    <row r="1" customFormat="false" ht="19.7" hidden="false" customHeight="false" outlineLevel="0" collapsed="false">
      <c r="A1" s="1" t="s">
        <v>177</v>
      </c>
    </row>
    <row r="2" customFormat="false" ht="15" hidden="false" customHeight="false" outlineLevel="0" collapsed="false">
      <c r="A2" s="2" t="s">
        <v>178</v>
      </c>
    </row>
    <row r="4" customFormat="false" ht="16.15" hidden="false" customHeight="false" outlineLevel="0" collapsed="false">
      <c r="A4" s="16" t="s">
        <v>179</v>
      </c>
    </row>
    <row r="5" customFormat="false" ht="15" hidden="false" customHeight="false" outlineLevel="0" collapsed="false">
      <c r="A5" s="4" t="s">
        <v>180</v>
      </c>
      <c r="B5" s="4" t="s">
        <v>181</v>
      </c>
      <c r="C5" s="4" t="s">
        <v>182</v>
      </c>
      <c r="D5" s="4" t="s">
        <v>183</v>
      </c>
    </row>
    <row r="6" customFormat="false" ht="51.75" hidden="false" customHeight="true" outlineLevel="0" collapsed="false">
      <c r="A6" s="6" t="s">
        <v>184</v>
      </c>
      <c r="B6" s="5" t="s">
        <v>185</v>
      </c>
      <c r="C6" s="5" t="s">
        <v>186</v>
      </c>
      <c r="D6" s="5" t="s">
        <v>187</v>
      </c>
    </row>
    <row r="7" customFormat="false" ht="51.75" hidden="false" customHeight="true" outlineLevel="0" collapsed="false">
      <c r="A7" s="10" t="s">
        <v>188</v>
      </c>
      <c r="B7" s="9" t="s">
        <v>189</v>
      </c>
      <c r="C7" s="9" t="s">
        <v>190</v>
      </c>
      <c r="D7" s="9" t="s">
        <v>191</v>
      </c>
    </row>
    <row r="8" customFormat="false" ht="51.75" hidden="false" customHeight="true" outlineLevel="0" collapsed="false">
      <c r="A8" s="6" t="s">
        <v>192</v>
      </c>
      <c r="B8" s="5" t="s">
        <v>193</v>
      </c>
      <c r="C8" s="5" t="s">
        <v>194</v>
      </c>
      <c r="D8" s="5" t="s">
        <v>195</v>
      </c>
    </row>
    <row r="9" customFormat="false" ht="51.75" hidden="false" customHeight="true" outlineLevel="0" collapsed="false">
      <c r="A9" s="10" t="s">
        <v>196</v>
      </c>
      <c r="B9" s="9" t="s">
        <v>197</v>
      </c>
      <c r="C9" s="9" t="s">
        <v>198</v>
      </c>
      <c r="D9" s="9" t="s">
        <v>199</v>
      </c>
    </row>
    <row r="10" customFormat="false" ht="51.75" hidden="false" customHeight="true" outlineLevel="0" collapsed="false">
      <c r="A10" s="6" t="s">
        <v>200</v>
      </c>
      <c r="B10" s="5" t="s">
        <v>201</v>
      </c>
      <c r="C10" s="5" t="s">
        <v>202</v>
      </c>
      <c r="D10" s="5" t="s">
        <v>203</v>
      </c>
    </row>
    <row r="11" customFormat="false" ht="51.75" hidden="false" customHeight="true" outlineLevel="0" collapsed="false">
      <c r="A11" s="10" t="s">
        <v>204</v>
      </c>
      <c r="B11" s="9" t="s">
        <v>205</v>
      </c>
      <c r="C11" s="9" t="s">
        <v>206</v>
      </c>
      <c r="D11" s="9" t="s">
        <v>207</v>
      </c>
    </row>
    <row r="13" customFormat="false" ht="16.15" hidden="false" customHeight="false" outlineLevel="0" collapsed="false">
      <c r="A13" s="16" t="s">
        <v>208</v>
      </c>
    </row>
    <row r="14" customFormat="false" ht="15" hidden="false" customHeight="false" outlineLevel="0" collapsed="false">
      <c r="A14" s="4" t="s">
        <v>3</v>
      </c>
      <c r="B14" s="4" t="s">
        <v>16</v>
      </c>
      <c r="C14" s="4" t="s">
        <v>209</v>
      </c>
      <c r="D14" s="4" t="s">
        <v>210</v>
      </c>
    </row>
    <row r="15" customFormat="false" ht="31.5" hidden="false" customHeight="true" outlineLevel="0" collapsed="false">
      <c r="A15" s="6" t="s">
        <v>211</v>
      </c>
      <c r="B15" s="5" t="s">
        <v>212</v>
      </c>
      <c r="C15" s="5" t="s">
        <v>213</v>
      </c>
      <c r="D15" s="5" t="s">
        <v>214</v>
      </c>
    </row>
    <row r="16" customFormat="false" ht="31.5" hidden="false" customHeight="true" outlineLevel="0" collapsed="false">
      <c r="A16" s="10" t="s">
        <v>215</v>
      </c>
      <c r="B16" s="9" t="s">
        <v>216</v>
      </c>
      <c r="C16" s="9" t="s">
        <v>217</v>
      </c>
      <c r="D16" s="9" t="s">
        <v>218</v>
      </c>
    </row>
    <row r="17" customFormat="false" ht="31.5" hidden="false" customHeight="true" outlineLevel="0" collapsed="false">
      <c r="A17" s="6" t="s">
        <v>219</v>
      </c>
      <c r="B17" s="5" t="s">
        <v>220</v>
      </c>
      <c r="C17" s="5" t="s">
        <v>221</v>
      </c>
      <c r="D17" s="5" t="s">
        <v>222</v>
      </c>
    </row>
    <row r="18" customFormat="false" ht="31.5" hidden="false" customHeight="true" outlineLevel="0" collapsed="false">
      <c r="A18" s="10" t="s">
        <v>223</v>
      </c>
      <c r="B18" s="9" t="s">
        <v>224</v>
      </c>
      <c r="C18" s="9" t="s">
        <v>225</v>
      </c>
      <c r="D18" s="9" t="s">
        <v>226</v>
      </c>
    </row>
    <row r="19" customFormat="false" ht="31.5" hidden="false" customHeight="true" outlineLevel="0" collapsed="false">
      <c r="A19" s="6" t="s">
        <v>227</v>
      </c>
      <c r="B19" s="5" t="s">
        <v>228</v>
      </c>
      <c r="C19" s="5" t="s">
        <v>229</v>
      </c>
      <c r="D19" s="5" t="s">
        <v>230</v>
      </c>
    </row>
    <row r="20" customFormat="false" ht="31.5" hidden="false" customHeight="true" outlineLevel="0" collapsed="false">
      <c r="A20" s="10" t="s">
        <v>231</v>
      </c>
      <c r="B20" s="9" t="s">
        <v>232</v>
      </c>
      <c r="C20" s="9" t="s">
        <v>233</v>
      </c>
      <c r="D20" s="9" t="s">
        <v>234</v>
      </c>
    </row>
    <row r="21" customFormat="false" ht="31.5" hidden="false" customHeight="true" outlineLevel="0" collapsed="false">
      <c r="A21" s="6" t="s">
        <v>235</v>
      </c>
      <c r="B21" s="5" t="s">
        <v>236</v>
      </c>
      <c r="C21" s="5" t="s">
        <v>237</v>
      </c>
      <c r="D21" s="5" t="s">
        <v>238</v>
      </c>
    </row>
    <row r="22" customFormat="false" ht="31.5" hidden="false" customHeight="true" outlineLevel="0" collapsed="false">
      <c r="A22" s="10" t="s">
        <v>239</v>
      </c>
      <c r="B22" s="9" t="s">
        <v>240</v>
      </c>
      <c r="C22" s="9" t="s">
        <v>241</v>
      </c>
      <c r="D22" s="9" t="s">
        <v>242</v>
      </c>
    </row>
    <row r="23" customFormat="false" ht="31.5" hidden="false" customHeight="true" outlineLevel="0" collapsed="false">
      <c r="A23" s="6" t="s">
        <v>243</v>
      </c>
      <c r="B23" s="5" t="s">
        <v>244</v>
      </c>
      <c r="C23" s="5" t="s">
        <v>245</v>
      </c>
      <c r="D23" s="5" t="s">
        <v>246</v>
      </c>
    </row>
    <row r="24" customFormat="false" ht="31.5" hidden="false" customHeight="true" outlineLevel="0" collapsed="false">
      <c r="A24" s="10" t="s">
        <v>247</v>
      </c>
      <c r="B24" s="9" t="s">
        <v>248</v>
      </c>
      <c r="C24" s="9" t="s">
        <v>249</v>
      </c>
      <c r="D24" s="9" t="s">
        <v>250</v>
      </c>
    </row>
    <row r="25" customFormat="false" ht="31.5" hidden="false" customHeight="true" outlineLevel="0" collapsed="false">
      <c r="A25" s="6" t="s">
        <v>81</v>
      </c>
      <c r="B25" s="5" t="s">
        <v>251</v>
      </c>
      <c r="C25" s="5" t="s">
        <v>252</v>
      </c>
      <c r="D25" s="5" t="s">
        <v>253</v>
      </c>
    </row>
    <row r="26" customFormat="false" ht="31.5" hidden="false" customHeight="true" outlineLevel="0" collapsed="false">
      <c r="A26" s="10" t="s">
        <v>254</v>
      </c>
      <c r="B26" s="9" t="s">
        <v>255</v>
      </c>
      <c r="C26" s="9" t="s">
        <v>256</v>
      </c>
      <c r="D26" s="9" t="s">
        <v>257</v>
      </c>
    </row>
    <row r="27" customFormat="false" ht="31.5" hidden="false" customHeight="true" outlineLevel="0" collapsed="false">
      <c r="A27" s="6" t="s">
        <v>258</v>
      </c>
      <c r="B27" s="5" t="s">
        <v>259</v>
      </c>
      <c r="C27" s="5" t="s">
        <v>260</v>
      </c>
      <c r="D27" s="5" t="s">
        <v>261</v>
      </c>
    </row>
    <row r="28" customFormat="false" ht="31.5" hidden="false" customHeight="true" outlineLevel="0" collapsed="false">
      <c r="A28" s="10" t="s">
        <v>97</v>
      </c>
      <c r="B28" s="9" t="s">
        <v>262</v>
      </c>
      <c r="C28" s="9" t="s">
        <v>263</v>
      </c>
      <c r="D28" s="9" t="s">
        <v>264</v>
      </c>
    </row>
    <row r="29" customFormat="false" ht="31.5" hidden="false" customHeight="true" outlineLevel="0" collapsed="false">
      <c r="A29" s="6" t="s">
        <v>265</v>
      </c>
      <c r="B29" s="5" t="s">
        <v>266</v>
      </c>
      <c r="C29" s="5" t="s">
        <v>267</v>
      </c>
      <c r="D29" s="5" t="s">
        <v>268</v>
      </c>
    </row>
    <row r="30" customFormat="false" ht="31.5" hidden="false" customHeight="true" outlineLevel="0" collapsed="false">
      <c r="A30" s="10" t="s">
        <v>269</v>
      </c>
      <c r="B30" s="9" t="s">
        <v>270</v>
      </c>
      <c r="C30" s="9" t="s">
        <v>271</v>
      </c>
      <c r="D30" s="9" t="s">
        <v>272</v>
      </c>
    </row>
    <row r="31" customFormat="false" ht="31.5" hidden="false" customHeight="true" outlineLevel="0" collapsed="false">
      <c r="A31" s="6" t="s">
        <v>116</v>
      </c>
      <c r="B31" s="5" t="s">
        <v>273</v>
      </c>
      <c r="C31" s="5" t="s">
        <v>274</v>
      </c>
      <c r="D31" s="5" t="s">
        <v>275</v>
      </c>
    </row>
    <row r="33" customFormat="false" ht="16.15" hidden="false" customHeight="false" outlineLevel="0" collapsed="false">
      <c r="A33" s="16" t="s">
        <v>276</v>
      </c>
    </row>
    <row r="34" customFormat="false" ht="15" hidden="false" customHeight="false" outlineLevel="0" collapsed="false">
      <c r="A34" s="4" t="s">
        <v>277</v>
      </c>
      <c r="B34" s="4" t="s">
        <v>278</v>
      </c>
    </row>
    <row r="35" customFormat="false" ht="43.5" hidden="false" customHeight="true" outlineLevel="0" collapsed="false">
      <c r="A35" s="6" t="s">
        <v>279</v>
      </c>
      <c r="B35" s="5" t="s">
        <v>280</v>
      </c>
    </row>
    <row r="36" customFormat="false" ht="43.5" hidden="false" customHeight="true" outlineLevel="0" collapsed="false">
      <c r="A36" s="10" t="s">
        <v>281</v>
      </c>
      <c r="B36" s="9" t="s">
        <v>282</v>
      </c>
    </row>
    <row r="37" customFormat="false" ht="43.5" hidden="false" customHeight="true" outlineLevel="0" collapsed="false">
      <c r="A37" s="6" t="s">
        <v>283</v>
      </c>
      <c r="B37" s="5" t="s">
        <v>284</v>
      </c>
    </row>
    <row r="38" customFormat="false" ht="43.5" hidden="false" customHeight="true" outlineLevel="0" collapsed="false">
      <c r="A38" s="10" t="s">
        <v>285</v>
      </c>
      <c r="B38" s="9" t="s">
        <v>286</v>
      </c>
    </row>
    <row r="39" customFormat="false" ht="43.5" hidden="false" customHeight="true" outlineLevel="0" collapsed="false">
      <c r="A39" s="6" t="s">
        <v>287</v>
      </c>
      <c r="B39" s="5" t="s">
        <v>288</v>
      </c>
    </row>
    <row r="40" customFormat="false" ht="43.5" hidden="false" customHeight="true" outlineLevel="0" collapsed="false">
      <c r="A40" s="10" t="s">
        <v>289</v>
      </c>
      <c r="B40" s="9" t="s">
        <v>290</v>
      </c>
    </row>
    <row r="42" customFormat="false" ht="16.15" hidden="false" customHeight="false" outlineLevel="0" collapsed="false">
      <c r="A42" s="16" t="s">
        <v>291</v>
      </c>
    </row>
    <row r="43" customFormat="false" ht="15" hidden="false" customHeight="false" outlineLevel="0" collapsed="false">
      <c r="A43" s="4" t="s">
        <v>292</v>
      </c>
      <c r="B43" s="4" t="s">
        <v>293</v>
      </c>
    </row>
    <row r="44" customFormat="false" ht="31.5" hidden="false" customHeight="true" outlineLevel="0" collapsed="false">
      <c r="A44" s="6" t="s">
        <v>294</v>
      </c>
      <c r="B44" s="5" t="s">
        <v>295</v>
      </c>
    </row>
    <row r="45" customFormat="false" ht="31.5" hidden="false" customHeight="true" outlineLevel="0" collapsed="false">
      <c r="A45" s="10" t="s">
        <v>294</v>
      </c>
      <c r="B45" s="9" t="s">
        <v>296</v>
      </c>
    </row>
    <row r="46" customFormat="false" ht="31.5" hidden="false" customHeight="true" outlineLevel="0" collapsed="false">
      <c r="A46" s="6" t="s">
        <v>294</v>
      </c>
      <c r="B46" s="5" t="s">
        <v>297</v>
      </c>
    </row>
    <row r="47" customFormat="false" ht="31.5" hidden="false" customHeight="true" outlineLevel="0" collapsed="false">
      <c r="A47" s="10" t="s">
        <v>298</v>
      </c>
      <c r="B47" s="9" t="s">
        <v>299</v>
      </c>
    </row>
    <row r="48" customFormat="false" ht="31.5" hidden="false" customHeight="true" outlineLevel="0" collapsed="false">
      <c r="A48" s="6" t="s">
        <v>300</v>
      </c>
      <c r="B48" s="5" t="s">
        <v>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2026-07-26T18:02:38Z</dcterms:created>
  <dc:creator>openpyxl</dc:creator>
  <dc:description/>
  <dc:language>en-US</dc:language>
  <cp:lastModifiedBy/>
  <dcterms:modified xsi:type="dcterms:W3CDTF">2026-07-26T18:02:38Z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