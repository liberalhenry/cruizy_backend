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rgebnis" sheetId="1" state="visible" r:id="rId3"/>
    <sheet name="Kostenpositionen" sheetId="2" state="visible" r:id="rId4"/>
    <sheet name="Drei Zeitpunkte" sheetId="3" state="visible" r:id="rId5"/>
    <sheet name="Was man dafür bekommt" sheetId="4" state="visible" r:id="rId6"/>
    <sheet name="Quelle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<sst xmlns="http://schemas.openxmlformats.org/spreadsheetml/2006/main" count="280" uniqueCount="235">
  <si>
    <t xml:space="preserve">Kostenmodell „GmbH ohne Produkt“ — das Ergebnis</t>
  </si>
  <si>
    <t xml:space="preserve">Aufgabe A-26 · erstellt 27.07.2026 · Rolle: Finanzmodellierer · Fenster V0 · alle Zahlen per Websuche am 27.07.2026 belegt</t>
  </si>
  <si>
    <t xml:space="preserve">DIESES BLATT EMPFIEHLT KEINEN ZEITPUNKT. Die Aufgabenstellung verbietet das ausdrücklich, und zwar zu Recht: Der Gründungszeitpunkt ist eine gesellschaftsrechtliche und steuerliche Entscheidung, die die Gründer gemeinsam mit dem Anwalt treffen. Dieses Modell stellt gegenüber, damit sie gerechnet und nicht gefühlt getroffen wird.</t>
  </si>
  <si>
    <t xml:space="preserve">Die eine Zahl</t>
  </si>
  <si>
    <t xml:space="preserve">Eine sofortige Gründung kostet bis zum Start mehr als eine Gründung kurz davor:</t>
  </si>
  <si>
    <t xml:space="preserve">Die drei Zeitpunkte auf einen Blick</t>
  </si>
  <si>
    <t xml:space="preserve">Größe</t>
  </si>
  <si>
    <t xml:space="preserve">S1 · sofort</t>
  </si>
  <si>
    <t xml:space="preserve">S2 · 1 Jahr vorher</t>
  </si>
  <si>
    <t xml:space="preserve">S3 · kurz vorher</t>
  </si>
  <si>
    <t xml:space="preserve">Anmerkung</t>
  </si>
  <si>
    <t xml:space="preserve">Monate mit Gesellschaft bis T0</t>
  </si>
  <si>
    <t xml:space="preserve">gezählt bis Sommer 2028</t>
  </si>
  <si>
    <t xml:space="preserve">Gesamtkosten bis T0</t>
  </si>
  <si>
    <t xml:space="preserve">mit den aktuell gesetzten Schaltern</t>
  </si>
  <si>
    <t xml:space="preserve">günstigster Fall</t>
  </si>
  <si>
    <t xml:space="preserve">alle vier Zweifelsfragen fallen zu unseren Gunsten aus</t>
  </si>
  <si>
    <t xml:space="preserve">ungünstigster Fall</t>
  </si>
  <si>
    <t xml:space="preserve">alle vier fallen ungünstig aus</t>
  </si>
  <si>
    <t xml:space="preserve">Die vier Fragen, an denen die Spanne hängt</t>
  </si>
  <si>
    <t xml:space="preserve">Zwischen bestem und schlechtestem Fall liegt bei sofortiger Gründung ein fünfstelliger Betrag. Er hängt an vier Fragen, die heute alle klärbar sind:
1 · Ist ein externer Datenschutzbeauftragter schon vor dem Produktivbetrieb pflichtig? Art. 37 Abs. 1 lit. c DSGVO knüpft an die Kerntätigkeit an — eine Gesellschaft ohne Verarbeitung hat keine. Das ist Frage W1 aus A-11.
2 · Braucht eine Gesellschaft ohne Telemedienangebot einen Jugendschutzbeauftragten? § 7 JMStV setzt ein laufendes Angebot voraus.
3 · Ist eine Cyber- und Betriebshaftpflicht vor dem Start sinnvoll, wenn es weder Nutzer noch Daten gibt?
4 · Fällt die Familienversicherung durch die Geschäftsführerstellung weg, auch ohne Gehalt und während der Ausbildung? Offene Entscheidung Nr. 25. Diese Frage allein bewegt bei 24 Monaten 9.600 €.
Drei davon gehören in den Anwaltstermin, eine an die Krankenkasse — und zwar schriftlich.</t>
  </si>
  <si>
    <t xml:space="preserve">Verhältnis zum Finanzmodell A-13 — bitte vor dem Addieren lesen</t>
  </si>
  <si>
    <t xml:space="preserve">HIER LAUERT EIN DOPPELZÄHLUNGSFEHLER. Das Finanzmodell in `finanzmodell.xlsx` beginnt mit Monat 1 = T0. Alles, was VOR T0 anfällt, steht dort nicht — mit einer Ausnahme: Die einmaligen Gründungskosten (2.600 € für Notar, Handelsregister und Gesellschaftsvertrag) sind in A-13 als Einmalkosten in Monat 1 enthalten. Sie sind hier dieselbe Ausgabe, nur genauer aufgeschlüsselt.
Wer die beiden Modelle zusammenrechnet, geht deshalb so vor:</t>
  </si>
  <si>
    <t xml:space="preserve">Rechenschritt</t>
  </si>
  <si>
    <t xml:space="preserve">Erläuterung</t>
  </si>
  <si>
    <t xml:space="preserve">Gesamtkosten bis T0 aus diesem Modell</t>
  </si>
  <si>
    <t xml:space="preserve">alles, was die Rechtsform vor dem Start kostet</t>
  </si>
  <si>
    <t xml:space="preserve">abzüglich der einmaligen Gründungskosten</t>
  </si>
  <si>
    <t xml:space="preserve">sie stecken bereits in den Einmalkosten von A-13, Monat 1</t>
  </si>
  <si>
    <t xml:space="preserve">ZUSÄTZLICHER Kapitalbedarf VOR T0</t>
  </si>
  <si>
    <t xml:space="preserve">Dieser Betrag kommt zum Kapitalbedarf aus A-13 hinzu und ist dort nirgends enthalten.</t>
  </si>
  <si>
    <t xml:space="preserve">ZUR EINORDNUNG: Der Kapitalbedarf aus A-13 beträgt im realistischen Szenario rund 107.000 € für die Firma, rund 165.000 € einschließlich der Lebenshaltung beider Gründer. Die Beträge auf diesem Blatt kommen hinzu — sie sind gemessen daran klein. Das ist selbst ein Ergebnis: Der Gründungszeitpunkt ist keine Frage des Geldes allein. Die 16.773 € Unterschied wiegen weniger als die Förderansprüche, die eine frühe Gründung vernichtet. Siehe Blatt „Was man dafür bekommt“.</t>
  </si>
  <si>
    <t xml:space="preserve">Wie dieses Modell aufgebaut ist</t>
  </si>
  <si>
    <t xml:space="preserve">Blatt</t>
  </si>
  <si>
    <t xml:space="preserve">Was darin steht</t>
  </si>
  <si>
    <t xml:space="preserve">Kostenpositionen</t>
  </si>
  <si>
    <t xml:space="preserve">Jede Position einzeln mit Betrag, Quelle und — bei den vier strittigen — einem gelben Schalter.</t>
  </si>
  <si>
    <t xml:space="preserve">Drei Zeitpunkte</t>
  </si>
  <si>
    <t xml:space="preserve">Die Rechnung. Gesamtkosten je Zeitpunkt, Differenz, Bandbreite zwischen bestem und schlechtestem Fall.</t>
  </si>
  <si>
    <t xml:space="preserve">Was man dafür bekommt</t>
  </si>
  <si>
    <t xml:space="preserve">Die nicht-monetäre Seite: Haftungsschutz, Förderfähigkeit, Vertragsfähigkeit, Marke, Außenwirkung — je Zeitpunkt bewertet.</t>
  </si>
  <si>
    <t xml:space="preserve">Quellen</t>
  </si>
  <si>
    <t xml:space="preserve">Jede externe Zahl mit Fundstelle und Abrufdatum.</t>
  </si>
  <si>
    <t xml:space="preserve">Jede Position einzeln, mit Quelle</t>
  </si>
  <si>
    <t xml:space="preserve">Blau = Stellhebel. Gelb = Schalter für die drei strittigen Positionen. Spalte E nennt die Herkunft jeder Zahl.</t>
  </si>
  <si>
    <t xml:space="preserve">1 · Einmalige Gründungskosten</t>
  </si>
  <si>
    <t xml:space="preserve">Position</t>
  </si>
  <si>
    <t xml:space="preserve">Betrag</t>
  </si>
  <si>
    <t xml:space="preserve">Art</t>
  </si>
  <si>
    <t xml:space="preserve">Quelle</t>
  </si>
  <si>
    <t xml:space="preserve">Notar — Beurkundung individueller Gesellschaftsvertrag, brutto</t>
  </si>
  <si>
    <t xml:space="preserve">gesetzlich</t>
  </si>
  <si>
    <t xml:space="preserve">GNotKG Anlage 2 Tabelle B, § 107 GNotKG: 2,0-Gebühr auf einen Mindestgeschäftswert von 30.000 € = 250 € netto, zzgl. Vollzug, Betreuung, HR-Anmeldung, XML-Strukturdaten, Auslagen und 19 % USt. Stand 2026.</t>
  </si>
  <si>
    <t xml:space="preserve">Handelsregister — Ersteintragung bei Bargründung</t>
  </si>
  <si>
    <t xml:space="preserve">HRegGebV Nr. 2100. Bundeseinheitlich, ohne Umsatzsteuer. Bei Sachgründung wären es 360 € (Nr. 2101).</t>
  </si>
  <si>
    <t xml:space="preserve">Gewerbeanmeldung</t>
  </si>
  <si>
    <t xml:space="preserve">Rahmen 20–60 € je nach Kommune. Mittelwert angesetzt.</t>
  </si>
  <si>
    <t xml:space="preserve">Anwaltliche Gestaltung des Gesellschaftsvertrags</t>
  </si>
  <si>
    <t xml:space="preserve">verhandelbar</t>
  </si>
  <si>
    <t xml:space="preserve">ABGELEITET: Handbuch B setzt 2.600 € für „Notar, Handelsregister, Gesellschaftsvertrag" an. Die gesetzlichen Gebühren betragen 741 €. Die Differenz ist die anwaltliche Gestaltung — Vesting, Stichentscheid, Vinkulierung. Der Notar beurkundet; entworfen wird der Vertrag üblicherweise anwaltlich.</t>
  </si>
  <si>
    <t xml:space="preserve">Summe einmalig</t>
  </si>
  <si>
    <t xml:space="preserve">davon gesetzlich unvermeidbar</t>
  </si>
  <si>
    <t xml:space="preserve">davon verhandelbar</t>
  </si>
  <si>
    <t xml:space="preserve">ABGLEICH: Handbuch B setzt für „Notar, Handelsregister, Gesellschaftsvertrag“ pauschal 2.600 € an. Die Rechnung von unten ergibt 2.641 € — 1,6 % Abweichung. Der Wert stimmt also. Bemerkenswert ist seine ZUSAMMENSETZUNG: Nur 741 € sind gesetzliche Gebühren, die niemand verhandeln kann. Die übrigen rund 1.900 € sind anwaltliche Gestaltung des Gesellschaftsvertrags. Handbuch B nennt das nicht getrennt, und genau dort liegt der einzige Spielraum. Wer stattdessen das Musterprotokoll nähme, spart die 1.900 € fast vollständig — verliert aber Vesting und Stichentscheid. Handbuch B nennt das selbst „den teuersten Sparbetrag im ganzen Plan“, und das ist bei zwei Gründern richtig.</t>
  </si>
  <si>
    <t xml:space="preserve">2 · Laufende Kosten je Monat — GmbH ohne Produkt</t>
  </si>
  <si>
    <t xml:space="preserve">je Monat</t>
  </si>
  <si>
    <t xml:space="preserve">pflichtig</t>
  </si>
  <si>
    <t xml:space="preserve">Schalter (1 = fällt an)</t>
  </si>
  <si>
    <t xml:space="preserve">Quelle und Vorbehalt</t>
  </si>
  <si>
    <t xml:space="preserve">Buchhaltung, laufende Steuerberatung</t>
  </si>
  <si>
    <t xml:space="preserve">ja</t>
  </si>
  <si>
    <t xml:space="preserve">Handbuch B, Kostenstaffel Spalte „Vor Launch". Eine GmbH ist buchführungspflichtig, auch ohne Umsatz.</t>
  </si>
  <si>
    <t xml:space="preserve">Geschäftskonto</t>
  </si>
  <si>
    <t xml:space="preserve">Marktvergleiche 2026: Kontoführung meist 5–30 €/Monat; kostenlose Konten mit Inklusivvolumen existieren und stehen laut Anbieterangaben auch der GmbH offen (Finom, FYRST, Holvi, Qonto). 10 € vorsichtig angesetzt.</t>
  </si>
  <si>
    <t xml:space="preserve">Ladungsfähige Geschäftsadresse</t>
  </si>
  <si>
    <t xml:space="preserve">A-04, `impressumsloesung-vergleich.md`: 3,33 € bis 6,70 € je Monat bei den geprüften Anbietern. Oberer Wert angesetzt.</t>
  </si>
  <si>
    <t xml:space="preserve">Cyber- und Betriebshaftpflicht</t>
  </si>
  <si>
    <t xml:space="preserve">nein</t>
  </si>
  <si>
    <t xml:space="preserve">Handbuch B, Kostenstaffel. FRAGLICH vor dem Produktivbetrieb: Eine Gesellschaft ohne Nutzer, ohne Daten und ohne Dienst hat kaum ein versicherbares Risiko. Als Schalter ausgeführt.</t>
  </si>
  <si>
    <t xml:space="preserve">Externer Datenschutzbeauftragter</t>
  </si>
  <si>
    <t xml:space="preserve">Handbuch B setzt 250 € an. A-11 hat den Markt geprüft: 60–120 € für 1–10 Beschäftigte. OB ÜBERHAUPT PFLICHTIG, ist offen (Frage W1 aus A-11): Art. 37 Abs. 1 lit. c DSGVO knüpft an die Kerntätigkeit an. Eine GmbH ohne Produkt verarbeitet nichts. Als Schalter ausgeführt.</t>
  </si>
  <si>
    <t xml:space="preserve">Jugendschutzbeauftragter</t>
  </si>
  <si>
    <t xml:space="preserve">Handbuch B, Kostenstaffel Spalte „Vor Launch". § 7 JMStV knüpft an ein laufendes Telemedienangebot an — vor dem Start gibt es keines. Als Schalter ausgeführt.</t>
  </si>
  <si>
    <t xml:space="preserve">Summe je Monat (mit den gesetzten Schaltern)</t>
  </si>
  <si>
    <t xml:space="preserve">zum Vergleich: alle drei Schalter aus</t>
  </si>
  <si>
    <t xml:space="preserve">zum Vergleich: alle drei Schalter an</t>
  </si>
  <si>
    <t xml:space="preserve">DIE DREI SCHALTER SIND DER KERN DIESES BLATTES. Handbuch B setzt in der Spalte „Vor Launch“ 1.420 € je Monat an — darin stecken aber auch Hosting, Werkzeuge, KI-Zugänge und Marketing, die eine Gesellschaft ohne Produkt nicht braucht. Bleiben die Positionen, die wirklich an der Rechtsform hängen. Und bei dreien davon ist zweifelhaft, ob sie vor dem Start überhaupt anfallen:\n\n• DATENSCHUTZBEAUFTRAGTER: Art. 37 Abs. 1 lit. c DSGVO knüpft an die KERNTÄTIGKEIT an. Eine Gesellschaft, die noch nichts verarbeitet, hat keine. Das ist Frage W1 aus dem Fragenkatalog A-11 — dort ausdrücklich als Kompetenztest gestellt, weil viele Anbieter reflexartig „ab Tag 1“ antworten.\n• JUGENDSCHUTZBEAUFTRAGTER: § 7 JMStV knüpft an ein laufendes Telemedienangebot an. Vor dem Start gibt es keines.\n• VERSICHERUNGEN: Eine Gesellschaft ohne Nutzer, ohne Daten und ohne Dienst hat kaum ein versicherbares Risiko. Eine Betriebshaftpflicht kann trotzdem sinnvoll sein, sobald Verträge geschlossen werden.\n\nZusammen machen diese drei Positionen 550 € im Monat aus — bei 24 Monaten sind das 13.200 €. Die Frage, ob sie anfallen, ist damit teurer als die gesamte Gründung.</t>
  </si>
  <si>
    <t xml:space="preserve">3 · Jährliche Kosten</t>
  </si>
  <si>
    <t xml:space="preserve">je Jahr</t>
  </si>
  <si>
    <t xml:space="preserve">Jahresabschluss durch Steuerberater</t>
  </si>
  <si>
    <t xml:space="preserve">Marktübersicht 2026: Kleinstkapitalgesellschaft 1.500–3.000 € netto; kleine GmbH mit Bilanzsumme bis 100.000 € eher 800–2.000 €. Unterer Rand angesetzt, weil eine GmbH ohne Geschäftsbetrieb der einfachste denkbare Fall ist.</t>
  </si>
  <si>
    <t xml:space="preserve">Hinterlegung beim Bundesanzeiger</t>
  </si>
  <si>
    <t xml:space="preserve">Kleinstkapitalgesellschaften nach § 267a HGB hinterlegen nur, statt offenzulegen. Gebühr rund 37 €; wer ausschließlich die Bilanz einreicht, zahlt seit 2026 keine Einreichungsgebühr.</t>
  </si>
  <si>
    <t xml:space="preserve">IHK-Grundbeitrag</t>
  </si>
  <si>
    <t xml:space="preserve">Jede IHK setzt den Grundbeitrag in ihrer Wirtschaftssatzung selbst fest; die Spanne reicht von rund 64 € bis über 300 €. 200 € als vorsichtiger Mittelwert. VOR DER GRÜNDUNG in der Wirtschaftssatzung der zuständigen Kammer nachlesen.</t>
  </si>
  <si>
    <t xml:space="preserve">Summe je Jahr</t>
  </si>
  <si>
    <t xml:space="preserve">4 · Privatkosten, die an der Gründung hängen</t>
  </si>
  <si>
    <t xml:space="preserve">Anzahl</t>
  </si>
  <si>
    <t xml:space="preserve">Krankenversicherung je Gründer und Monat</t>
  </si>
  <si>
    <t xml:space="preserve">Handbuch B: rund 200 € je Person. Als Geschäftsführer einer GmbH ohne Gehalt weder pflicht- noch dauerhaft familienversichert. HÄNGT AN DER GRÜNDUNG: Ohne Gesellschaft bleibt die Familienversicherung bestehen. Offene Entscheidung Nr. 25.</t>
  </si>
  <si>
    <t xml:space="preserve">VOREINGESTELLT AUF 0, UND ZWAR BEWUSST. Handbuch B rechnet mit 200 € je Person, weil Geschäftsführer einer GmbH ohne Gehalt weder pflicht- noch dauerhaft familienversichert sind. Bei zwei Schülern beziehungsweise Studierenden ist das aber nicht ausgemacht: Solange die Ausbildung läuft und keine hauptberufliche Selbständigkeit vorliegt, kann die Familienversicherung bestehen bleiben. Das ist offene Entscheidung Nr. 25 und muss VOR der Gründung mit der Krankenkasse geklärt werden — schriftlich, nicht am Telefon. Bei 24 Monaten und zwei Personen geht es um 9.600 €, also um mehr als das Dreifache der gesamten Gründungskosten. Auf 1 gesetzt zeigt das Modell den ungünstigen Fall.</t>
  </si>
  <si>
    <t xml:space="preserve">Was jeder Gründungszeitpunkt bis zum Start kostet</t>
  </si>
  <si>
    <t xml:space="preserve">T0 = Sommer 2028. Alles rechnet sich aus dem Blatt „Kostenpositionen“. Die Zeile ganz unten ist die Antwort auf die Aufgabenstellung.</t>
  </si>
  <si>
    <t xml:space="preserve">Gründung im Zeitraum</t>
  </si>
  <si>
    <t xml:space="preserve">27.07.2026</t>
  </si>
  <si>
    <t xml:space="preserve">Sommer 2027</t>
  </si>
  <si>
    <t xml:space="preserve">Frühjahr 2028</t>
  </si>
  <si>
    <t xml:space="preserve">T0 = Sommer 2028</t>
  </si>
  <si>
    <t xml:space="preserve">Monate mit bestehender Gesellschaft bis T0</t>
  </si>
  <si>
    <t xml:space="preserve">blaues Feld — änderbar, wenn sich die Zeitachse verschiebt</t>
  </si>
  <si>
    <t xml:space="preserve">davon Geschäftsjahre mit Jahresabschluss</t>
  </si>
  <si>
    <t xml:space="preserve">Auch ein Rumpfgeschäftsjahr von drei Monaten verlangt einen Jahresabschluss. Deshalb mindestens 1.</t>
  </si>
  <si>
    <t xml:space="preserve">Kostenblöcke</t>
  </si>
  <si>
    <t xml:space="preserve">Einmalige Gründungskosten</t>
  </si>
  <si>
    <t xml:space="preserve">fallen in jedem Fall an, nur zu unterschiedlichen Zeitpunkten</t>
  </si>
  <si>
    <t xml:space="preserve">Laufende Kosten der Gesellschaft</t>
  </si>
  <si>
    <t xml:space="preserve">Monate × Monatssumme mit den gesetzten Schaltern</t>
  </si>
  <si>
    <t xml:space="preserve">Jahresabschlüsse, Hinterlegung, IHK</t>
  </si>
  <si>
    <t xml:space="preserve">je angefangenem Geschäftsjahr</t>
  </si>
  <si>
    <t xml:space="preserve">Krankenversicherung beider Gründer</t>
  </si>
  <si>
    <t xml:space="preserve">nur wenn der Schalter auf dem Blatt „Kostenpositionen“ auf 1 steht — siehe offene Entscheidung Nr. 25</t>
  </si>
  <si>
    <t xml:space="preserve">GESAMTKOSTEN BIS T0</t>
  </si>
  <si>
    <t xml:space="preserve">Alles, was die Rechtsform bis zum Start kostet — ohne Produktentwicklung, ohne Marketing, ohne Lebenshaltung.</t>
  </si>
  <si>
    <t xml:space="preserve">Die Antwort auf die Aufgabenstellung</t>
  </si>
  <si>
    <t xml:space="preserve">MEHRKOSTEN EINER SOFORTIGEN GRÜNDUNG GEGENÜBER EINER GRÜNDUNG KURZ VOR DEM START</t>
  </si>
  <si>
    <t xml:space="preserve">Das ist die eine Zahl, die die Aufgabe verlangt.</t>
  </si>
  <si>
    <t xml:space="preserve">Mehrkosten S2 gegenüber S3</t>
  </si>
  <si>
    <t xml:space="preserve">eine Gründung ein Jahr vorher gegenüber kurz vorher</t>
  </si>
  <si>
    <t xml:space="preserve">Bandbreite, weil drei Positionen strittig sind</t>
  </si>
  <si>
    <t xml:space="preserve">Variante</t>
  </si>
  <si>
    <t xml:space="preserve">Bedeutung</t>
  </si>
  <si>
    <t xml:space="preserve">günstigster Fall: DSB, Jugendschutz, Versicherung und Krankenversicherung entfallen alle</t>
  </si>
  <si>
    <t xml:space="preserve">Alle vier Zweifelsfragen fallen zu unseren Gunsten aus.</t>
  </si>
  <si>
    <t xml:space="preserve">ungünstigster Fall: alles fällt an, einschließlich Krankenversicherung</t>
  </si>
  <si>
    <t xml:space="preserve">Alle vier fallen ungünstig aus.</t>
  </si>
  <si>
    <t xml:space="preserve">Spanne zwischen beiden</t>
  </si>
  <si>
    <t xml:space="preserve">So viel hängt an vier Fragen, die heute mit vier Telefonaten und einem Anwaltstermin klärbar wären.</t>
  </si>
  <si>
    <t xml:space="preserve">WAS DIESE TABELLE NICHT SAGT: Sie empfiehlt keinen Zeitpunkt. Kosten sind nur eine von vier Größen — die anderen drei stehen auf dem Blatt „Was man dafür bekommt“, und eine davon dreht das Vorzeichen um: Eine frühe Gründung VERNICHTET Ansprüche auf EXIST und das Gründungsstipendium Niedersachsen, die zusammen deutlich mehr wert sind als die hier gerechneten Mehrkosten. Wer nur auf diese Tabelle schaut, trifft die Entscheidung auf halber Grundlage.</t>
  </si>
  <si>
    <t xml:space="preserve">Die andere Hälfte der Entscheidung</t>
  </si>
  <si>
    <t xml:space="preserve">Kosten sind nur eine Größe. Diese Seite listet, was eine frühe Gründung bringt — und wo sie schadet.</t>
  </si>
  <si>
    <t xml:space="preserve">Was</t>
  </si>
  <si>
    <t xml:space="preserve">Worum es geht</t>
  </si>
  <si>
    <t xml:space="preserve">S1 sofort</t>
  </si>
  <si>
    <t xml:space="preserve">S2 1 Jahr</t>
  </si>
  <si>
    <t xml:space="preserve">S3 kurz vorher</t>
  </si>
  <si>
    <t xml:space="preserve">Einordnung</t>
  </si>
  <si>
    <t xml:space="preserve">Haftungsschutz</t>
  </si>
  <si>
    <t xml:space="preserve">Ab Eintragung ins Handelsregister haftet die Gesellschaft, nicht ihr persönlich. VORHER: In der Vorbereitungsphase bildet ihr vermutlich eine GbR mit unbeschränkter persönlicher Haftung (offene Entscheidung Nr. 26, Anwaltsakte B3). Zwischen Beurkundung und Eintragung besteht zudem die Vor-GmbH, in der die Handelnden persönlich haften.</t>
  </si>
  <si>
    <t xml:space="preserve">hoch</t>
  </si>
  <si>
    <t xml:space="preserve">gering</t>
  </si>
  <si>
    <t xml:space="preserve">Solange kein Produkt läuft, ist das Haftungsrisiko überschaubar: keine Nutzer, keine Daten, keine Verträge mit Verbrauchern. Es steigt genau dann, wenn die ersten Verträge geschlossen werden.</t>
  </si>
  <si>
    <t xml:space="preserve">Förderfähigkeit — Programme, die eine Gesellschaft VERLANGEN</t>
  </si>
  <si>
    <t xml:space="preserve">KfW Award Gründen (Gründung ab 2021), OUT OF THE BOX.NRW (gegründete digitale Start-ups), push! Hessen, Mikromezzaninfonds, ERP-Förderkredite, Bürgschaftsbank.</t>
  </si>
  <si>
    <t xml:space="preserve">mittel</t>
  </si>
  <si>
    <t xml:space="preserve">Diese Programme greifen alle erst NACH dem Start. Eine frühe Gründung bringt hier keinen Vorteil, weil die übrigen Voraussetzungen ohnehin fehlen.</t>
  </si>
  <si>
    <t xml:space="preserve">Förderfähigkeit — Programme, die eine Gesellschaft AUSSCHLIESSEN</t>
  </si>
  <si>
    <t xml:space="preserve">EXIST-Gründungsstipendium (zum Förderbeginn darf keine Gesellschaft bestehen), Gründungsstipendium Niedersachsen (Antrag vor Vorhabenbeginn).</t>
  </si>
  <si>
    <t xml:space="preserve">schädlich</t>
  </si>
  <si>
    <t xml:space="preserve">neutral</t>
  </si>
  <si>
    <t xml:space="preserve">HIER KEHRT SICH DAS VORZEICHEN UM. Eine frühe Gründung VERNICHTET Ansprüche, die zusammen im fünfstelligen Bereich liegen. Siehe A-10 und offene Entscheidung Nr. 34.</t>
  </si>
  <si>
    <t xml:space="preserve">Vertragsfähigkeit</t>
  </si>
  <si>
    <t xml:space="preserve">Verträge mit Ortspartnern, Anbietern, Auftragsverarbeitern und Dienstleistern laufen auf die Gesellschaft statt auf Privatpersonen. Auftragsverarbeitungsverträge nach Art. 28 DSGVO brauchen einen Verantwortlichen.</t>
  </si>
  <si>
    <t xml:space="preserve">Wird erst relevant, wenn tatsächlich Verträge geschlossen werden — also in V3/V4. Vorher genügt es, Absichtserklärungen als Privatpersonen zu führen.</t>
  </si>
  <si>
    <t xml:space="preserve">Markenschutz</t>
  </si>
  <si>
    <t xml:space="preserve">Eine Marke kann von natürlichen Personen angemeldet und später auf die Gesellschaft übertragen werden.</t>
  </si>
  <si>
    <t xml:space="preserve">kein Vorteil</t>
  </si>
  <si>
    <t xml:space="preserve">WICHTIG, WEIL ES OFT FALSCH ANGENOMMEN WIRD: Markenschutz ist KEIN Argument für eine frühe Gründung. Die Anmeldung sollte früh erfolgen — die Gründung deshalb nicht.</t>
  </si>
  <si>
    <t xml:space="preserve">Außenwirkung gegenüber Partnern und Presse</t>
  </si>
  <si>
    <t xml:space="preserve">Eine GmbH wirkt verbindlicher als zwei Privatpersonen mit einer Idee.</t>
  </si>
  <si>
    <t xml:space="preserve">Real, aber schwer zu beziffern. Bei Ortspartnern in Köln zählt Vorbereitung und persönliche Verlässlichkeit erfahrungsgemäß mehr als die Rechtsform.</t>
  </si>
  <si>
    <t xml:space="preserve">Der Punkt, an dem sich das Vorzeichen umkehrt</t>
  </si>
  <si>
    <t xml:space="preserve">EINE FRÜHE GRÜNDUNG KOSTET NICHT NUR GELD — SIE VERNICHTET ANSPRÜCHE.
Das EXIST-Gründungsstipendium verlangt ausdrücklich, dass zum Förderbeginn noch KEINE Gesellschaft besteht. Das Gründungsstipendium Niedersachsen verlangt einen Antrag vor Vorhabenbeginn. Beide finanzieren den Lebensunterhalt und liegen nach A-09 und A-10 zusammen im deutlich fünfstelligen Bereich — für zwei Personen über zehn Monate rund 22.000 € allein beim Landesstipendium.
Damit ist die Rechnung nicht mehr „Gründung früh kostet X mehr“, sondern „Gründung früh kostet X mehr UND schließt Y aus“. Beide Beträge liegen in derselben Größenordnung. Das ist der Grund, warum die Entscheidung vom 26.07.2026 — Gründung erst zu T0 — auch nach dieser Rechnung Bestand hat, ohne dass dieses Blatt sie empfehlen müsste.</t>
  </si>
  <si>
    <t xml:space="preserve">Was zwischen heute und der Gründung trotzdem geregelt sein muss</t>
  </si>
  <si>
    <t xml:space="preserve">Punkt</t>
  </si>
  <si>
    <t xml:space="preserve">Warum</t>
  </si>
  <si>
    <t xml:space="preserve">Wo es steht</t>
  </si>
  <si>
    <t xml:space="preserve">Vorbereitungs-Vereinbarung zwischen den Gründern</t>
  </si>
  <si>
    <t xml:space="preserve">Bis zur Gründung bildet ihr vermutlich eine GbR mit unbeschränkter persönlicher Haftung. Rechte und Pflichten gehen NICHT automatisch auf die GmbH über. Wer was einbringt, wem die Ergebnisse gehören und was bei einem Ausstieg passiert, gehört schriftlich fixiert.</t>
  </si>
  <si>
    <t xml:space="preserve">Aufgabe A-25, offene Entscheidung Nr. 26, Anwaltsakte B3</t>
  </si>
  <si>
    <t xml:space="preserve">Markenanmeldung</t>
  </si>
  <si>
    <t xml:space="preserve">Kann und sollte von natürlichen Personen erfolgen und später übertragen werden. Sie ist von der Gründung unabhängig — und im Windhundverfahren zählt der frühere Anmeldetag.</t>
  </si>
  <si>
    <t xml:space="preserve">Aufgabe A-01, `markenrecherche-cruizy.md`</t>
  </si>
  <si>
    <t xml:space="preserve">Übertragungsvereinbarung</t>
  </si>
  <si>
    <t xml:space="preserve">Damit alles, was vor der Gründung entsteht — Marke, Code, Verträge, Konzepte —, sauber auf die Gesellschaft übergeht.</t>
  </si>
  <si>
    <t xml:space="preserve">Anwaltsakte B3, Entwurf folgt aus A-25</t>
  </si>
  <si>
    <t xml:space="preserve">Krankenversicherungsstatus schriftlich klären</t>
  </si>
  <si>
    <t xml:space="preserve">Vor der Gründung, nicht danach. Es geht bei 24 Monaten um 9.600 € — und die Auskunft am Telefon hilft im Streitfall nicht.</t>
  </si>
  <si>
    <t xml:space="preserve">offene Entscheidung Nr. 25, Anwaltsakte B13</t>
  </si>
  <si>
    <t xml:space="preserve">Quellen und Vorbehalte</t>
  </si>
  <si>
    <t xml:space="preserve">Alle externen Angaben am 27.07.2026 per Websuche erhoben.</t>
  </si>
  <si>
    <t xml:space="preserve">Nr</t>
  </si>
  <si>
    <t xml:space="preserve">Was belegt wird</t>
  </si>
  <si>
    <t xml:space="preserve">Fundstelle</t>
  </si>
  <si>
    <t xml:space="preserve">Stand</t>
  </si>
  <si>
    <t xml:space="preserve">Notargebühren GmbH-Gründung: 2,0-Gebühr bei individuellem Vertrag, Mindestgeschäftswert 30.000 €, rund 476 € brutto bei 25.000 € Stammkapital</t>
  </si>
  <si>
    <t xml:space="preserve">GNotKG Anlage 2 (Gebührentabelle B) und § 107 GNotKG, gesetze-im-internet.de; Berechnung nachvollzogen über deutschland-rechner.de</t>
  </si>
  <si>
    <t xml:space="preserve">Stand 2026, Rechner zuletzt aktualisiert 06.06.2026</t>
  </si>
  <si>
    <t xml:space="preserve">Handelsregister Ersteintragung: 225 € bei Bargründung, 360 € bei Sachgründung</t>
  </si>
  <si>
    <t xml:space="preserve">HRegGebV Anlage Nr. 2100 und 2101, gesetze-im-internet.de</t>
  </si>
  <si>
    <t xml:space="preserve">Fassung vom 30.04.2025</t>
  </si>
  <si>
    <t xml:space="preserve">Mindeststammkapital 25.000 €, Mindesteinzahlung 12.500 € bei Bargründung</t>
  </si>
  <si>
    <t xml:space="preserve">§ 5 und § 7 Abs. 2 GmbHG</t>
  </si>
  <si>
    <t xml:space="preserve">geltendes Recht</t>
  </si>
  <si>
    <t xml:space="preserve">Musterprotokoll nur bis 3 Gesellschafter und 1 Geschäftsführer ohne individuelle Regelungen</t>
  </si>
  <si>
    <t xml:space="preserve">§ 2 Abs. 1a GmbHG</t>
  </si>
  <si>
    <t xml:space="preserve">Gewerbeanmeldung 20–60 € je nach Kommune</t>
  </si>
  <si>
    <t xml:space="preserve">deutschland-rechner.de, GmbH-Gründungskosten</t>
  </si>
  <si>
    <t xml:space="preserve">abgerufen 27.07.2026</t>
  </si>
  <si>
    <t xml:space="preserve">Jahresabschluss Kleinstkapitalgesellschaft 1.500–3.000 € netto; kleine GmbH mit Bilanzsumme bis 100.000 € eher 800–2.000 €</t>
  </si>
  <si>
    <t xml:space="preserve">onlinebilanz.de, Jahresabschluss-Kosten 2026</t>
  </si>
  <si>
    <t xml:space="preserve">Kleinstkapitalgesellschaft: Bilanzsumme ≤ 450.000 €, Umsatz ≤ 900.000 €, ≤ 10 Beschäftigte; verkürzte Bilanz ohne Anhang, Hinterlegung statt Offenlegung</t>
  </si>
  <si>
    <t xml:space="preserve">§ 267a HGB</t>
  </si>
  <si>
    <t xml:space="preserve">geltendes Recht, Schwellenwerte in der Fassung seit 2024</t>
  </si>
  <si>
    <t xml:space="preserve">Hinterlegung beim Bundesanzeiger rund 37 € für Kleinstkapitalgesellschaften; seit 2026 keine Einreichungsgebühr bei reiner Bilanzeinreichung</t>
  </si>
  <si>
    <t xml:space="preserve">onlinebilanz.de, Bundesanzeiger-Kosten GmbH 2026</t>
  </si>
  <si>
    <t xml:space="preserve">IHK-Beitrag: keine Existenzgründerbefreiung für Kapitalgesellschaften, weil § 3 Abs. 3 IHKG an natürliche Personen ohne Handelsregistereintrag anknüpft</t>
  </si>
  <si>
    <t xml:space="preserve">IHKG § 3 Abs. 3; IHK Frankfurt und IHK Berlin zur Beitragsbefreiung</t>
  </si>
  <si>
    <t xml:space="preserve">IHK-Grundbeitrag wird von jeder Kammer in ihrer Wirtschaftssatzung selbst festgesetzt; Spanne von rund 64 € bis über 300 €</t>
  </si>
  <si>
    <t xml:space="preserve">Wirtschaftssatzungen 2026 verschiedener Kammern; IHK Berlin nennt 64 € für Handelsregister-eingetragene Unternehmen</t>
  </si>
  <si>
    <t xml:space="preserve">Geschäftskonto: Kontoführung meist 5–30 € monatlich; kostenlose Konten mit Inklusivvolumen auch für die GmbH verfügbar</t>
  </si>
  <si>
    <t xml:space="preserve">Geschäftskonto-Vergleiche 07/2026 (fuer-gruender.de, gruenderkueche.de)</t>
  </si>
  <si>
    <t xml:space="preserve">Ladungsfähige Geschäftsadresse 3,33 € bis 6,70 € je Monat</t>
  </si>
  <si>
    <t xml:space="preserve">eigene Vorarbeit A-04, `10-recht-gruendung/impressumsloesung-vergleich.md`</t>
  </si>
  <si>
    <t xml:space="preserve">26.07.2026</t>
  </si>
  <si>
    <t xml:space="preserve">Externer Datenschutzbeauftragter: Marktpreis 60–120 € monatlich für 1–10 Beschäftigte; Bestellpflicht nach Art. 37 Abs. 1 lit. c DSGVO knüpft an die Kerntätigkeit an</t>
  </si>
  <si>
    <t xml:space="preserve">eigene Vorarbeit A-11, `10-recht-gruendung/dsb-ausschreibung-fragenkatalog.md`, Frage W1</t>
  </si>
  <si>
    <t xml:space="preserve">Jugendschutzbeauftragter nach § 7 JMStV setzt ein laufendes Telemedienangebot voraus; Delegation an eine anerkannte Selbstkontrolle möglich</t>
  </si>
  <si>
    <t xml:space="preserve">eigene Vorarbeit A-11, offene Entscheidung Nr. 35</t>
  </si>
  <si>
    <t xml:space="preserve">Krankenversicherung: rund 200 € je Person und Monat; Geschäftsführer einer GmbH ohne Gehalt weder pflicht- noch dauerhaft familienversichert</t>
  </si>
  <si>
    <t xml:space="preserve">Handbuch B, Teil II, Abschnitt 3; offene Entscheidung Nr. 25</t>
  </si>
  <si>
    <t xml:space="preserve">24.07.2026</t>
  </si>
  <si>
    <t xml:space="preserve">EXIST verlangt, dass zum Förderbeginn keine Gesellschaft besteht; Gründungsstipendium Niedersachsen verlangt Antrag vor Vorhabenbeginn</t>
  </si>
  <si>
    <t xml:space="preserve">eigene Vorarbeiten A-09 und A-10</t>
  </si>
  <si>
    <t xml:space="preserve">Vorbehalte</t>
  </si>
  <si>
    <t xml:space="preserve">Vier Zahlen in diesem Modell sind Mittelwerte oder Schätzungen und als solche gekennzeichnet: die anwaltliche Gestaltung des Gesellschaftsvertrags (aus der Differenz zu Handbuch B abgeleitet), der IHK-Grundbeitrag (kammerabhängig), die Gewerbeanmeldung (kommunal) und die Kosten des Jahresabschlusses (Spanne). Alle vier sind vor der Gründung durch eine konkrete Auskunft ersetzbar — bei Notar, Kammer, Gemeinde und Steuerberater. Zusammen bewegen sie weniger als die vier Schalterfragen auf dem Blatt „Ergebnis“.
Nicht enthalten sind: Körperschaft- und Gewerbesteuer (fallen ohne Gewinn nicht an), Umsatzsteuervoranmeldungen (im Steuerberaterhonorar enthalten), Gründungsberatung durch Dritte, und sämtliche Kosten der Produktentwicklung — die stehen im Finanzmodell A-13.</t>
  </si>
</sst>
</file>

<file path=xl/styles.xml><?xml version="1.0" encoding="utf-8"?>
<styleSheet xmlns="http://schemas.openxmlformats.org/spreadsheetml/2006/main">
  <numFmts count="3">
    <numFmt numFmtId="164" formatCode="General"/>
    <numFmt numFmtId="165" formatCode="#,##0&quot; €&quot;;[RED]\-#,##0&quot; €&quot;"/>
    <numFmt numFmtId="166" formatCode="#,##0"/>
  </numFmts>
  <fonts count="20">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9"/>
      <color rgb="FF595959"/>
      <name val="Arial"/>
      <family val="0"/>
      <charset val="1"/>
    </font>
    <font>
      <b val="true"/>
      <sz val="11"/>
      <name val="Arial"/>
      <family val="0"/>
      <charset val="1"/>
    </font>
    <font>
      <b val="true"/>
      <sz val="13"/>
      <color rgb="FF1F3A5F"/>
      <name val="Arial"/>
      <family val="0"/>
      <charset val="1"/>
    </font>
    <font>
      <b val="true"/>
      <sz val="18"/>
      <color rgb="FFAA3333"/>
      <name val="Arial"/>
      <family val="0"/>
      <charset val="1"/>
    </font>
    <font>
      <b val="true"/>
      <sz val="10"/>
      <color rgb="FFFFFFFF"/>
      <name val="Arial"/>
      <family val="0"/>
      <charset val="1"/>
    </font>
    <font>
      <sz val="10"/>
      <name val="Arial"/>
      <family val="0"/>
      <charset val="1"/>
    </font>
    <font>
      <sz val="11"/>
      <name val="Arial"/>
      <family val="0"/>
      <charset val="1"/>
    </font>
    <font>
      <sz val="8"/>
      <color rgb="FF595959"/>
      <name val="Arial"/>
      <family val="0"/>
      <charset val="1"/>
    </font>
    <font>
      <b val="true"/>
      <sz val="10"/>
      <name val="Arial"/>
      <family val="0"/>
      <charset val="1"/>
    </font>
    <font>
      <sz val="9"/>
      <name val="Arial"/>
      <family val="0"/>
      <charset val="1"/>
    </font>
    <font>
      <b val="true"/>
      <sz val="9"/>
      <name val="Arial"/>
      <family val="0"/>
      <charset val="1"/>
    </font>
    <font>
      <i val="true"/>
      <sz val="9"/>
      <name val="Arial"/>
      <family val="0"/>
      <charset val="1"/>
    </font>
    <font>
      <b val="true"/>
      <sz val="12"/>
      <color rgb="FF1F3A5F"/>
      <name val="Arial"/>
      <family val="0"/>
      <charset val="1"/>
    </font>
    <font>
      <b val="true"/>
      <sz val="16"/>
      <color rgb="FFAA3333"/>
      <name val="Arial"/>
      <family val="0"/>
      <charset val="1"/>
    </font>
    <font>
      <sz val="8"/>
      <color rgb="FF0563C1"/>
      <name val="Arial"/>
      <family val="0"/>
      <charset val="1"/>
    </font>
  </fonts>
  <fills count="10">
    <fill>
      <patternFill patternType="none"/>
    </fill>
    <fill>
      <patternFill patternType="gray125"/>
    </fill>
    <fill>
      <patternFill patternType="solid">
        <fgColor rgb="FFFDF3E7"/>
        <bgColor rgb="FFF2F2F2"/>
      </patternFill>
    </fill>
    <fill>
      <patternFill patternType="solid">
        <fgColor rgb="FFFCE4E4"/>
        <bgColor rgb="FFFDF3E7"/>
      </patternFill>
    </fill>
    <fill>
      <patternFill patternType="solid">
        <fgColor rgb="FF1F3A5F"/>
        <bgColor rgb="FF333333"/>
      </patternFill>
    </fill>
    <fill>
      <patternFill patternType="solid">
        <fgColor rgb="FFE6F4EA"/>
        <bgColor rgb="FFEDF2F8"/>
      </patternFill>
    </fill>
    <fill>
      <patternFill patternType="solid">
        <fgColor rgb="FFF2F2F2"/>
        <bgColor rgb="FFEDF2F8"/>
      </patternFill>
    </fill>
    <fill>
      <patternFill patternType="solid">
        <fgColor rgb="FFEDF2F8"/>
        <bgColor rgb="FFF2F2F2"/>
      </patternFill>
    </fill>
    <fill>
      <patternFill patternType="solid">
        <fgColor rgb="FFDCE6F1"/>
        <bgColor rgb="FFE6F4EA"/>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11"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6" fillId="5" borderId="1" xfId="0" applyFont="true" applyBorder="true" applyAlignment="true" applyProtection="false">
      <alignment horizontal="center" vertical="bottom" textRotation="0" wrapText="false" indent="0" shrinkToFit="false"/>
      <protection locked="true" hidden="false"/>
    </xf>
    <xf numFmtId="165" fontId="11" fillId="6" borderId="1" xfId="0" applyFont="true" applyBorder="true" applyAlignment="true" applyProtection="false">
      <alignment horizontal="center" vertical="bottom" textRotation="0" wrapText="false" indent="0" shrinkToFit="false"/>
      <protection locked="true" hidden="false"/>
    </xf>
    <xf numFmtId="165" fontId="11" fillId="3" borderId="1" xfId="0" applyFont="true" applyBorder="true" applyAlignment="true" applyProtection="false">
      <alignment horizontal="center" vertical="bottom" textRotation="0" wrapText="false" indent="0" shrinkToFit="false"/>
      <protection locked="true" hidden="false"/>
    </xf>
    <xf numFmtId="164" fontId="10" fillId="7" borderId="0" xfId="0" applyFont="true" applyBorder="true" applyAlignment="true" applyProtection="false">
      <alignment horizontal="general" vertical="top" textRotation="0" wrapText="true" indent="0" shrinkToFit="false"/>
      <protection locked="true" hidden="false"/>
    </xf>
    <xf numFmtId="164" fontId="13" fillId="2" borderId="0" xfId="0" applyFont="true" applyBorder="true" applyAlignment="true" applyProtection="false">
      <alignment horizontal="general" vertical="top" textRotation="0" wrapText="true" indent="0" shrinkToFit="false"/>
      <protection locked="true" hidden="false"/>
    </xf>
    <xf numFmtId="165" fontId="11" fillId="0"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5" fontId="13" fillId="8" borderId="1" xfId="0" applyFont="true" applyBorder="true" applyAlignment="true" applyProtection="false">
      <alignment horizontal="center" vertical="bottom" textRotation="0" wrapText="false" indent="0" shrinkToFit="false"/>
      <protection locked="true" hidden="false"/>
    </xf>
    <xf numFmtId="164" fontId="15" fillId="6" borderId="1" xfId="0" applyFont="true" applyBorder="true" applyAlignment="true" applyProtection="false">
      <alignment horizontal="center" vertical="bottom" textRotation="0" wrapText="false" indent="0" shrinkToFit="false"/>
      <protection locked="true" hidden="false"/>
    </xf>
    <xf numFmtId="164" fontId="14" fillId="2" borderId="1" xfId="0" applyFont="true" applyBorder="true" applyAlignment="true" applyProtection="false">
      <alignment horizontal="center" vertical="bottom" textRotation="0" wrapText="false" indent="0" shrinkToFit="false"/>
      <protection locked="true" hidden="false"/>
    </xf>
    <xf numFmtId="165" fontId="13" fillId="7" borderId="1" xfId="0" applyFont="true" applyBorder="true" applyAlignment="true" applyProtection="false">
      <alignment horizontal="center" vertical="bottom" textRotation="0" wrapText="false" indent="0" shrinkToFit="false"/>
      <protection locked="true" hidden="false"/>
    </xf>
    <xf numFmtId="165" fontId="13" fillId="5" borderId="1" xfId="0" applyFont="true" applyBorder="true" applyAlignment="true" applyProtection="false">
      <alignment horizontal="center" vertical="bottom" textRotation="0" wrapText="false" indent="0" shrinkToFit="false"/>
      <protection locked="true" hidden="false"/>
    </xf>
    <xf numFmtId="165" fontId="13" fillId="2" borderId="1"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6" fillId="9" borderId="1" xfId="0" applyFont="true" applyBorder="true" applyAlignment="true" applyProtection="false">
      <alignment horizontal="center" vertical="bottom" textRotation="0" wrapText="false" indent="0" shrinkToFit="false"/>
      <protection locked="true" hidden="false"/>
    </xf>
    <xf numFmtId="165" fontId="6" fillId="7"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5" fontId="16" fillId="0" borderId="1" xfId="0" applyFont="true" applyBorder="true" applyAlignment="true" applyProtection="false">
      <alignment horizontal="center" vertical="bottom" textRotation="0" wrapText="false" indent="0" shrinkToFit="false"/>
      <protection locked="true" hidden="false"/>
    </xf>
    <xf numFmtId="166" fontId="13" fillId="8" borderId="1" xfId="0" applyFont="true" applyBorder="true" applyAlignment="true" applyProtection="false">
      <alignment horizontal="center" vertical="bottom" textRotation="0" wrapText="false" indent="0" shrinkToFit="false"/>
      <protection locked="true" hidden="false"/>
    </xf>
    <xf numFmtId="164" fontId="13" fillId="6"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5" fontId="10" fillId="2" borderId="1" xfId="0" applyFont="true" applyBorder="true" applyAlignment="true" applyProtection="false">
      <alignment horizontal="center" vertical="bottom" textRotation="0" wrapText="false" indent="0" shrinkToFit="false"/>
      <protection locked="true" hidden="false"/>
    </xf>
    <xf numFmtId="165" fontId="18" fillId="3"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5" fontId="13" fillId="3" borderId="1" xfId="0" applyFont="true" applyBorder="true" applyAlignment="true" applyProtection="false">
      <alignment horizontal="center" vertical="bottom"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false" indent="0" shrinkToFit="false"/>
      <protection locked="true" hidden="false"/>
    </xf>
    <xf numFmtId="164" fontId="15" fillId="3"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4" fillId="6"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64" fontId="19"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4" fillId="7"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AA3333"/>
      <rgbColor rgb="FFFDF3E7"/>
      <rgbColor rgb="FFE6F4EA"/>
      <rgbColor rgb="FF660066"/>
      <rgbColor rgb="FFFF8080"/>
      <rgbColor rgb="FF0563C1"/>
      <rgbColor rgb="FFDCE6F1"/>
      <rgbColor rgb="FF000080"/>
      <rgbColor rgb="FFFF00FF"/>
      <rgbColor rgb="FFFFFF00"/>
      <rgbColor rgb="FF00FFFF"/>
      <rgbColor rgb="FF800080"/>
      <rgbColor rgb="FF800000"/>
      <rgbColor rgb="FF008080"/>
      <rgbColor rgb="FF0000FF"/>
      <rgbColor rgb="FF00CCFF"/>
      <rgbColor rgb="FFEDF2F8"/>
      <rgbColor rgb="FFF2F2F2"/>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4"/>
    <col collapsed="false" customWidth="true" hidden="false" outlineLevel="0" max="4" min="2" style="0" width="20"/>
    <col collapsed="false" customWidth="true" hidden="false" outlineLevel="0" max="5" min="5" style="0" width="60"/>
  </cols>
  <sheetData>
    <row r="1" customFormat="false" ht="19.7" hidden="false" customHeight="false" outlineLevel="0" collapsed="false">
      <c r="A1" s="1" t="s">
        <v>0</v>
      </c>
    </row>
    <row r="2" customFormat="false" ht="25.5" hidden="false" customHeight="true" outlineLevel="0" collapsed="false">
      <c r="A2" s="2" t="s">
        <v>1</v>
      </c>
    </row>
    <row r="4" customFormat="false" ht="51.75" hidden="false" customHeight="true" outlineLevel="0" collapsed="false">
      <c r="A4" s="3" t="s">
        <v>2</v>
      </c>
      <c r="B4" s="3"/>
      <c r="C4" s="3"/>
      <c r="D4" s="3"/>
      <c r="E4" s="3"/>
    </row>
    <row r="6" customFormat="false" ht="16.15" hidden="false" customHeight="false" outlineLevel="0" collapsed="false">
      <c r="A6" s="4" t="s">
        <v>3</v>
      </c>
    </row>
    <row r="7" customFormat="false" ht="43.5" hidden="false" customHeight="true" outlineLevel="0" collapsed="false">
      <c r="A7" s="5" t="s">
        <v>4</v>
      </c>
      <c r="B7" s="5"/>
      <c r="C7" s="5"/>
      <c r="D7" s="6" t="n">
        <f aca="false">'Drei Zeitpunkte'!D18</f>
        <v>16773</v>
      </c>
    </row>
    <row r="9" customFormat="false" ht="16.15" hidden="false" customHeight="false" outlineLevel="0" collapsed="false">
      <c r="A9" s="4" t="s">
        <v>5</v>
      </c>
    </row>
    <row r="10" customFormat="false" ht="27.75" hidden="false" customHeight="true" outlineLevel="0" collapsed="false">
      <c r="A10" s="7" t="s">
        <v>6</v>
      </c>
      <c r="B10" s="7" t="s">
        <v>7</v>
      </c>
      <c r="C10" s="7" t="s">
        <v>8</v>
      </c>
      <c r="D10" s="7" t="s">
        <v>9</v>
      </c>
      <c r="E10" s="7" t="s">
        <v>10</v>
      </c>
    </row>
    <row r="11" customFormat="false" ht="24" hidden="false" customHeight="true" outlineLevel="0" collapsed="false">
      <c r="A11" s="8" t="s">
        <v>11</v>
      </c>
      <c r="B11" s="9" t="n">
        <f aca="false">'Drei Zeitpunkte'!B6</f>
        <v>24</v>
      </c>
      <c r="C11" s="9" t="n">
        <f aca="false">'Drei Zeitpunkte'!C6</f>
        <v>12</v>
      </c>
      <c r="D11" s="9" t="n">
        <f aca="false">'Drei Zeitpunkte'!D6</f>
        <v>3</v>
      </c>
      <c r="E11" s="10" t="s">
        <v>12</v>
      </c>
    </row>
    <row r="12" customFormat="false" ht="24" hidden="false" customHeight="true" outlineLevel="0" collapsed="false">
      <c r="A12" s="11" t="s">
        <v>13</v>
      </c>
      <c r="B12" s="12" t="n">
        <f aca="false">'Drei Zeitpunkte'!B15</f>
        <v>23299</v>
      </c>
      <c r="C12" s="12" t="n">
        <f aca="false">'Drei Zeitpunkte'!C15</f>
        <v>12970</v>
      </c>
      <c r="D12" s="12" t="n">
        <f aca="false">'Drei Zeitpunkte'!D15</f>
        <v>6526</v>
      </c>
      <c r="E12" s="10" t="s">
        <v>14</v>
      </c>
    </row>
    <row r="13" customFormat="false" ht="24" hidden="false" customHeight="true" outlineLevel="0" collapsed="false">
      <c r="A13" s="8" t="s">
        <v>15</v>
      </c>
      <c r="B13" s="13" t="n">
        <f aca="false">'Drei Zeitpunkte'!B23</f>
        <v>10099</v>
      </c>
      <c r="C13" s="13" t="n">
        <f aca="false">'Drei Zeitpunkte'!C23</f>
        <v>6370</v>
      </c>
      <c r="D13" s="13" t="n">
        <f aca="false">'Drei Zeitpunkte'!D23</f>
        <v>4876</v>
      </c>
      <c r="E13" s="10" t="s">
        <v>16</v>
      </c>
    </row>
    <row r="14" customFormat="false" ht="24" hidden="false" customHeight="true" outlineLevel="0" collapsed="false">
      <c r="A14" s="8" t="s">
        <v>17</v>
      </c>
      <c r="B14" s="14" t="n">
        <f aca="false">'Drei Zeitpunkte'!B24</f>
        <v>32899</v>
      </c>
      <c r="C14" s="14" t="n">
        <f aca="false">'Drei Zeitpunkte'!C24</f>
        <v>17770</v>
      </c>
      <c r="D14" s="14" t="n">
        <f aca="false">'Drei Zeitpunkte'!D24</f>
        <v>7726</v>
      </c>
      <c r="E14" s="10" t="s">
        <v>18</v>
      </c>
    </row>
    <row r="16" customFormat="false" ht="16.15" hidden="false" customHeight="false" outlineLevel="0" collapsed="false">
      <c r="A16" s="4" t="s">
        <v>19</v>
      </c>
    </row>
    <row r="17" customFormat="false" ht="150" hidden="false" customHeight="true" outlineLevel="0" collapsed="false">
      <c r="A17" s="15" t="s">
        <v>20</v>
      </c>
      <c r="B17" s="15"/>
      <c r="C17" s="15"/>
      <c r="D17" s="15"/>
      <c r="E17" s="15"/>
    </row>
    <row r="19" customFormat="false" ht="16.15" hidden="false" customHeight="false" outlineLevel="0" collapsed="false">
      <c r="A19" s="4" t="s">
        <v>21</v>
      </c>
    </row>
    <row r="20" customFormat="false" ht="63.75" hidden="false" customHeight="true" outlineLevel="0" collapsed="false">
      <c r="A20" s="16" t="s">
        <v>22</v>
      </c>
      <c r="B20" s="16"/>
      <c r="C20" s="16"/>
      <c r="D20" s="16"/>
      <c r="E20" s="16"/>
    </row>
    <row r="21" customFormat="false" ht="27.75" hidden="false" customHeight="true" outlineLevel="0" collapsed="false">
      <c r="A21" s="7" t="s">
        <v>23</v>
      </c>
      <c r="B21" s="7" t="s">
        <v>7</v>
      </c>
      <c r="C21" s="7" t="s">
        <v>8</v>
      </c>
      <c r="D21" s="7" t="s">
        <v>9</v>
      </c>
      <c r="E21" s="7" t="s">
        <v>24</v>
      </c>
    </row>
    <row r="22" customFormat="false" ht="25.5" hidden="false" customHeight="true" outlineLevel="0" collapsed="false">
      <c r="A22" s="8" t="s">
        <v>25</v>
      </c>
      <c r="B22" s="17" t="n">
        <f aca="false">'Drei Zeitpunkte'!B15</f>
        <v>23299</v>
      </c>
      <c r="C22" s="17" t="n">
        <f aca="false">'Drei Zeitpunkte'!C15</f>
        <v>12970</v>
      </c>
      <c r="D22" s="17" t="n">
        <f aca="false">'Drei Zeitpunkte'!D15</f>
        <v>6526</v>
      </c>
      <c r="E22" s="10" t="s">
        <v>26</v>
      </c>
    </row>
    <row r="23" customFormat="false" ht="25.5" hidden="false" customHeight="true" outlineLevel="0" collapsed="false">
      <c r="A23" s="8" t="s">
        <v>27</v>
      </c>
      <c r="B23" s="17" t="n">
        <f aca="false">-Kostenpositionen!$B$10</f>
        <v>-2641</v>
      </c>
      <c r="C23" s="17" t="n">
        <f aca="false">-Kostenpositionen!$B$10</f>
        <v>-2641</v>
      </c>
      <c r="D23" s="17" t="n">
        <f aca="false">-Kostenpositionen!$B$10</f>
        <v>-2641</v>
      </c>
      <c r="E23" s="10" t="s">
        <v>28</v>
      </c>
    </row>
    <row r="24" customFormat="false" ht="25.5" hidden="false" customHeight="true" outlineLevel="0" collapsed="false">
      <c r="A24" s="11" t="s">
        <v>29</v>
      </c>
      <c r="B24" s="12" t="n">
        <f aca="false">B22+B23</f>
        <v>20658</v>
      </c>
      <c r="C24" s="12" t="n">
        <f aca="false">C22+C23</f>
        <v>10329</v>
      </c>
      <c r="D24" s="12" t="n">
        <f aca="false">D22+D23</f>
        <v>3885</v>
      </c>
      <c r="E24" s="10" t="s">
        <v>30</v>
      </c>
    </row>
    <row r="26" customFormat="false" ht="60" hidden="false" customHeight="true" outlineLevel="0" collapsed="false">
      <c r="A26" s="15" t="s">
        <v>31</v>
      </c>
      <c r="B26" s="15"/>
      <c r="C26" s="15"/>
      <c r="D26" s="15"/>
      <c r="E26" s="15"/>
    </row>
    <row r="28" customFormat="false" ht="16.15" hidden="false" customHeight="false" outlineLevel="0" collapsed="false">
      <c r="A28" s="4" t="s">
        <v>32</v>
      </c>
    </row>
    <row r="29" customFormat="false" ht="27.75" hidden="false" customHeight="true" outlineLevel="0" collapsed="false">
      <c r="A29" s="7" t="s">
        <v>33</v>
      </c>
      <c r="B29" s="7" t="s">
        <v>34</v>
      </c>
      <c r="C29" s="7"/>
      <c r="D29" s="7"/>
      <c r="E29" s="7"/>
    </row>
    <row r="30" customFormat="false" ht="31.5" hidden="false" customHeight="true" outlineLevel="0" collapsed="false">
      <c r="A30" s="18" t="s">
        <v>35</v>
      </c>
      <c r="B30" s="19" t="s">
        <v>36</v>
      </c>
      <c r="C30" s="19"/>
      <c r="D30" s="19"/>
      <c r="E30" s="19"/>
    </row>
    <row r="31" customFormat="false" ht="31.5" hidden="false" customHeight="true" outlineLevel="0" collapsed="false">
      <c r="A31" s="18" t="s">
        <v>37</v>
      </c>
      <c r="B31" s="19" t="s">
        <v>38</v>
      </c>
      <c r="C31" s="19"/>
      <c r="D31" s="19"/>
      <c r="E31" s="19"/>
    </row>
    <row r="32" customFormat="false" ht="31.5" hidden="false" customHeight="true" outlineLevel="0" collapsed="false">
      <c r="A32" s="18" t="s">
        <v>39</v>
      </c>
      <c r="B32" s="19" t="s">
        <v>40</v>
      </c>
      <c r="C32" s="19"/>
      <c r="D32" s="19"/>
      <c r="E32" s="19"/>
    </row>
    <row r="33" customFormat="false" ht="31.5" hidden="false" customHeight="true" outlineLevel="0" collapsed="false">
      <c r="A33" s="18" t="s">
        <v>41</v>
      </c>
      <c r="B33" s="19" t="s">
        <v>42</v>
      </c>
      <c r="C33" s="19"/>
      <c r="D33" s="19"/>
      <c r="E33" s="19"/>
    </row>
  </sheetData>
  <mergeCells count="9">
    <mergeCell ref="A4:E4"/>
    <mergeCell ref="A7:C7"/>
    <mergeCell ref="A17:E17"/>
    <mergeCell ref="A20:E20"/>
    <mergeCell ref="A26:E26"/>
    <mergeCell ref="B30:E30"/>
    <mergeCell ref="B31:E31"/>
    <mergeCell ref="B32:E32"/>
    <mergeCell ref="B33:E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3" min="2" style="0" width="14"/>
    <col collapsed="false" customWidth="true" hidden="false" outlineLevel="0" max="4" min="4" style="0" width="16"/>
    <col collapsed="false" customWidth="true" hidden="false" outlineLevel="0" max="5" min="5" style="0" width="96"/>
  </cols>
  <sheetData>
    <row r="1" customFormat="false" ht="19.7" hidden="false" customHeight="false" outlineLevel="0" collapsed="false">
      <c r="A1" s="1" t="s">
        <v>43</v>
      </c>
    </row>
    <row r="2" customFormat="false" ht="25.5" hidden="false" customHeight="true" outlineLevel="0" collapsed="false">
      <c r="A2" s="2" t="s">
        <v>44</v>
      </c>
    </row>
    <row r="4" customFormat="false" ht="16.15" hidden="false" customHeight="false" outlineLevel="0" collapsed="false">
      <c r="A4" s="4" t="s">
        <v>45</v>
      </c>
    </row>
    <row r="5" customFormat="false" ht="27.75" hidden="false" customHeight="true" outlineLevel="0" collapsed="false">
      <c r="A5" s="7" t="s">
        <v>46</v>
      </c>
      <c r="B5" s="7" t="s">
        <v>47</v>
      </c>
      <c r="C5" s="7" t="s">
        <v>48</v>
      </c>
      <c r="D5" s="7"/>
      <c r="E5" s="7" t="s">
        <v>49</v>
      </c>
    </row>
    <row r="6" customFormat="false" ht="42" hidden="false" customHeight="true" outlineLevel="0" collapsed="false">
      <c r="A6" s="19" t="s">
        <v>50</v>
      </c>
      <c r="B6" s="20" t="n">
        <v>476</v>
      </c>
      <c r="C6" s="21" t="s">
        <v>51</v>
      </c>
      <c r="E6" s="10" t="s">
        <v>52</v>
      </c>
    </row>
    <row r="7" customFormat="false" ht="42" hidden="false" customHeight="true" outlineLevel="0" collapsed="false">
      <c r="A7" s="19" t="s">
        <v>53</v>
      </c>
      <c r="B7" s="20" t="n">
        <v>225</v>
      </c>
      <c r="C7" s="21" t="s">
        <v>51</v>
      </c>
      <c r="E7" s="10" t="s">
        <v>54</v>
      </c>
    </row>
    <row r="8" customFormat="false" ht="42" hidden="false" customHeight="true" outlineLevel="0" collapsed="false">
      <c r="A8" s="19" t="s">
        <v>55</v>
      </c>
      <c r="B8" s="20" t="n">
        <v>40</v>
      </c>
      <c r="C8" s="21" t="s">
        <v>51</v>
      </c>
      <c r="E8" s="10" t="s">
        <v>56</v>
      </c>
    </row>
    <row r="9" customFormat="false" ht="42" hidden="false" customHeight="true" outlineLevel="0" collapsed="false">
      <c r="A9" s="19" t="s">
        <v>57</v>
      </c>
      <c r="B9" s="20" t="n">
        <v>1900</v>
      </c>
      <c r="C9" s="22" t="s">
        <v>58</v>
      </c>
      <c r="E9" s="10" t="s">
        <v>59</v>
      </c>
    </row>
    <row r="10" customFormat="false" ht="15" hidden="false" customHeight="false" outlineLevel="0" collapsed="false">
      <c r="A10" s="18" t="s">
        <v>60</v>
      </c>
      <c r="B10" s="23" t="n">
        <f aca="false">SUM(B6:B9)</f>
        <v>2641</v>
      </c>
    </row>
    <row r="11" customFormat="false" ht="15" hidden="false" customHeight="false" outlineLevel="0" collapsed="false">
      <c r="A11" s="18" t="s">
        <v>61</v>
      </c>
      <c r="B11" s="24" t="n">
        <f aca="false">SUMIF(C6:C9,"gesetzlich",B6:B9)</f>
        <v>741</v>
      </c>
    </row>
    <row r="12" customFormat="false" ht="15" hidden="false" customHeight="false" outlineLevel="0" collapsed="false">
      <c r="A12" s="18" t="s">
        <v>62</v>
      </c>
      <c r="B12" s="25" t="n">
        <f aca="false">SUMIF(C6:C9,"verhandelbar",B6:B9)</f>
        <v>1900</v>
      </c>
    </row>
    <row r="13" customFormat="false" ht="66" hidden="false" customHeight="true" outlineLevel="0" collapsed="false">
      <c r="A13" s="16" t="s">
        <v>63</v>
      </c>
      <c r="B13" s="16"/>
      <c r="C13" s="16"/>
      <c r="D13" s="16"/>
      <c r="E13" s="16"/>
      <c r="F13" s="16"/>
    </row>
    <row r="15" customFormat="false" ht="16.15" hidden="false" customHeight="false" outlineLevel="0" collapsed="false">
      <c r="A15" s="4" t="s">
        <v>64</v>
      </c>
    </row>
    <row r="16" customFormat="false" ht="27.75" hidden="false" customHeight="true" outlineLevel="0" collapsed="false">
      <c r="A16" s="7" t="s">
        <v>46</v>
      </c>
      <c r="B16" s="7" t="s">
        <v>65</v>
      </c>
      <c r="C16" s="7" t="s">
        <v>66</v>
      </c>
      <c r="D16" s="7" t="s">
        <v>67</v>
      </c>
      <c r="E16" s="7" t="s">
        <v>68</v>
      </c>
    </row>
    <row r="17" customFormat="false" ht="45.75" hidden="false" customHeight="true" outlineLevel="0" collapsed="false">
      <c r="A17" s="19" t="s">
        <v>69</v>
      </c>
      <c r="B17" s="20" t="n">
        <v>150</v>
      </c>
      <c r="C17" s="26" t="s">
        <v>70</v>
      </c>
      <c r="D17" s="27" t="n">
        <v>1</v>
      </c>
      <c r="E17" s="10" t="s">
        <v>71</v>
      </c>
    </row>
    <row r="18" customFormat="false" ht="45.75" hidden="false" customHeight="true" outlineLevel="0" collapsed="false">
      <c r="A18" s="19" t="s">
        <v>72</v>
      </c>
      <c r="B18" s="20" t="n">
        <v>10</v>
      </c>
      <c r="C18" s="26" t="s">
        <v>70</v>
      </c>
      <c r="D18" s="27" t="n">
        <v>1</v>
      </c>
      <c r="E18" s="10" t="s">
        <v>73</v>
      </c>
    </row>
    <row r="19" customFormat="false" ht="45.75" hidden="false" customHeight="true" outlineLevel="0" collapsed="false">
      <c r="A19" s="19" t="s">
        <v>74</v>
      </c>
      <c r="B19" s="20" t="n">
        <v>6</v>
      </c>
      <c r="C19" s="26" t="s">
        <v>70</v>
      </c>
      <c r="D19" s="27" t="n">
        <v>1</v>
      </c>
      <c r="E19" s="10" t="s">
        <v>75</v>
      </c>
    </row>
    <row r="20" customFormat="false" ht="45.75" hidden="false" customHeight="true" outlineLevel="0" collapsed="false">
      <c r="A20" s="19" t="s">
        <v>76</v>
      </c>
      <c r="B20" s="20" t="n">
        <v>200</v>
      </c>
      <c r="C20" s="26" t="s">
        <v>77</v>
      </c>
      <c r="D20" s="28" t="n">
        <v>1</v>
      </c>
      <c r="E20" s="10" t="s">
        <v>78</v>
      </c>
    </row>
    <row r="21" customFormat="false" ht="45.75" hidden="false" customHeight="true" outlineLevel="0" collapsed="false">
      <c r="A21" s="19" t="s">
        <v>79</v>
      </c>
      <c r="B21" s="20" t="n">
        <v>250</v>
      </c>
      <c r="C21" s="26" t="s">
        <v>77</v>
      </c>
      <c r="D21" s="28" t="n">
        <v>1</v>
      </c>
      <c r="E21" s="10" t="s">
        <v>80</v>
      </c>
    </row>
    <row r="22" customFormat="false" ht="45.75" hidden="false" customHeight="true" outlineLevel="0" collapsed="false">
      <c r="A22" s="19" t="s">
        <v>81</v>
      </c>
      <c r="B22" s="20" t="n">
        <v>100</v>
      </c>
      <c r="C22" s="26" t="s">
        <v>77</v>
      </c>
      <c r="D22" s="28" t="n">
        <v>1</v>
      </c>
      <c r="E22" s="10" t="s">
        <v>82</v>
      </c>
    </row>
    <row r="23" customFormat="false" ht="15" hidden="false" customHeight="false" outlineLevel="0" collapsed="false">
      <c r="A23" s="18" t="s">
        <v>83</v>
      </c>
      <c r="B23" s="29" t="n">
        <f aca="false">SUMPRODUCT(B17:B22,D17:D22)</f>
        <v>716</v>
      </c>
    </row>
    <row r="24" customFormat="false" ht="15" hidden="false" customHeight="false" outlineLevel="0" collapsed="false">
      <c r="A24" s="30" t="s">
        <v>84</v>
      </c>
      <c r="B24" s="31" t="n">
        <f aca="false">SUMIF(C17:C22,"ja",B17:B22)</f>
        <v>166</v>
      </c>
    </row>
    <row r="25" customFormat="false" ht="15" hidden="false" customHeight="false" outlineLevel="0" collapsed="false">
      <c r="A25" s="30" t="s">
        <v>85</v>
      </c>
      <c r="B25" s="31" t="n">
        <f aca="false">SUM(B17:B22)</f>
        <v>716</v>
      </c>
    </row>
    <row r="27" customFormat="false" ht="139.5" hidden="false" customHeight="true" outlineLevel="0" collapsed="false">
      <c r="A27" s="16" t="s">
        <v>86</v>
      </c>
      <c r="B27" s="16"/>
      <c r="C27" s="16"/>
      <c r="D27" s="16"/>
      <c r="E27" s="16"/>
      <c r="F27" s="16"/>
    </row>
    <row r="29" customFormat="false" ht="16.15" hidden="false" customHeight="false" outlineLevel="0" collapsed="false">
      <c r="A29" s="4" t="s">
        <v>87</v>
      </c>
    </row>
    <row r="30" customFormat="false" ht="27.75" hidden="false" customHeight="true" outlineLevel="0" collapsed="false">
      <c r="A30" s="7" t="s">
        <v>46</v>
      </c>
      <c r="B30" s="7" t="s">
        <v>88</v>
      </c>
      <c r="C30" s="7"/>
      <c r="D30" s="7"/>
      <c r="E30" s="7" t="s">
        <v>49</v>
      </c>
    </row>
    <row r="31" customFormat="false" ht="43.5" hidden="false" customHeight="true" outlineLevel="0" collapsed="false">
      <c r="A31" s="19" t="s">
        <v>89</v>
      </c>
      <c r="B31" s="20" t="n">
        <v>1500</v>
      </c>
      <c r="E31" s="10" t="s">
        <v>90</v>
      </c>
    </row>
    <row r="32" customFormat="false" ht="43.5" hidden="false" customHeight="true" outlineLevel="0" collapsed="false">
      <c r="A32" s="19" t="s">
        <v>91</v>
      </c>
      <c r="B32" s="20" t="n">
        <v>37</v>
      </c>
      <c r="E32" s="10" t="s">
        <v>92</v>
      </c>
    </row>
    <row r="33" customFormat="false" ht="43.5" hidden="false" customHeight="true" outlineLevel="0" collapsed="false">
      <c r="A33" s="19" t="s">
        <v>93</v>
      </c>
      <c r="B33" s="20" t="n">
        <v>200</v>
      </c>
      <c r="E33" s="10" t="s">
        <v>94</v>
      </c>
    </row>
    <row r="34" customFormat="false" ht="15" hidden="false" customHeight="false" outlineLevel="0" collapsed="false">
      <c r="A34" s="18" t="s">
        <v>95</v>
      </c>
      <c r="B34" s="29" t="n">
        <f aca="false">SUM(B31:B33)</f>
        <v>1737</v>
      </c>
    </row>
    <row r="36" customFormat="false" ht="16.15" hidden="false" customHeight="false" outlineLevel="0" collapsed="false">
      <c r="A36" s="4" t="s">
        <v>96</v>
      </c>
    </row>
    <row r="37" customFormat="false" ht="27.75" hidden="false" customHeight="true" outlineLevel="0" collapsed="false">
      <c r="A37" s="7" t="s">
        <v>46</v>
      </c>
      <c r="B37" s="7" t="s">
        <v>65</v>
      </c>
      <c r="C37" s="7" t="s">
        <v>97</v>
      </c>
      <c r="D37" s="7" t="s">
        <v>67</v>
      </c>
      <c r="E37" s="7" t="s">
        <v>68</v>
      </c>
    </row>
    <row r="38" customFormat="false" ht="51.75" hidden="false" customHeight="true" outlineLevel="0" collapsed="false">
      <c r="A38" s="19" t="s">
        <v>98</v>
      </c>
      <c r="B38" s="20" t="n">
        <v>200</v>
      </c>
      <c r="C38" s="32" t="n">
        <v>2</v>
      </c>
      <c r="D38" s="28" t="n">
        <v>0</v>
      </c>
      <c r="E38" s="10" t="s">
        <v>99</v>
      </c>
    </row>
    <row r="40" customFormat="false" ht="73.5" hidden="false" customHeight="true" outlineLevel="0" collapsed="false">
      <c r="A40" s="16" t="s">
        <v>100</v>
      </c>
      <c r="B40" s="16"/>
      <c r="C40" s="16"/>
      <c r="D40" s="16"/>
      <c r="E40" s="16"/>
      <c r="F40" s="16"/>
    </row>
  </sheetData>
  <mergeCells count="3">
    <mergeCell ref="A13:F13"/>
    <mergeCell ref="A27:F27"/>
    <mergeCell ref="A40:F40"/>
  </mergeCells>
  <dataValidations count="4">
    <dataValidation allowBlank="false" errorStyle="stop" operator="between" showDropDown="false" showErrorMessage="false" showInputMessage="false" sqref="D20" type="list">
      <formula1>"0,1"</formula1>
      <formula2>0</formula2>
    </dataValidation>
    <dataValidation allowBlank="false" errorStyle="stop" operator="between" showDropDown="false" showErrorMessage="false" showInputMessage="false" sqref="D21" type="list">
      <formula1>"0,1"</formula1>
      <formula2>0</formula2>
    </dataValidation>
    <dataValidation allowBlank="false" errorStyle="stop" operator="between" showDropDown="false" showErrorMessage="false" showInputMessage="false" sqref="D22" type="list">
      <formula1>"0,1"</formula1>
      <formula2>0</formula2>
    </dataValidation>
    <dataValidation allowBlank="false" errorStyle="stop" operator="between" showDropDown="false" showErrorMessage="false" showInputMessage="false" sqref="D38"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4" min="2" style="0" width="18"/>
    <col collapsed="false" customWidth="true" hidden="false" outlineLevel="0" max="5" min="5" style="0" width="74"/>
  </cols>
  <sheetData>
    <row r="1" customFormat="false" ht="19.7" hidden="false" customHeight="false" outlineLevel="0" collapsed="false">
      <c r="A1" s="1" t="s">
        <v>101</v>
      </c>
    </row>
    <row r="2" customFormat="false" ht="25.5" hidden="false" customHeight="true" outlineLevel="0" collapsed="false">
      <c r="A2" s="2" t="s">
        <v>102</v>
      </c>
    </row>
    <row r="4" customFormat="false" ht="27.75" hidden="false" customHeight="true" outlineLevel="0" collapsed="false">
      <c r="A4" s="7" t="s">
        <v>46</v>
      </c>
      <c r="B4" s="7" t="s">
        <v>7</v>
      </c>
      <c r="C4" s="7" t="s">
        <v>8</v>
      </c>
      <c r="D4" s="7" t="s">
        <v>9</v>
      </c>
      <c r="E4" s="7" t="s">
        <v>10</v>
      </c>
    </row>
    <row r="5" customFormat="false" ht="25.5" hidden="false" customHeight="true" outlineLevel="0" collapsed="false">
      <c r="A5" s="11" t="s">
        <v>103</v>
      </c>
      <c r="B5" s="33" t="s">
        <v>104</v>
      </c>
      <c r="C5" s="33" t="s">
        <v>105</v>
      </c>
      <c r="D5" s="33" t="s">
        <v>106</v>
      </c>
      <c r="E5" s="10" t="s">
        <v>107</v>
      </c>
    </row>
    <row r="6" customFormat="false" ht="25.5" hidden="false" customHeight="true" outlineLevel="0" collapsed="false">
      <c r="A6" s="11" t="s">
        <v>108</v>
      </c>
      <c r="B6" s="32" t="n">
        <v>24</v>
      </c>
      <c r="C6" s="32" t="n">
        <v>12</v>
      </c>
      <c r="D6" s="32" t="n">
        <v>3</v>
      </c>
      <c r="E6" s="10" t="s">
        <v>109</v>
      </c>
    </row>
    <row r="7" customFormat="false" ht="25.5" hidden="false" customHeight="true" outlineLevel="0" collapsed="false">
      <c r="A7" s="8" t="s">
        <v>110</v>
      </c>
      <c r="B7" s="34" t="n">
        <f aca="false">MAX(1,ROUNDUP(B6/12,0))</f>
        <v>2</v>
      </c>
      <c r="C7" s="34" t="n">
        <f aca="false">MAX(1,ROUNDUP(C6/12,0))</f>
        <v>1</v>
      </c>
      <c r="D7" s="34" t="n">
        <f aca="false">MAX(1,ROUNDUP(D6/12,0))</f>
        <v>1</v>
      </c>
      <c r="E7" s="10" t="s">
        <v>111</v>
      </c>
    </row>
    <row r="9" customFormat="false" ht="15" hidden="false" customHeight="false" outlineLevel="0" collapsed="false">
      <c r="A9" s="35" t="s">
        <v>112</v>
      </c>
    </row>
    <row r="10" customFormat="false" ht="25.5" hidden="false" customHeight="true" outlineLevel="0" collapsed="false">
      <c r="A10" s="8" t="s">
        <v>113</v>
      </c>
      <c r="B10" s="36" t="n">
        <f aca="false">Kostenpositionen!$B$10</f>
        <v>2641</v>
      </c>
      <c r="C10" s="36" t="n">
        <f aca="false">Kostenpositionen!$B$10</f>
        <v>2641</v>
      </c>
      <c r="D10" s="36" t="n">
        <f aca="false">Kostenpositionen!$B$10</f>
        <v>2641</v>
      </c>
      <c r="E10" s="10" t="s">
        <v>114</v>
      </c>
    </row>
    <row r="11" customFormat="false" ht="25.5" hidden="false" customHeight="true" outlineLevel="0" collapsed="false">
      <c r="A11" s="8" t="s">
        <v>115</v>
      </c>
      <c r="B11" s="36" t="n">
        <f aca="false">B6*Kostenpositionen!$B$23</f>
        <v>17184</v>
      </c>
      <c r="C11" s="36" t="n">
        <f aca="false">C6*Kostenpositionen!$B$23</f>
        <v>8592</v>
      </c>
      <c r="D11" s="36" t="n">
        <f aca="false">D6*Kostenpositionen!$B$23</f>
        <v>2148</v>
      </c>
      <c r="E11" s="10" t="s">
        <v>116</v>
      </c>
    </row>
    <row r="12" customFormat="false" ht="25.5" hidden="false" customHeight="true" outlineLevel="0" collapsed="false">
      <c r="A12" s="8" t="s">
        <v>117</v>
      </c>
      <c r="B12" s="36" t="n">
        <f aca="false">B7*Kostenpositionen!$B$34</f>
        <v>3474</v>
      </c>
      <c r="C12" s="36" t="n">
        <f aca="false">C7*Kostenpositionen!$B$34</f>
        <v>1737</v>
      </c>
      <c r="D12" s="36" t="n">
        <f aca="false">D7*Kostenpositionen!$B$34</f>
        <v>1737</v>
      </c>
      <c r="E12" s="10" t="s">
        <v>118</v>
      </c>
    </row>
    <row r="13" customFormat="false" ht="25.5" hidden="false" customHeight="true" outlineLevel="0" collapsed="false">
      <c r="A13" s="8" t="s">
        <v>119</v>
      </c>
      <c r="B13" s="37" t="n">
        <f aca="false">B6*Kostenpositionen!$B$38*Kostenpositionen!$C$38*Kostenpositionen!$D$38</f>
        <v>0</v>
      </c>
      <c r="C13" s="37" t="n">
        <f aca="false">C6*Kostenpositionen!$B$38*Kostenpositionen!$C$38*Kostenpositionen!$D$38</f>
        <v>0</v>
      </c>
      <c r="D13" s="37" t="n">
        <f aca="false">D6*Kostenpositionen!$B$38*Kostenpositionen!$C$38*Kostenpositionen!$D$38</f>
        <v>0</v>
      </c>
      <c r="E13" s="10" t="s">
        <v>120</v>
      </c>
    </row>
    <row r="15" customFormat="false" ht="25.5" hidden="false" customHeight="true" outlineLevel="0" collapsed="false">
      <c r="A15" s="11" t="s">
        <v>121</v>
      </c>
      <c r="B15" s="24" t="n">
        <f aca="false">SUM(B10:B13)</f>
        <v>23299</v>
      </c>
      <c r="C15" s="24" t="n">
        <f aca="false">SUM(C10:C13)</f>
        <v>12970</v>
      </c>
      <c r="D15" s="24" t="n">
        <f aca="false">SUM(D10:D13)</f>
        <v>6526</v>
      </c>
      <c r="E15" s="10" t="s">
        <v>122</v>
      </c>
    </row>
    <row r="17" customFormat="false" ht="16.15" hidden="false" customHeight="false" outlineLevel="0" collapsed="false">
      <c r="A17" s="4" t="s">
        <v>123</v>
      </c>
    </row>
    <row r="18" customFormat="false" ht="39.75" hidden="false" customHeight="true" outlineLevel="0" collapsed="false">
      <c r="A18" s="5" t="s">
        <v>124</v>
      </c>
      <c r="B18" s="5"/>
      <c r="C18" s="5"/>
      <c r="D18" s="38" t="n">
        <f aca="false">B15-D15</f>
        <v>16773</v>
      </c>
      <c r="E18" s="39" t="s">
        <v>125</v>
      </c>
    </row>
    <row r="19" customFormat="false" ht="25.5" hidden="false" customHeight="true" outlineLevel="0" collapsed="false">
      <c r="A19" s="11" t="s">
        <v>126</v>
      </c>
      <c r="B19" s="25"/>
      <c r="C19" s="25" t="n">
        <f aca="false">C15-D15</f>
        <v>6444</v>
      </c>
      <c r="D19" s="25"/>
      <c r="E19" s="10" t="s">
        <v>127</v>
      </c>
    </row>
    <row r="21" customFormat="false" ht="15" hidden="false" customHeight="false" outlineLevel="0" collapsed="false">
      <c r="A21" s="35" t="s">
        <v>128</v>
      </c>
    </row>
    <row r="22" customFormat="false" ht="27.75" hidden="false" customHeight="true" outlineLevel="0" collapsed="false">
      <c r="A22" s="7" t="s">
        <v>129</v>
      </c>
      <c r="B22" s="7" t="s">
        <v>7</v>
      </c>
      <c r="C22" s="7" t="s">
        <v>8</v>
      </c>
      <c r="D22" s="7" t="s">
        <v>9</v>
      </c>
      <c r="E22" s="7" t="s">
        <v>130</v>
      </c>
    </row>
    <row r="23" customFormat="false" ht="25.5" hidden="false" customHeight="true" outlineLevel="0" collapsed="false">
      <c r="A23" s="11" t="s">
        <v>131</v>
      </c>
      <c r="B23" s="24" t="n">
        <f aca="false">Kostenpositionen!$B$10+B6*SUMIF(Kostenpositionen!$C$17:$C$22,"ja",Kostenpositionen!$B$17:$B$22)+B7*Kostenpositionen!$B$34</f>
        <v>10099</v>
      </c>
      <c r="C23" s="24" t="n">
        <f aca="false">Kostenpositionen!$B$10+C6*SUMIF(Kostenpositionen!$C$17:$C$22,"ja",Kostenpositionen!$B$17:$B$22)+C7*Kostenpositionen!$B$34</f>
        <v>6370</v>
      </c>
      <c r="D23" s="24" t="n">
        <f aca="false">Kostenpositionen!$B$10+D6*SUMIF(Kostenpositionen!$C$17:$C$22,"ja",Kostenpositionen!$B$17:$B$22)+D7*Kostenpositionen!$B$34</f>
        <v>4876</v>
      </c>
      <c r="E23" s="10" t="s">
        <v>132</v>
      </c>
    </row>
    <row r="24" customFormat="false" ht="25.5" hidden="false" customHeight="true" outlineLevel="0" collapsed="false">
      <c r="A24" s="11" t="s">
        <v>133</v>
      </c>
      <c r="B24" s="40" t="n">
        <f aca="false">Kostenpositionen!$B$10+B6*SUM(Kostenpositionen!$B$17:$B$22)+B7*Kostenpositionen!$B$34+B6*Kostenpositionen!$B$38*Kostenpositionen!$C$38</f>
        <v>32899</v>
      </c>
      <c r="C24" s="40" t="n">
        <f aca="false">Kostenpositionen!$B$10+C6*SUM(Kostenpositionen!$B$17:$B$22)+C7*Kostenpositionen!$B$34+C6*Kostenpositionen!$B$38*Kostenpositionen!$C$38</f>
        <v>17770</v>
      </c>
      <c r="D24" s="40" t="n">
        <f aca="false">Kostenpositionen!$B$10+D6*SUM(Kostenpositionen!$B$17:$B$22)+D7*Kostenpositionen!$B$34+D6*Kostenpositionen!$B$38*Kostenpositionen!$C$38</f>
        <v>7726</v>
      </c>
      <c r="E24" s="10" t="s">
        <v>134</v>
      </c>
    </row>
    <row r="25" customFormat="false" ht="25.5" hidden="false" customHeight="true" outlineLevel="0" collapsed="false">
      <c r="A25" s="11" t="s">
        <v>135</v>
      </c>
      <c r="B25" s="25" t="n">
        <f aca="false">B24-B23</f>
        <v>22800</v>
      </c>
      <c r="C25" s="25" t="n">
        <f aca="false">C24-C23</f>
        <v>11400</v>
      </c>
      <c r="D25" s="25" t="n">
        <f aca="false">D24-D23</f>
        <v>2850</v>
      </c>
      <c r="E25" s="10" t="s">
        <v>136</v>
      </c>
    </row>
    <row r="27" customFormat="false" ht="60" hidden="false" customHeight="true" outlineLevel="0" collapsed="false">
      <c r="A27" s="16" t="s">
        <v>137</v>
      </c>
      <c r="B27" s="16"/>
      <c r="C27" s="16"/>
      <c r="D27" s="16"/>
      <c r="E27" s="16"/>
    </row>
  </sheetData>
  <mergeCells count="2">
    <mergeCell ref="A18:C18"/>
    <mergeCell ref="A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58"/>
    <col collapsed="false" customWidth="true" hidden="false" outlineLevel="0" max="5" min="3" style="0" width="15"/>
    <col collapsed="false" customWidth="true" hidden="false" outlineLevel="0" max="6" min="6" style="0" width="64"/>
  </cols>
  <sheetData>
    <row r="1" customFormat="false" ht="19.7" hidden="false" customHeight="false" outlineLevel="0" collapsed="false">
      <c r="A1" s="1" t="s">
        <v>138</v>
      </c>
    </row>
    <row r="2" customFormat="false" ht="25.5" hidden="false" customHeight="true" outlineLevel="0" collapsed="false">
      <c r="A2" s="2" t="s">
        <v>139</v>
      </c>
    </row>
    <row r="4" customFormat="false" ht="27.75" hidden="false" customHeight="true" outlineLevel="0" collapsed="false">
      <c r="A4" s="7" t="s">
        <v>140</v>
      </c>
      <c r="B4" s="7" t="s">
        <v>141</v>
      </c>
      <c r="C4" s="7" t="s">
        <v>142</v>
      </c>
      <c r="D4" s="7" t="s">
        <v>143</v>
      </c>
      <c r="E4" s="7" t="s">
        <v>144</v>
      </c>
      <c r="F4" s="7" t="s">
        <v>145</v>
      </c>
    </row>
    <row r="5" customFormat="false" ht="91.5" hidden="false" customHeight="true" outlineLevel="0" collapsed="false">
      <c r="A5" s="39" t="s">
        <v>146</v>
      </c>
      <c r="B5" s="19" t="s">
        <v>147</v>
      </c>
      <c r="C5" s="41" t="s">
        <v>148</v>
      </c>
      <c r="D5" s="41" t="s">
        <v>148</v>
      </c>
      <c r="E5" s="42" t="s">
        <v>149</v>
      </c>
      <c r="F5" s="10" t="s">
        <v>150</v>
      </c>
    </row>
    <row r="6" customFormat="false" ht="91.5" hidden="false" customHeight="true" outlineLevel="0" collapsed="false">
      <c r="A6" s="39" t="s">
        <v>151</v>
      </c>
      <c r="B6" s="19" t="s">
        <v>152</v>
      </c>
      <c r="C6" s="41" t="s">
        <v>148</v>
      </c>
      <c r="D6" s="43" t="s">
        <v>153</v>
      </c>
      <c r="E6" s="42" t="s">
        <v>149</v>
      </c>
      <c r="F6" s="10" t="s">
        <v>154</v>
      </c>
    </row>
    <row r="7" customFormat="false" ht="91.5" hidden="false" customHeight="true" outlineLevel="0" collapsed="false">
      <c r="A7" s="39" t="s">
        <v>155</v>
      </c>
      <c r="B7" s="19" t="s">
        <v>156</v>
      </c>
      <c r="C7" s="44" t="s">
        <v>157</v>
      </c>
      <c r="D7" s="44" t="s">
        <v>157</v>
      </c>
      <c r="E7" s="42" t="s">
        <v>158</v>
      </c>
      <c r="F7" s="10" t="s">
        <v>159</v>
      </c>
    </row>
    <row r="8" customFormat="false" ht="91.5" hidden="false" customHeight="true" outlineLevel="0" collapsed="false">
      <c r="A8" s="39" t="s">
        <v>160</v>
      </c>
      <c r="B8" s="19" t="s">
        <v>161</v>
      </c>
      <c r="C8" s="42" t="s">
        <v>149</v>
      </c>
      <c r="D8" s="43" t="s">
        <v>153</v>
      </c>
      <c r="E8" s="41" t="s">
        <v>148</v>
      </c>
      <c r="F8" s="10" t="s">
        <v>162</v>
      </c>
    </row>
    <row r="9" customFormat="false" ht="91.5" hidden="false" customHeight="true" outlineLevel="0" collapsed="false">
      <c r="A9" s="39" t="s">
        <v>163</v>
      </c>
      <c r="B9" s="19" t="s">
        <v>164</v>
      </c>
      <c r="C9" s="42" t="s">
        <v>165</v>
      </c>
      <c r="D9" s="42" t="s">
        <v>165</v>
      </c>
      <c r="E9" s="42" t="s">
        <v>165</v>
      </c>
      <c r="F9" s="10" t="s">
        <v>166</v>
      </c>
    </row>
    <row r="10" customFormat="false" ht="91.5" hidden="false" customHeight="true" outlineLevel="0" collapsed="false">
      <c r="A10" s="39" t="s">
        <v>167</v>
      </c>
      <c r="B10" s="19" t="s">
        <v>168</v>
      </c>
      <c r="C10" s="43" t="s">
        <v>153</v>
      </c>
      <c r="D10" s="43" t="s">
        <v>153</v>
      </c>
      <c r="E10" s="42" t="s">
        <v>149</v>
      </c>
      <c r="F10" s="10" t="s">
        <v>169</v>
      </c>
    </row>
    <row r="12" customFormat="false" ht="16.15" hidden="false" customHeight="false" outlineLevel="0" collapsed="false">
      <c r="A12" s="4" t="s">
        <v>170</v>
      </c>
    </row>
    <row r="13" customFormat="false" ht="132" hidden="false" customHeight="true" outlineLevel="0" collapsed="false">
      <c r="A13" s="16" t="s">
        <v>171</v>
      </c>
      <c r="B13" s="16"/>
      <c r="C13" s="16"/>
      <c r="D13" s="16"/>
      <c r="E13" s="16"/>
      <c r="F13" s="16"/>
    </row>
    <row r="15" customFormat="false" ht="16.15" hidden="false" customHeight="false" outlineLevel="0" collapsed="false">
      <c r="A15" s="4" t="s">
        <v>172</v>
      </c>
    </row>
    <row r="16" customFormat="false" ht="27.75" hidden="false" customHeight="true" outlineLevel="0" collapsed="false">
      <c r="A16" s="7" t="s">
        <v>173</v>
      </c>
      <c r="B16" s="7" t="s">
        <v>174</v>
      </c>
      <c r="C16" s="7"/>
      <c r="D16" s="7"/>
      <c r="E16" s="7"/>
      <c r="F16" s="7" t="s">
        <v>175</v>
      </c>
    </row>
    <row r="17" customFormat="false" ht="61.5" hidden="false" customHeight="true" outlineLevel="0" collapsed="false">
      <c r="A17" s="39" t="s">
        <v>176</v>
      </c>
      <c r="B17" s="19" t="s">
        <v>177</v>
      </c>
      <c r="C17" s="19"/>
      <c r="D17" s="19"/>
      <c r="E17" s="19"/>
      <c r="F17" s="10" t="s">
        <v>178</v>
      </c>
    </row>
    <row r="18" customFormat="false" ht="61.5" hidden="false" customHeight="true" outlineLevel="0" collapsed="false">
      <c r="A18" s="39" t="s">
        <v>179</v>
      </c>
      <c r="B18" s="19" t="s">
        <v>180</v>
      </c>
      <c r="C18" s="19"/>
      <c r="D18" s="19"/>
      <c r="E18" s="19"/>
      <c r="F18" s="10" t="s">
        <v>181</v>
      </c>
    </row>
    <row r="19" customFormat="false" ht="61.5" hidden="false" customHeight="true" outlineLevel="0" collapsed="false">
      <c r="A19" s="39" t="s">
        <v>182</v>
      </c>
      <c r="B19" s="19" t="s">
        <v>183</v>
      </c>
      <c r="C19" s="19"/>
      <c r="D19" s="19"/>
      <c r="E19" s="19"/>
      <c r="F19" s="10" t="s">
        <v>184</v>
      </c>
    </row>
    <row r="20" customFormat="false" ht="61.5" hidden="false" customHeight="true" outlineLevel="0" collapsed="false">
      <c r="A20" s="39" t="s">
        <v>185</v>
      </c>
      <c r="B20" s="19" t="s">
        <v>186</v>
      </c>
      <c r="C20" s="19"/>
      <c r="D20" s="19"/>
      <c r="E20" s="19"/>
      <c r="F20" s="10" t="s">
        <v>187</v>
      </c>
    </row>
  </sheetData>
  <mergeCells count="5">
    <mergeCell ref="A13:F13"/>
    <mergeCell ref="B17:E17"/>
    <mergeCell ref="B18:E18"/>
    <mergeCell ref="B19:E19"/>
    <mergeCell ref="B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58"/>
    <col collapsed="false" customWidth="true" hidden="false" outlineLevel="0" max="4" min="4" style="0" width="30"/>
  </cols>
  <sheetData>
    <row r="1" customFormat="false" ht="19.7" hidden="false" customHeight="false" outlineLevel="0" collapsed="false">
      <c r="A1" s="1" t="s">
        <v>188</v>
      </c>
    </row>
    <row r="2" customFormat="false" ht="25.5" hidden="false" customHeight="true" outlineLevel="0" collapsed="false">
      <c r="A2" s="2" t="s">
        <v>189</v>
      </c>
    </row>
    <row r="4" customFormat="false" ht="27.75" hidden="false" customHeight="true" outlineLevel="0" collapsed="false">
      <c r="A4" s="7" t="s">
        <v>190</v>
      </c>
      <c r="B4" s="7" t="s">
        <v>191</v>
      </c>
      <c r="C4" s="7" t="s">
        <v>192</v>
      </c>
      <c r="D4" s="7" t="s">
        <v>193</v>
      </c>
    </row>
    <row r="5" customFormat="false" ht="39.75" hidden="false" customHeight="true" outlineLevel="0" collapsed="false">
      <c r="A5" s="26" t="n">
        <v>1</v>
      </c>
      <c r="B5" s="19" t="s">
        <v>194</v>
      </c>
      <c r="C5" s="45" t="s">
        <v>195</v>
      </c>
      <c r="D5" s="10" t="s">
        <v>196</v>
      </c>
    </row>
    <row r="6" customFormat="false" ht="39.75" hidden="false" customHeight="true" outlineLevel="0" collapsed="false">
      <c r="A6" s="46" t="n">
        <v>2</v>
      </c>
      <c r="B6" s="47" t="s">
        <v>197</v>
      </c>
      <c r="C6" s="48" t="s">
        <v>198</v>
      </c>
      <c r="D6" s="49" t="s">
        <v>199</v>
      </c>
    </row>
    <row r="7" customFormat="false" ht="39.75" hidden="false" customHeight="true" outlineLevel="0" collapsed="false">
      <c r="A7" s="26" t="n">
        <v>3</v>
      </c>
      <c r="B7" s="19" t="s">
        <v>200</v>
      </c>
      <c r="C7" s="45" t="s">
        <v>201</v>
      </c>
      <c r="D7" s="10" t="s">
        <v>202</v>
      </c>
    </row>
    <row r="8" customFormat="false" ht="39.75" hidden="false" customHeight="true" outlineLevel="0" collapsed="false">
      <c r="A8" s="46" t="n">
        <v>4</v>
      </c>
      <c r="B8" s="47" t="s">
        <v>203</v>
      </c>
      <c r="C8" s="48" t="s">
        <v>204</v>
      </c>
      <c r="D8" s="49" t="s">
        <v>202</v>
      </c>
    </row>
    <row r="9" customFormat="false" ht="39.75" hidden="false" customHeight="true" outlineLevel="0" collapsed="false">
      <c r="A9" s="26" t="n">
        <v>5</v>
      </c>
      <c r="B9" s="19" t="s">
        <v>205</v>
      </c>
      <c r="C9" s="45" t="s">
        <v>206</v>
      </c>
      <c r="D9" s="10" t="s">
        <v>207</v>
      </c>
    </row>
    <row r="10" customFormat="false" ht="39.75" hidden="false" customHeight="true" outlineLevel="0" collapsed="false">
      <c r="A10" s="46" t="n">
        <v>6</v>
      </c>
      <c r="B10" s="47" t="s">
        <v>208</v>
      </c>
      <c r="C10" s="48" t="s">
        <v>209</v>
      </c>
      <c r="D10" s="49" t="s">
        <v>207</v>
      </c>
    </row>
    <row r="11" customFormat="false" ht="39.75" hidden="false" customHeight="true" outlineLevel="0" collapsed="false">
      <c r="A11" s="26" t="n">
        <v>7</v>
      </c>
      <c r="B11" s="19" t="s">
        <v>210</v>
      </c>
      <c r="C11" s="45" t="s">
        <v>211</v>
      </c>
      <c r="D11" s="10" t="s">
        <v>212</v>
      </c>
    </row>
    <row r="12" customFormat="false" ht="39.75" hidden="false" customHeight="true" outlineLevel="0" collapsed="false">
      <c r="A12" s="46" t="n">
        <v>8</v>
      </c>
      <c r="B12" s="47" t="s">
        <v>213</v>
      </c>
      <c r="C12" s="48" t="s">
        <v>214</v>
      </c>
      <c r="D12" s="49" t="s">
        <v>207</v>
      </c>
    </row>
    <row r="13" customFormat="false" ht="39.75" hidden="false" customHeight="true" outlineLevel="0" collapsed="false">
      <c r="A13" s="26" t="n">
        <v>9</v>
      </c>
      <c r="B13" s="19" t="s">
        <v>215</v>
      </c>
      <c r="C13" s="45" t="s">
        <v>216</v>
      </c>
      <c r="D13" s="10" t="s">
        <v>207</v>
      </c>
    </row>
    <row r="14" customFormat="false" ht="39.75" hidden="false" customHeight="true" outlineLevel="0" collapsed="false">
      <c r="A14" s="46" t="n">
        <v>10</v>
      </c>
      <c r="B14" s="47" t="s">
        <v>217</v>
      </c>
      <c r="C14" s="48" t="s">
        <v>218</v>
      </c>
      <c r="D14" s="49" t="s">
        <v>207</v>
      </c>
    </row>
    <row r="15" customFormat="false" ht="39.75" hidden="false" customHeight="true" outlineLevel="0" collapsed="false">
      <c r="A15" s="26" t="n">
        <v>11</v>
      </c>
      <c r="B15" s="19" t="s">
        <v>219</v>
      </c>
      <c r="C15" s="45" t="s">
        <v>220</v>
      </c>
      <c r="D15" s="10" t="s">
        <v>207</v>
      </c>
    </row>
    <row r="16" customFormat="false" ht="39.75" hidden="false" customHeight="true" outlineLevel="0" collapsed="false">
      <c r="A16" s="46" t="n">
        <v>12</v>
      </c>
      <c r="B16" s="47" t="s">
        <v>221</v>
      </c>
      <c r="C16" s="48" t="s">
        <v>222</v>
      </c>
      <c r="D16" s="49" t="s">
        <v>223</v>
      </c>
    </row>
    <row r="17" customFormat="false" ht="39.75" hidden="false" customHeight="true" outlineLevel="0" collapsed="false">
      <c r="A17" s="26" t="n">
        <v>13</v>
      </c>
      <c r="B17" s="19" t="s">
        <v>224</v>
      </c>
      <c r="C17" s="45" t="s">
        <v>225</v>
      </c>
      <c r="D17" s="10" t="s">
        <v>104</v>
      </c>
    </row>
    <row r="18" customFormat="false" ht="39.75" hidden="false" customHeight="true" outlineLevel="0" collapsed="false">
      <c r="A18" s="46" t="n">
        <v>14</v>
      </c>
      <c r="B18" s="47" t="s">
        <v>226</v>
      </c>
      <c r="C18" s="48" t="s">
        <v>227</v>
      </c>
      <c r="D18" s="49" t="s">
        <v>104</v>
      </c>
    </row>
    <row r="19" customFormat="false" ht="39.75" hidden="false" customHeight="true" outlineLevel="0" collapsed="false">
      <c r="A19" s="26" t="n">
        <v>15</v>
      </c>
      <c r="B19" s="19" t="s">
        <v>228</v>
      </c>
      <c r="C19" s="45" t="s">
        <v>229</v>
      </c>
      <c r="D19" s="10" t="s">
        <v>230</v>
      </c>
    </row>
    <row r="20" customFormat="false" ht="39.75" hidden="false" customHeight="true" outlineLevel="0" collapsed="false">
      <c r="A20" s="46" t="n">
        <v>16</v>
      </c>
      <c r="B20" s="47" t="s">
        <v>231</v>
      </c>
      <c r="C20" s="48" t="s">
        <v>232</v>
      </c>
      <c r="D20" s="49" t="s">
        <v>104</v>
      </c>
    </row>
    <row r="22" customFormat="false" ht="16.15" hidden="false" customHeight="false" outlineLevel="0" collapsed="false">
      <c r="A22" s="4" t="s">
        <v>233</v>
      </c>
    </row>
    <row r="23" customFormat="false" ht="109.5" hidden="false" customHeight="true" outlineLevel="0" collapsed="false">
      <c r="A23" s="50" t="s">
        <v>234</v>
      </c>
      <c r="B23" s="50"/>
      <c r="C23" s="50"/>
      <c r="D23" s="50"/>
    </row>
  </sheetData>
  <mergeCells count="1">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2026-07-27T20:01:15Z</dcterms:created>
  <dc:creator>openpyxl</dc:creator>
  <dc:description/>
  <dc:language>en-US</dc:language>
  <cp:lastModifiedBy/>
  <dcterms:modified xsi:type="dcterms:W3CDTF">2026-07-27T20:01:15Z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