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Rechner" sheetId="2" state="visible" r:id="rId4"/>
    <sheet name="Stufen" sheetId="3" state="visible" r:id="rId5"/>
    <sheet name="PLUS-Wert" sheetId="4" state="visible" r:id="rId6"/>
    <sheet name="Plattformvergleich" sheetId="5" state="visible" r:id="rId7"/>
    <sheet name="Warteliste" sheetId="6" state="visible" r:id="rId8"/>
    <sheet name="Plattformen" sheetId="7" state="visible" r:id="rId9"/>
    <sheet name="Quelle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<sst xmlns="http://schemas.openxmlformats.org/spreadsheetml/2006/main" count="419" uniqueCount="353">
  <si>
    <t xml:space="preserve">Crowdfunding-Rechner — so wird er benutzt</t>
  </si>
  <si>
    <t xml:space="preserve">Aufgabe A-21 · erstellt 16.09.2026, fortgeschrieben 21.09.2026 · Grundlage: Handbuch B (Kapitalfahrplan, Abopreise, Einmalkosten), finanzmodell.xlsx (Szenario realistisch), Plattformseiten abgerufen am 16.09.2026 · ENTWURF — die Tabelle rechnet, entscheiden tun die Gründer.</t>
  </si>
  <si>
    <t xml:space="preserve">LEGENDE: Gelb mit blauer Schrift = Eingabe (Voreinstellung mit Herkunft, änderbar). Alles andere rechnet. ANNAHME = kein Erfahrungswert, bewusst gesetzt.</t>
  </si>
  <si>
    <t xml:space="preserve">#</t>
  </si>
  <si>
    <t xml:space="preserve">Schritt</t>
  </si>
  <si>
    <t xml:space="preserve">1</t>
  </si>
  <si>
    <t xml:space="preserve">Blatt „Plattformen“: Gebühren vor dem Start neu prüfen. Stand der Werte ist der 16.09.2026; leere gelbe Felder heißen „nicht belegt“.</t>
  </si>
  <si>
    <t xml:space="preserve">2</t>
  </si>
  <si>
    <t xml:space="preserve">Blatt „Stufen“: Preise, Limits und die erwartete Verteilung der Unterstützer festlegen (Entscheidung Nr. 60). Die Anteile müssen zusammen 100 % ergeben — die Prüfzeile sagt es.</t>
  </si>
  <si>
    <t xml:space="preserve">3</t>
  </si>
  <si>
    <t xml:space="preserve">Blatt „PLUS-Wert“: die beiden Annahmen zum Umsatzverzicht prüfen — wie viele Unterstützer hätten PLUS ohnehin gekauft, und wie lange?</t>
  </si>
  <si>
    <t xml:space="preserve">4</t>
  </si>
  <si>
    <t xml:space="preserve">Blatt „Rechner“: Plattform wählen, Besteuerung mit dem Steuerberater klären, Nettobedarf prüfen. Das Blatt nennt Break-even, Mindestbetrag und Wunschbetrag.</t>
  </si>
  <si>
    <t xml:space="preserve">5</t>
  </si>
  <si>
    <t xml:space="preserve">Blatt „Plattformvergleich“: dieselbe Rechnung für alle Plattformen nebeneinander.</t>
  </si>
  <si>
    <t xml:space="preserve">6</t>
  </si>
  <si>
    <t xml:space="preserve">Blatt „Warteliste“: welcher Anteil der Liste unterstützen müsste — und ob die Liste überhaupt angeschrieben werden darf (Nr. 59).</t>
  </si>
  <si>
    <t xml:space="preserve">!</t>
  </si>
  <si>
    <t xml:space="preserve">Die Tabelle rechnet nur. Plattform, Stufen, Preise und Zeitpunkt entscheiden die Gründer; die Kampagne startet frühestens, wenn die Warteliste über 1.000 liegt (Handbuch B).</t>
  </si>
  <si>
    <t xml:space="preserve">Umsatzsteuer auf Gegenleistungen und Kleinunternehmerregelung sind nicht geklärt — Schalter im Blatt „Rechner“, Fragen im Konzept, Abschnitt 9.</t>
  </si>
  <si>
    <t xml:space="preserve">Blätter</t>
  </si>
  <si>
    <t xml:space="preserve">Blatt und Inhalt</t>
  </si>
  <si>
    <t xml:space="preserve">Rechner — Eingaben, Nettobedarf, Break-even, Mindest- und Wunschbetrag, Faustregeln der Plattform</t>
  </si>
  <si>
    <t xml:space="preserve">Stufen — sechs Gegenleistungsstufen mit Umsatzsteuer, Gebühren, Umsatzverzicht und Beitrag je Stück</t>
  </si>
  <si>
    <t xml:space="preserve">PLUS-Wert — Abopreise aus Handbuch B und der spätere Erlös, den die PLUS-Stufen kosten</t>
  </si>
  <si>
    <t xml:space="preserve">Plattformvergleich — dieselben Stufen bei allen Plattformen</t>
  </si>
  <si>
    <t xml:space="preserve">Warteliste — nötiger Anteil der Liste bei fünf Listengrößen</t>
  </si>
  <si>
    <t xml:space="preserve">Plattformen — Gebühren, Modell, Sitz, Regeln und Quellen</t>
  </si>
  <si>
    <t xml:space="preserve">7</t>
  </si>
  <si>
    <t xml:space="preserve">Quellen — alle Fundstellen mit Abrufdatum</t>
  </si>
  <si>
    <t xml:space="preserve">Konzept dazu: 40-finanzen-foerderung/crowdfunding/crowdfunding-konzept.md · Video-Skript: kampagnenvideo-skript-ENTWURF.md</t>
  </si>
  <si>
    <t xml:space="preserve">Crowdfunding-Rechner — Break-even, Mindestbetrag, Wunschbetrag</t>
  </si>
  <si>
    <t xml:space="preserve">Aufgabe A-21 · erstellt 16.09.2026, fortgeschrieben 21.09.2026 (Nr. 60, A-52) · Grundlage: Handbuch B (Kapitalfahrplan, Abopreise, Einmalkosten), finanzmodell.xlsx (Szenario realistisch), Plattformseiten abgerufen am 16.09.2026 · ENTWURF — die Tabelle rechnet, entscheiden tun die Gründer.</t>
  </si>
  <si>
    <t xml:space="preserve">Größe</t>
  </si>
  <si>
    <t xml:space="preserve">Wert</t>
  </si>
  <si>
    <t xml:space="preserve">Herkunft und Hinweis</t>
  </si>
  <si>
    <t xml:space="preserve">Eingaben</t>
  </si>
  <si>
    <t xml:space="preserve">Plattform</t>
  </si>
  <si>
    <t xml:space="preserve">Startnext Basis</t>
  </si>
  <si>
    <t xml:space="preserve">Auswahl aus dem Blatt „Plattformen“. Voreinstellung: die deutsche Plattform mit der niedrigsten Provision. Zulässigkeit einer Cruising-App vorher schriftlich klären (Konzept, Abschnitt 3).</t>
  </si>
  <si>
    <t xml:space="preserve">Umsatzsteuersatz</t>
  </si>
  <si>
    <t xml:space="preserve">Regelsatz. Ob er auf jede Stufe anfällt, klärt der Steuerberater (Konzept, Abschnitt 9).</t>
  </si>
  <si>
    <t xml:space="preserve">Umsatzsteuer auf Gegenleistungen abführen? (ja = Regelbesteuerung, nein = Kleinunternehmer)</t>
  </si>
  <si>
    <t xml:space="preserve">ja</t>
  </si>
  <si>
    <t xml:space="preserve">Voreinstellung wie Handbuch B („Kleinunternehmerregelung greift bei einer GmbH nicht“). Nach IHK Hannover (Stand 22.05.2026) gilt sie auch für Kapitalgesellschaften — offene Entscheidung Nr. 11.</t>
  </si>
  <si>
    <t xml:space="preserve">Fixkosten der Kampagne</t>
  </si>
  <si>
    <t xml:space="preserve">Zwei Monatsbudgets „Druck, Material, Reisekosten, Werkzeuge“ vor dem Start (Handbuch B: 150 € je Monat). Video mit eigenem Gerät. Rechtliche Prüfung über die Rückstellung Rechtsberatung aus Handbuch B, hier nicht doppelt gezählt.</t>
  </si>
  <si>
    <t xml:space="preserve">Sind die Gebühren der gewählten Plattform belegt?</t>
  </si>
  <si>
    <t xml:space="preserve">Bei „nein“ sind alle Ergebnisse unten unbrauchbar — andere Plattform wählen.</t>
  </si>
  <si>
    <t xml:space="preserve">Nettobedarf — wofür das Geld ist</t>
  </si>
  <si>
    <t xml:space="preserve">Penetrationstest</t>
  </si>
  <si>
    <t xml:space="preserve">Handbuch B, Einmalkosten: Monat 8–9, „Schwerpunkt Standort- und Bildarchitektur. Vor dem öffentlichen Start.“</t>
  </si>
  <si>
    <t xml:space="preserve">Barrierefreiheitsprüfung</t>
  </si>
  <si>
    <t xml:space="preserve">Handbuch B, Einmalkosten: Monat 8, „Durch Betroffene.“</t>
  </si>
  <si>
    <t xml:space="preserve">Nettobedarf für den Mindestbetrag</t>
  </si>
  <si>
    <t xml:space="preserve">Was vor dem öffentlichen Start geprüft sein muss. Das Finanzmodell setzt beides in Monat 8 — die Kampagne liegt davor.</t>
  </si>
  <si>
    <t xml:space="preserve">Kosten der Roadmapmonate 6 bis 10, Szenario realistisch</t>
  </si>
  <si>
    <t xml:space="preserve">finanzmodell.xlsx nach A-52, Blatt „Realistisch“, Zeile „Kosten gesamt“, M6–M10 (4.360 + 2.496 + 8.135 + 2.777 + 2.910 €), abgelesen am 21.09.2026. Enthält die beiden Prüfungen; die Code-Prüfung nach Nr. 73 liegt im Modell in Monat 1 und ist hier nicht enthalten (Nr. 88).</t>
  </si>
  <si>
    <t xml:space="preserve">Nettobedarf für den Wunschbetrag</t>
  </si>
  <si>
    <t xml:space="preserve">Die Kosten der fünf Monate, in denen Handbuch B das Crowdfunding ansetzt („Monat 6–10“).</t>
  </si>
  <si>
    <t xml:space="preserve">Ergebnis bei der gewählten Plattform</t>
  </si>
  <si>
    <t xml:space="preserve">Durchschnittliche Unterstützung (brutto)</t>
  </si>
  <si>
    <t xml:space="preserve">Gewichtet mit der Verteilung auf die Stufen (Blatt „Stufen“, ANNAHME).</t>
  </si>
  <si>
    <t xml:space="preserve">Abzüge je Euro — Kasse (Umsatzsteuer, Gebühren, direkte Kosten)</t>
  </si>
  <si>
    <t xml:space="preserve">Was von jedem eingesammelten Euro sofort abgeht.</t>
  </si>
  <si>
    <t xml:space="preserve">Abzüge je Euro — wirtschaftlich (zusätzlich Umsatzverzicht bei PLUS)</t>
  </si>
  <si>
    <t xml:space="preserve">Umsatzverzicht: PLUS-Erlös, der später fehlt, weil ihn die Unterstützung vorwegnimmt (Blatt „PLUS-Wert“).</t>
  </si>
  <si>
    <t xml:space="preserve">Break-even der Kampagne (brutto)</t>
  </si>
  <si>
    <t xml:space="preserve">Ab dieser Summe trägt die Kampagne sich selbst: Fixkosten, Gebühren, Steuer, Gegenleistungen und Umsatzverzicht sind gedeckt.</t>
  </si>
  <si>
    <t xml:space="preserve">Mindestbetrag — Kasse</t>
  </si>
  <si>
    <t xml:space="preserve">Deckt die Prüfungen und die Fixkosten in bar, aufgerundet auf volle 100 €.</t>
  </si>
  <si>
    <t xml:space="preserve">Mindestbetrag — wirtschaftlich (Vorschlag für die Alles-oder-nichts-Schwelle)</t>
  </si>
  <si>
    <t xml:space="preserve">Wie oben, zusätzlich mit dem Umsatzverzicht, weil er später als Erlös fehlt.</t>
  </si>
  <si>
    <t xml:space="preserve">Wunschbetrag — wirtschaftlich</t>
  </si>
  <si>
    <t xml:space="preserve">Deckt die Kosten der Roadmapmonate 6 bis 10.</t>
  </si>
  <si>
    <t xml:space="preserve">Mindestbetrag im Verhältnis zur Spanne aus Handbuch B (10.000–60.000 €)</t>
  </si>
  <si>
    <t xml:space="preserve">Handbuch B, Finanzierungswege: „Crowdfunding · 10–60 T€ · 0 % · Monat 6–10“.</t>
  </si>
  <si>
    <t xml:space="preserve">Wunschbetrag im Verhältnis zur Spanne</t>
  </si>
  <si>
    <t xml:space="preserve">Unterstützer nötig für den Mindestbetrag</t>
  </si>
  <si>
    <t xml:space="preserve">Unterstützer nötig für den Wunschbetrag</t>
  </si>
  <si>
    <t xml:space="preserve">Besuche der Projektseite nötig für den Mindestbetrag</t>
  </si>
  <si>
    <t xml:space="preserve">Faustregel der Plattform: rund 1 € je Besuch (Zeile 43).</t>
  </si>
  <si>
    <t xml:space="preserve">Besuche der Projektseite nötig für den Wunschbetrag</t>
  </si>
  <si>
    <t xml:space="preserve">Ziel für die ersten 72 Stunden — unterer Wert</t>
  </si>
  <si>
    <t xml:space="preserve">Startnext: „Idealerweise erreichst du 20-40% Prozent deines Mindest- oder Wunschbetrages innerhalb der ersten 72 Stunden.“</t>
  </si>
  <si>
    <t xml:space="preserve">Ziel für die ersten 72 Stunden — oberer Wert</t>
  </si>
  <si>
    <t xml:space="preserve">Netto aus dem Mindestbetrag (Kasse, nach Fixkosten)</t>
  </si>
  <si>
    <t xml:space="preserve">Das Bargeld, das nach Abzügen und Fixkosten übrig bleibt.</t>
  </si>
  <si>
    <t xml:space="preserve">Deckt der Mindestbetrag den Nettobedarf?</t>
  </si>
  <si>
    <t xml:space="preserve">Reichen die Limits der Stufen beim Wunschbetrag?</t>
  </si>
  <si>
    <t xml:space="preserve">Stückzahl je Stufe = nötige Unterstützer × Anteil der Stufe.</t>
  </si>
  <si>
    <t xml:space="preserve">Liegt die Durchschnittsunterstützung im typischen Warenkorb der Plattform?</t>
  </si>
  <si>
    <t xml:space="preserve">Startnext: „Der Warenkorb einer typischen Unterstützung auf Startnext liegt bei etwa 35-75€.“</t>
  </si>
  <si>
    <t xml:space="preserve">Faustregeln der Plattform (Startnext-Handbuch „Kommunikation“ und „Dankeschöns“, abgerufen 16.09.2026)</t>
  </si>
  <si>
    <t xml:space="preserve">Durchschnittliche Unterstützung laut Plattform</t>
  </si>
  <si>
    <t xml:space="preserve">„Beitrag einer Unterstützer:in im Durchschnitt bei 35€ liegt“ — zum Vergleich mit Zeile 21.</t>
  </si>
  <si>
    <t xml:space="preserve">Euro je Besuch der Projektseite</t>
  </si>
  <si>
    <t xml:space="preserve">„… jede:r Besucher:in deiner Projektseite im Durchschnitt für ca. 1€ Fundingsumme steht.“</t>
  </si>
  <si>
    <t xml:space="preserve">Unterstützer je 100 Besuche</t>
  </si>
  <si>
    <t xml:space="preserve">„Von 100 Besucher:innen auf deiner Projektseite unterstützen im Durchschnitt ca. 3 tatsächlich dein Projekt.“</t>
  </si>
  <si>
    <t xml:space="preserve">Anteil in den ersten 72 Stunden — unten</t>
  </si>
  <si>
    <t xml:space="preserve">siehe Zeile 34</t>
  </si>
  <si>
    <t xml:space="preserve">Anteil in den ersten 72 Stunden — oben</t>
  </si>
  <si>
    <t xml:space="preserve">Typischer Warenkorb — von</t>
  </si>
  <si>
    <t xml:space="preserve">siehe Zeile 39</t>
  </si>
  <si>
    <t xml:space="preserve">Typischer Warenkorb — bis</t>
  </si>
  <si>
    <t xml:space="preserve">Gegenprobe: Euro je Besuch bei 3 von 100 und der eigenen Durchschnittsunterstützung</t>
  </si>
  <si>
    <t xml:space="preserve">Liegt der Wert weit über 1 €, ist die Durchschnittsunterstützung (Stufenmischung) vermutlich zu optimistisch angesetzt.</t>
  </si>
  <si>
    <t xml:space="preserve">Unterstützer nötig für den Mindestbetrag, wenn im Schnitt nur so viel gegeben wird wie laut Plattform üblich</t>
  </si>
  <si>
    <t xml:space="preserve">Grobe Gegenrechnung mit Zeile 42 bei unveränderten Abzügen — zeigt, wie empfindlich das Ergebnis auf die Stufenmischung reagiert.</t>
  </si>
  <si>
    <t xml:space="preserve">dasselbe für den Wunschbetrag</t>
  </si>
  <si>
    <t xml:space="preserve">Die Tabelle empfiehlt keine Plattform, keine Stufen und keinen Zeitpunkt. Sie zeigt, was die Eingaben bedeuten — Entscheidungen Nr. 59 und Nr. 60.</t>
  </si>
  <si>
    <t xml:space="preserve">Gegenleistungsstufen — Preis, Abzüge, Beitrag je Stück</t>
  </si>
  <si>
    <t xml:space="preserve">Aufgabe A-21 · erstellt 16.09.2026, Stufen nach Nr. 60 neu gefasst am 21.09.2026 · Grundlage: Handbuch B (Kapitalfahrplan, Abopreise, Einmalkosten), finanzmodell.xlsx (Szenario realistisch), Plattformseiten abgerufen am 16.09.2026 · ENTWURF — die Tabelle rechnet, entscheiden tun die Gründer.</t>
  </si>
  <si>
    <t xml:space="preserve">Nr</t>
  </si>
  <si>
    <t xml:space="preserve">Stufe</t>
  </si>
  <si>
    <t xml:space="preserve">Inhalt</t>
  </si>
  <si>
    <t xml:space="preserve">Preis brutto</t>
  </si>
  <si>
    <t xml:space="preserve">Limit (Stück, leer = ohne)</t>
  </si>
  <si>
    <t xml:space="preserve">Anteil der Unterstützer (ANNAHME)</t>
  </si>
  <si>
    <t xml:space="preserve">Umsatzsteuer fällig?</t>
  </si>
  <si>
    <t xml:space="preserve">Direkte Kosten je Stück</t>
  </si>
  <si>
    <t xml:space="preserve">Umsatzsteuer je Stück</t>
  </si>
  <si>
    <t xml:space="preserve">Gebühren je Stück</t>
  </si>
  <si>
    <t xml:space="preserve">Umsatzverzicht je Stück</t>
  </si>
  <si>
    <t xml:space="preserve">Beitrag Kasse je Stück</t>
  </si>
  <si>
    <t xml:space="preserve">Beitrag wirtschaftlich je Stück</t>
  </si>
  <si>
    <t xml:space="preserve">Abzüge Kasse (Anteil)</t>
  </si>
  <si>
    <t xml:space="preserve">Abzüge wirtschaftlich (Anteil)</t>
  </si>
  <si>
    <t xml:space="preserve">Stück beim Wunschbetrag</t>
  </si>
  <si>
    <t xml:space="preserve">Limit reicht?</t>
  </si>
  <si>
    <t xml:space="preserve">Hinweis</t>
  </si>
  <si>
    <t xml:space="preserve">S1</t>
  </si>
  <si>
    <t xml:space="preserve">Danke</t>
  </si>
  <si>
    <t xml:space="preserve">Name oder Pseudonym auf der Unterstützerliste in der App — nur wenn du das willst, jederzeit widerrufbar. Dazu die Kampagnen-Updates.</t>
  </si>
  <si>
    <t xml:space="preserve">Nach einer älteren Auskunft (Existenzgründungsportal, März 2016) ist die bloße Namensnennung keine Leistung — dann „nein“. Vorsichtig gerechnet: ja.</t>
  </si>
  <si>
    <t xml:space="preserve">S2</t>
  </si>
  <si>
    <t xml:space="preserve">Gründungsunterstützer</t>
  </si>
  <si>
    <t xml:space="preserve">Wie S1, dazu das Abzeichen „Gründungsunterstützer“ im eigenen Konto; für andere sichtbar nur, wenn du es einschaltest. Kein Einfluss auf Sortierung oder Reichweite.</t>
  </si>
  <si>
    <t xml:space="preserve">Abzeichen und Liste kosten kein Geld, aber Entwicklungszeit — gehören in die Produktspezifikation (A-29).</t>
  </si>
  <si>
    <t xml:space="preserve">S3</t>
  </si>
  <si>
    <t xml:space="preserve">Blick in die Werkstatt</t>
  </si>
  <si>
    <t xml:space="preserve">Wie S2, dazu eine Online-Führung durch die Entwicklung: 60 Minuten, Gruppe, Termin nach der Kampagne.</t>
  </si>
  <si>
    <t xml:space="preserve">Kostet Gründerzeit, kein Bargeld: bei 20 Personen je Termin fünf Termine. Videodienst mit EU-Sitz (Handbuch A).</t>
  </si>
  <si>
    <t xml:space="preserve">S4</t>
  </si>
  <si>
    <t xml:space="preserve">Ein Jahr PLUS</t>
  </si>
  <si>
    <t xml:space="preserve">Wie S2, dazu 12 Monate PLUS, gerechnet ab dem Tag, an dem PLUS startet; per Einlösecode im Web.</t>
  </si>
  <si>
    <t xml:space="preserve">Vorverkauf wie in finanzmodell.xlsx, Finanzierungswege („Vorverkauf von Jahresabos an die Warteliste“). Regulär 70 €. Bringt vor allem Liquidität nach vorn.</t>
  </si>
  <si>
    <t xml:space="preserve">S5</t>
  </si>
  <si>
    <t xml:space="preserve">Ein Jahr PRO</t>
  </si>
  <si>
    <t xml:space="preserve">Wie S2, dazu 12 Monate PRO als Code (Codesystem, Art U), eingelöst auf der Webseite und gültig ab dem Tag, an dem die Abos starten. Befristet einlösbar; verfällt bei Auflösung oder Insolvenz (Nr. 60).</t>
  </si>
  <si>
    <t xml:space="preserve">Seit Nr. 60 (21.09.2026) befristet statt „PLUS ohne Laufzeitende“: ersetzt die lebenslange Stufe aus Handbuch B. Preis knapp unter dem PRO-Jahresabo (132 €). Umsatzverzicht im Blatt „PLUS-Wert“, Abschnitt S5.</t>
  </si>
  <si>
    <t xml:space="preserve">S6</t>
  </si>
  <si>
    <t xml:space="preserve">Einfach so</t>
  </si>
  <si>
    <t xml:space="preserve">Unterstützung ohne Gegenleistung, freier Betrag; nur die Kampagnen-Updates.</t>
  </si>
  <si>
    <t xml:space="preserve">nein</t>
  </si>
  <si>
    <t xml:space="preserve">Preis = angenommener Durchschnitt (ANNAHME). Ohne Gegenleistung meist keine Umsatzsteuer (Startnext-Blog, 2021) — bei einer GmbH aber Betriebseinnahme.</t>
  </si>
  <si>
    <t xml:space="preserve">Gewichtet</t>
  </si>
  <si>
    <t xml:space="preserve">Durchschnitt je Unterstützung, gewichtet mit den Anteilen</t>
  </si>
  <si>
    <t xml:space="preserve">Prüfung</t>
  </si>
  <si>
    <t xml:space="preserve">Die Stufen setzen die Gegenleistungen aus Handbuch B um — Unterstützerabzeichen, Nennung in der App, Führung durch die Entwicklung — und den Vorverkauf aus dem Finanzmodell. Das „lebenslange PLUS“ aus Handbuch B entfällt nach Nr. 60 (21.09.2026): Alle Codes sind befristet. Preise, Limits und Anteile sind Vorschläge.</t>
  </si>
  <si>
    <t xml:space="preserve">Bewusst nicht enthalten: Plätze in der Testphase (Vergabe über Einladungscodes, Nr. 56), Verlosungen (Handbuch B meidet Gewinnspiele; Startnext schließt „Glückspiel, Lose und Wetten“ aus), physische Waren (Versand, Umsatzsteuer, Aufwand), Schutzfunktionen und Sichtbarkeit (nie Gegenleistung, Codesystem).</t>
  </si>
  <si>
    <t xml:space="preserve">Alle Gegenleistungen nur für Volljährige nutzbar: Die App ist ab 18. Einlösecodes statt Abgleich von E-Mail-Adressen — so bleibt die Unterstützung vom App-Konto getrennt, bis jemand selbst einlöst.</t>
  </si>
  <si>
    <t xml:space="preserve">PLUS-Wert — was die PLUS-Stufen an späterem Erlös kosten</t>
  </si>
  <si>
    <t xml:space="preserve">Laufzeit</t>
  </si>
  <si>
    <t xml:space="preserve">Monate</t>
  </si>
  <si>
    <t xml:space="preserve">PLUS gesamt (brutto)</t>
  </si>
  <si>
    <t xml:space="preserve">je Monat</t>
  </si>
  <si>
    <t xml:space="preserve">Anteil (Handbuch B)</t>
  </si>
  <si>
    <t xml:space="preserve">Ø Verweildauer (Monate)</t>
  </si>
  <si>
    <t xml:space="preserve">Erlös je Kunde netto (Handbuch B)</t>
  </si>
  <si>
    <t xml:space="preserve">1 Monat</t>
  </si>
  <si>
    <t xml:space="preserve">3 Monate</t>
  </si>
  <si>
    <t xml:space="preserve">6 Monate</t>
  </si>
  <si>
    <t xml:space="preserve">12 Monate</t>
  </si>
  <si>
    <t xml:space="preserve">gemischt</t>
  </si>
  <si>
    <t xml:space="preserve">Quelle: Handbuch B, Abschnitt „Abonnements“ (Preisliste brutto; Abwanderung nach Laufzeit). Die gemischte Zeile gewichtet wie Handbuch B mit den Anteilen.</t>
  </si>
  <si>
    <t xml:space="preserve">Kette je Monat</t>
  </si>
  <si>
    <t xml:space="preserve">Provisionen gemischt (Stores und Web) — seit A-52: 60 % Web zu 1,80 % + 0,25 € je Zahlung, 40 % Stores zu 15 %; im Mittel 8,3 % (finanzmodell.xlsx, Abschnitt 2a). Handbuch B: 10,6 %</t>
  </si>
  <si>
    <t xml:space="preserve">Nettoerlös je PLUS-Monat im Jahresabo (ohne Umsatzsteuer, nach Provision)</t>
  </si>
  <si>
    <t xml:space="preserve">Nettoerlös je PLUS-Monat, gemischte Laufzeiten</t>
  </si>
  <si>
    <t xml:space="preserve">Stufe S4 „Ein Jahr PLUS“</t>
  </si>
  <si>
    <t xml:space="preserve">Anteil, der das Jahresabo ohnehin gekauft hätte (ANNAHME)</t>
  </si>
  <si>
    <t xml:space="preserve">Ohne Erfahrungswert. Bei 100 % holt die Stufe nur Erlös nach vorn, bei 0 % ist sie ganz zusätzlich.</t>
  </si>
  <si>
    <t xml:space="preserve">Umsatzverzicht je Stück, erwartet</t>
  </si>
  <si>
    <t xml:space="preserve">Stufe S5 „Ein Jahr PRO“ (seit Nr. 60 befristet)</t>
  </si>
  <si>
    <t xml:space="preserve">Anteil, der das PRO-Jahresabo ohnehin gekauft hätte (ANNAHME)</t>
  </si>
  <si>
    <t xml:space="preserve">ANNAHME ohne Erfahrungswert: so hoch wie der Anteil PRO an allen Zahlern im Finanzmodell (30 %). Die teurere Stufe wählt man seltener ohnehin; bei 100 % holt die Stufe nur Erlös nach vorn, bei 0 % ist sie ganz zusätzlich.</t>
  </si>
  <si>
    <t xml:space="preserve">Laufzeit des Codes</t>
  </si>
  <si>
    <t xml:space="preserve">Nettoerlös je PRO-Monat im Jahresabo (132 € im Jahr, ohne Umsatzsteuer, nach Provision)</t>
  </si>
  <si>
    <t xml:space="preserve">Handbuch B: PRO 132 € für 12 Monate</t>
  </si>
  <si>
    <t xml:space="preserve">Erster Monat mit zahlenden Nutzern im Finanzmodell (Szenario realistisch)</t>
  </si>
  <si>
    <t xml:space="preserve">finanzmodell.xlsx, Blatt „Annahmen“, „Monetarisierungsstart“ (pessimistisch 18, optimistisch 11). Vorher gibt es kein PLUS zu kaufen.</t>
  </si>
  <si>
    <t xml:space="preserve">Umsatzverzicht je Stück, ungünstigster Fall (jeder hätte das Jahresabo ohnehin gekauft)</t>
  </si>
  <si>
    <t xml:space="preserve">Seit Nr. 60 begrenzt auf zwölf Monate — vorher bis zum Ende des Planungshorizonts</t>
  </si>
  <si>
    <t xml:space="preserve">Stück beim Wunschbetrag (Blatt „Stufen“)</t>
  </si>
  <si>
    <t xml:space="preserve">Umsatzverzicht bei dieser Stückzahl, erwartet</t>
  </si>
  <si>
    <t xml:space="preserve">Umsatzverzicht bei dieser Stückzahl, ungünstigster Fall</t>
  </si>
  <si>
    <t xml:space="preserve">Aboerlöse des Finanzmodells über 36 Monate, Szenario realistisch</t>
  </si>
  <si>
    <t xml:space="preserve">finanzmodell.xlsx, Blatt „Realistisch“, Zeile „Abonnements“, Summe M1–M36, abgelesen am 21.09.2026 nach A-52</t>
  </si>
  <si>
    <t xml:space="preserve">Ungünstigster Fall im Verhältnis zu diesen Aboerlösen</t>
  </si>
  <si>
    <t xml:space="preserve">Kontrollrechnung gegen Handbuch B</t>
  </si>
  <si>
    <t xml:space="preserve">Handbuch B: Erlös je Kunde im Jahresabo, nach Provision</t>
  </si>
  <si>
    <t xml:space="preserve">Dieselbe Größe aus dieser Tabelle (Verweildauer × Nettoerlös je Monat)</t>
  </si>
  <si>
    <t xml:space="preserve">Abweichung</t>
  </si>
  <si>
    <t xml:space="preserve">Rundungsdifferenz in Handbuch B; unter 1 % ist unerheblich.</t>
  </si>
  <si>
    <t xml:space="preserve">Betriebskosten je Konto entstehen unabhängig vom Abo und sind hier nicht gerechnet. Der Umsatzverzicht ist kein Bargeld — er fehlt später als Erlös.</t>
  </si>
  <si>
    <t xml:space="preserve">Die Abostufen sind erst nutzbar, wenn die Abos starten — im Finanzmodell Monat 11, 14 oder 18. Liegt die Kampagne in Monat 7, liegen dazwischen vier bis elf Monate. Codes sind befristet einlösbar (Nr. 60).</t>
  </si>
  <si>
    <t xml:space="preserve">Plattformvergleich — dieselben Stufen, alle Plattformen</t>
  </si>
  <si>
    <t xml:space="preserve">Anteil</t>
  </si>
  <si>
    <t xml:space="preserve">Gebühr S1</t>
  </si>
  <si>
    <t xml:space="preserve">Gebühr S2</t>
  </si>
  <si>
    <t xml:space="preserve">Gebühr S3</t>
  </si>
  <si>
    <t xml:space="preserve">Gebühr S4</t>
  </si>
  <si>
    <t xml:space="preserve">Gebühr S5</t>
  </si>
  <si>
    <t xml:space="preserve">Gebühr S6</t>
  </si>
  <si>
    <t xml:space="preserve">Gebühren je Ø-Unterstützung</t>
  </si>
  <si>
    <t xml:space="preserve">Abzüge Kasse</t>
  </si>
  <si>
    <t xml:space="preserve">Abzüge wirtschaftlich</t>
  </si>
  <si>
    <t xml:space="preserve">Mindestbetrag wirtschaftlich</t>
  </si>
  <si>
    <t xml:space="preserve">Wunschbetrag wirtschaftlich</t>
  </si>
  <si>
    <t xml:space="preserve">Netto (Kasse) aus 10.000 € brutto</t>
  </si>
  <si>
    <t xml:space="preserve">rechnet jeden Zahlweg wie PayPal</t>
  </si>
  <si>
    <t xml:space="preserve">Leistungsumfang des Plans erfragen</t>
  </si>
  <si>
    <t xml:space="preserve">Unterstützer zahlen zusätzlich eine Servicegebühr</t>
  </si>
  <si>
    <t xml:space="preserve">US-Unternehmen (Nr. 58)</t>
  </si>
  <si>
    <t xml:space="preserve">Gebühren nicht belegt</t>
  </si>
  <si>
    <t xml:space="preserve">Niedrigster Mindestbetrag unter den belegten Plattformen</t>
  </si>
  <si>
    <t xml:space="preserve">Gegenprobe mit dem Blatt „Rechner“</t>
  </si>
  <si>
    <t xml:space="preserve">Der niedrigste Betrag ist kein Urteil über die Plattform: Zulässigkeit, Sitz, Sichtbarkeit der Unterstützer und Reichweite zählen mehr als ein Prozentpunkt (Konzept, Abschnitt 3).</t>
  </si>
  <si>
    <t xml:space="preserve">Warteliste — welcher Anteil müsste unterstützen?</t>
  </si>
  <si>
    <t xml:space="preserve">Größe der Warteliste</t>
  </si>
  <si>
    <t xml:space="preserve">Herkunft</t>
  </si>
  <si>
    <t xml:space="preserve">Anteil für den Mindestbetrag</t>
  </si>
  <si>
    <t xml:space="preserve">Anteil für den Wunschbetrag</t>
  </si>
  <si>
    <t xml:space="preserve">Unterstützer bei 3 von 100</t>
  </si>
  <si>
    <t xml:space="preserve">Summe daraus (brutto)</t>
  </si>
  <si>
    <t xml:space="preserve">Anteil am Mindestbetrag</t>
  </si>
  <si>
    <t xml:space="preserve">Handbuch B: Kampagne erst, „sobald die Warteliste über 1.000 Personen hat“</t>
  </si>
  <si>
    <t xml:space="preserve">Tor-1-Analyse (A-23), Erwartung am Messtag, pessimistisch</t>
  </si>
  <si>
    <t xml:space="preserve">Tor 1, Handbuch A: „Weiter nur bei über 1.500 Anmeldungen“</t>
  </si>
  <si>
    <t xml:space="preserve">Tor-1-Analyse (A-23), Erwartung am Messtag, mittel</t>
  </si>
  <si>
    <t xml:space="preserve">Tor-1-Analyse (A-23), Erwartung am Messtag, optimistisch</t>
  </si>
  <si>
    <t xml:space="preserve">Die 3 von 100 sind eine Faustregel für Besuche der Projektseite, nicht für Mails an eine Liste. Die Spalten E bis G zeigen eine Größenordnung, keine Prognose.</t>
  </si>
  <si>
    <t xml:space="preserve">Darf die Warteliste zur Kampagne angeschrieben werden? (Entscheidung Nr. 59)</t>
  </si>
  <si>
    <t xml:space="preserve">Plattformen — Gebühren und Regeln (Stand 16.09.2026)</t>
  </si>
  <si>
    <t xml:space="preserve">Sitz</t>
  </si>
  <si>
    <t xml:space="preserve">Modell</t>
  </si>
  <si>
    <t xml:space="preserve">Provision (netto)</t>
  </si>
  <si>
    <t xml:space="preserve">Zahlung %</t>
  </si>
  <si>
    <t xml:space="preserve">Zahlung fix je Unterstützung</t>
  </si>
  <si>
    <t xml:space="preserve">Schwelle (€)</t>
  </si>
  <si>
    <t xml:space="preserve">Zahlung % unter der Schwelle</t>
  </si>
  <si>
    <t xml:space="preserve">Zahlung fix unter der Schwelle</t>
  </si>
  <si>
    <t xml:space="preserve">Regeln mit Bezug zu Cruizy</t>
  </si>
  <si>
    <t xml:space="preserve">Quelle</t>
  </si>
  <si>
    <t xml:space="preserve">abgerufen</t>
  </si>
  <si>
    <t xml:space="preserve">Dresden, Deutschland (Startnext GmbH)</t>
  </si>
  <si>
    <t xml:space="preserve">Mindestbetrag (alles oder nichts) oder flexibel („jeder Euro zählt“)</t>
  </si>
  <si>
    <t xml:space="preserve">Ausgeschlossen u. a. „Pornografie, Sexualservices oder Escort-Dienstleistungen“ sowie „Fehlende Kennzeichnung von KI generierten Inhalten und Bildern“; Starter mindestens 18 Jahre. Ob eine Cruising-App zugelassen wird, vor der Planung schriftlich bei der Plattform klären. Vertrag über die Gegenleistung schließen Unterstützer und Starter; der Starter informiert über Widerrufsrechte (Nutzungsbedingungen, Stand August 2026).</t>
  </si>
  <si>
    <t xml:space="preserve">startnext.com/hilfe/gebuehren.html (Stand 31.3.26): Basis „5% neu“, Pro „11%“, Premium „14%“; Transaktionskosten „ca. 3,5% netto“, PayPal „3,5% + 45 Cent netto“; Gebühren „zzgl. MwSt.“ · startnext.com/hilfe/richtlinien.html · startnext.com/info/agb/anb.html</t>
  </si>
  <si>
    <t xml:space="preserve">16.09.2026</t>
  </si>
  <si>
    <t xml:space="preserve">Startnext Basis — nur PayPal (vorsichtig)</t>
  </si>
  <si>
    <t xml:space="preserve">Wie Startnext Basis, aber jede Unterstützung mit dem teuersten Zahlweg gerechnet (Karte: 2 % + 0,25 €, Lastschrift: 0,5 % + 0,35 €).</t>
  </si>
  <si>
    <t xml:space="preserve">startnext.com/hilfe/gebuehren.html (Stand 31.3.26)</t>
  </si>
  <si>
    <t xml:space="preserve">Startnext Pro</t>
  </si>
  <si>
    <t xml:space="preserve">Was Pro und Premium zusätzlich leisten, nennt die Gebührenseite nicht („Der Plan legt den Funktionsumfang und die Dienstleistungen fest“). Vor einer Wahl erfragen.</t>
  </si>
  <si>
    <t xml:space="preserve">Ulule</t>
  </si>
  <si>
    <t xml:space="preserve">Paris, Frankreich (Ulule)</t>
  </si>
  <si>
    <t xml:space="preserve">alles oder nichts (Belohnungsmodell)</t>
  </si>
  <si>
    <t xml:space="preserve">Provision für Kartenzahlungen 6,67 % ohne USt; sie „includes all services and features of the platform“. Seit 14.04.2025 zahlen die Unterstützer zusätzlich eine eigene Servicegebühr (0,10 € + 2,2 %) — sie mindert den Erlös nicht, verteuert aber jede Unterstützung.</t>
  </si>
  <si>
    <t xml:space="preserve">support.ulule.com („What is Ulule’s commission?“) · outils.ulule.com (aktualisiert 1.7.2026) · Sitz: annuaire-entreprises.data.gouv.fr</t>
  </si>
  <si>
    <t xml:space="preserve">Kickstarter</t>
  </si>
  <si>
    <t xml:space="preserve">Brooklyn, New York, USA (Kickstarter PBC)</t>
  </si>
  <si>
    <t xml:space="preserve">alles oder nichts</t>
  </si>
  <si>
    <t xml:space="preserve">US-Unternehmen. Handbuch A schließt US-Auftragsverarbeiter aus (Nr. 58); die Plattform wäre eigener Verantwortlicher, das Markenversprechen litte trotzdem. Deutschland ist als Starterland zugelassen. Verbotsliste nennt u. a. Dienstleister, Marktplätze, Gewinnspiele und pornografische Inhalte.</t>
  </si>
  <si>
    <t xml:space="preserve">kickstarter.com/help/fees?country=DE · help.kickstarter.com (Länderliste) · kickstarter.com/rules/prohibited · Sitz: Wikipedia</t>
  </si>
  <si>
    <t xml:space="preserve">wemakeit</t>
  </si>
  <si>
    <t xml:space="preserve">Zürich, Schweiz</t>
  </si>
  <si>
    <t xml:space="preserve">nicht verifiziert</t>
  </si>
  <si>
    <t xml:space="preserve">Die Gebührenseiten der Plattform waren am 16.09.2026 nicht abrufbar (Fehler 403). Ein Plattformprofil von 2019 nennt 6 % plus 4 % — veraltet, hier nicht verwendet.</t>
  </si>
  <si>
    <t xml:space="preserve">crowdfunding.de/plattformen/wemakeit (Stand 2019) · wemakeit.com (nicht abrufbar)</t>
  </si>
  <si>
    <t xml:space="preserve">Nicht mehr verfügbar: VisionBakery hat die Plattform am 28.02.2020 geschlossen (Fundraiser-Magazin, 21.02.2020). Ältere Vergleichslisten führen sie noch.</t>
  </si>
  <si>
    <t xml:space="preserve">Alle Provisionen netto. Bei Regelbesteuerung ist die Umsatzsteuer auf die Provision als Vorsteuer abziehbar; ohne Vorsteuerabzug (Kleinunternehmer) rechnet die Tabelle sie als Kosten. Transaktionskosten enthalten laut Startnext keine MwSt.</t>
  </si>
  <si>
    <t xml:space="preserve">Schwelle: Unterstützungen unter diesem Betrag werden mit den Werten „unter der Schwelle“ gerechnet (Kickstarter: unter 10 €). Leere gelbe Felder = keine belegte Angabe.</t>
  </si>
  <si>
    <t xml:space="preserve">Vor dem Start neu prüfen: Gebühren ändern sich — Startnext kennzeichnet den Basis-Satz als „neu“, Ulule hat 2025 eine Unterstützergebühr eingeführt.</t>
  </si>
  <si>
    <t xml:space="preserve">Quellen — alle am 16.09.2026 abgerufen</t>
  </si>
  <si>
    <t xml:space="preserve">Fundstelle</t>
  </si>
  <si>
    <t xml:space="preserve">Was daraus stammt</t>
  </si>
  <si>
    <t xml:space="preserve">Stand laut Quelle</t>
  </si>
  <si>
    <t xml:space="preserve">https://www.startnext.com/hilfe/gebuehren.html</t>
  </si>
  <si>
    <t xml:space="preserve">Provision Basis 5 %, Pro 11 %, Premium 14 %; Transaktionskosten; „zzgl. MwSt.“; „Kosten nur bei Erfolg“</t>
  </si>
  <si>
    <t xml:space="preserve">31.03.2026</t>
  </si>
  <si>
    <t xml:space="preserve">https://www.startnext.com/hilfe/richtlinien.html</t>
  </si>
  <si>
    <t xml:space="preserve">Ausschlüsse (u. a. Sexualservices, KI-Kennzeichnung, Glücksspiel und Lose), Mindestalter 18, Sitzländer</t>
  </si>
  <si>
    <t xml:space="preserve">ohne Datum</t>
  </si>
  <si>
    <t xml:space="preserve">https://www.startnext.com/info/agb/anb.html</t>
  </si>
  <si>
    <t xml:space="preserve">Vertragspartner Unterstützer und Starter; Hinweispflicht zu Widerrufsrechten; Datenübermittlung ab Mindestbetrag</t>
  </si>
  <si>
    <t xml:space="preserve">August 2026</t>
  </si>
  <si>
    <t xml:space="preserve">https://www.startnext.com/hilfe/handbuch/finanzierungsziel.html</t>
  </si>
  <si>
    <t xml:space="preserve">Mindestbetrag (alles oder nichts) und flexible Kampagne; Bestandteile der Zielsumme</t>
  </si>
  <si>
    <t xml:space="preserve">https://www.startnext.com/hilfe/handbuch/kommunikation.html</t>
  </si>
  <si>
    <t xml:space="preserve">20–40 % in 72 Stunden; 1 € je Besuch; 3 von 100; Ø 35 €; Start am Donnerstag; sieben Kontaktversuche</t>
  </si>
  <si>
    <t xml:space="preserve">https://www.startnext.com/hilfe/handbuch/dankeschoens.html</t>
  </si>
  <si>
    <t xml:space="preserve">Warenkorb 35–75 €; Versandkosten gehören in den Preis; Limits; Unterstützerlisten mit Namen, Adressen, E-Mail</t>
  </si>
  <si>
    <t xml:space="preserve">https://www.startnext.com/info/impressum.html</t>
  </si>
  <si>
    <t xml:space="preserve">Startnext GmbH, Dresden</t>
  </si>
  <si>
    <t xml:space="preserve">—</t>
  </si>
  <si>
    <t xml:space="preserve">https://support.ulule.com/hc/en-us/articles/211812409-What-is-Ulule-s-commission</t>
  </si>
  <si>
    <t xml:space="preserve">Provision 6,67 % ohne USt (Karte), enthält alle Leistungen; nur bei Erfolg</t>
  </si>
  <si>
    <t xml:space="preserve">https://outils.ulule.com/articles/frais-ulule-commission-service-contributeurs</t>
  </si>
  <si>
    <t xml:space="preserve">Servicegebühr der Unterstützer seit 14.04.2025 (0,10 € + 2,2 %)</t>
  </si>
  <si>
    <t xml:space="preserve">01.07.2026</t>
  </si>
  <si>
    <t xml:space="preserve">https://annuaire-entreprises.data.gouv.fr/entreprise/ulule-794710830</t>
  </si>
  <si>
    <t xml:space="preserve">Sitz Paris</t>
  </si>
  <si>
    <t xml:space="preserve">https://www.kickstarter.com/help/fees?country=DE</t>
  </si>
  <si>
    <t xml:space="preserve">5 % Plattform; 3 % + 0,30 € je Unterstützung; unter 10 €: 5 % + 0,08 €; nur bei Erfolg</t>
  </si>
  <si>
    <t xml:space="preserve">https://help.kickstarter.com/hc/en-us/articles/115005128014</t>
  </si>
  <si>
    <t xml:space="preserve">Deutschland als Starterland zugelassen</t>
  </si>
  <si>
    <t xml:space="preserve">https://www.kickstarter.com/rules/prohibited</t>
  </si>
  <si>
    <t xml:space="preserve">Verbotsliste (Dienstleister, Marktplätze, Gewinnspiele, pornografische Inhalte)</t>
  </si>
  <si>
    <t xml:space="preserve">https://en.wikipedia.org/wiki/Kickstarter</t>
  </si>
  <si>
    <t xml:space="preserve">Kickstarter PBC, Brooklyn, New York</t>
  </si>
  <si>
    <t xml:space="preserve">https://www.crowdfunding.de/plattformen/wemakeit/</t>
  </si>
  <si>
    <t xml:space="preserve">wemakeit, Zürich; Gebührenangabe von 2019 (nicht verwendet)</t>
  </si>
  <si>
    <t xml:space="preserve">03.10.2019</t>
  </si>
  <si>
    <t xml:space="preserve">https://fundraiser-magazin.de/visionbakery-schliesst-crowdfunding-plattform</t>
  </si>
  <si>
    <t xml:space="preserve">VisionBakery geschlossen zum 28.02.2020</t>
  </si>
  <si>
    <t xml:space="preserve">21.02.2020</t>
  </si>
  <si>
    <t xml:space="preserve">https://www.bafin.de/DE/verbraucherinnen-verbraucher/themen-finanzprodukte/geldanlage/crowdfunding/crowdfunding_node.html</t>
  </si>
  <si>
    <t xml:space="preserve">Spenden- und gegenleistungsbasiertes Crowdfunding „haben keinen Aufsichtsbezug“</t>
  </si>
  <si>
    <t xml:space="preserve">https://www.ihk.de/hannover/hauptnavigation/recht/steuerrecht/umsatzsteuer/kleinunternehmer-im-ust-5213920</t>
  </si>
  <si>
    <t xml:space="preserve">Kleinunternehmer: 25.000 € / 100.000 €; Gründungsjahr; gilt auch für GmbH und UG; kein Vorsteuerabzug</t>
  </si>
  <si>
    <t xml:space="preserve">22.05.2026</t>
  </si>
  <si>
    <t xml:space="preserve">https://www.existenzgruendungsportal.de/Redaktion/DE/BMWK-Infopool/Antworten/Steuern/Crowdfunding/Crowdfunding-Steuern</t>
  </si>
  <si>
    <t xml:space="preserve">„Die bloße Nennung des Namens der Sponsoren wäre keine Leistung …“ (ältere Auskunft)</t>
  </si>
  <si>
    <t xml:space="preserve">März 2016</t>
  </si>
  <si>
    <t xml:space="preserve">https://www.startnext.com/blog/crowdfunding-und-steuern~ba1255.html</t>
  </si>
  <si>
    <t xml:space="preserve">Freie Unterstützungen meist ohne Umsatzsteuer; Monat der Auszahlung maßgeblich (Schwellenwert dort veraltet)</t>
  </si>
  <si>
    <t xml:space="preserve">30.03.2021</t>
  </si>
  <si>
    <t xml:space="preserve">https://developer.apple.com/app-store/review/guidelines/</t>
  </si>
  <si>
    <t xml:space="preserve">Richtlinien 3.1.1 (keine Freischaltung per Lizenzschlüssel) und 3.1.3(b) (anderswo Erworbenes nutzbar, wenn auch als In-App-Kauf erhältlich)</t>
  </si>
  <si>
    <t xml:space="preserve">https://support.google.com/googleplay/android-developer/answer/10281818</t>
  </si>
  <si>
    <t xml:space="preserve">Google Play: außerhalb gekaufte Inhalte in der App nutzbar; keine Hinweise auf andere Zahlwege in der App</t>
  </si>
  <si>
    <t xml:space="preserve">Handbuch B (00-grundlagen)</t>
  </si>
  <si>
    <t xml:space="preserve">Kapitalfahrplan, Finanzierungswege (Crowdfunding 10–60 T€), Abopreise, Einmalkosten, Unterstützer-Beitrag, Monat 8–12</t>
  </si>
  <si>
    <t xml:space="preserve">Projektstand</t>
  </si>
  <si>
    <t xml:space="preserve">40-finanzen-foerderung/finanzmodell.xlsx</t>
  </si>
  <si>
    <t xml:space="preserve">Kosten M6–M10 und Aboerlöse 36 Monate (Szenario realistisch)</t>
  </si>
  <si>
    <t xml:space="preserve">abgelesen 16.09.2026</t>
  </si>
  <si>
    <t xml:space="preserve">01-steuerung/tor-1-zeitachse-analyse.md</t>
  </si>
  <si>
    <t xml:space="preserve">Erwartungswerte der Warteliste am Messtag (1.247 / 2.437 / 3.940); zwei Uhren</t>
  </si>
  <si>
    <t xml:space="preserve">27.07.2026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</si>
</sst>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\ %"/>
    <numFmt numFmtId="166" formatCode="#,##0&quot; €&quot;"/>
    <numFmt numFmtId="167" formatCode="#,##0.00&quot; €&quot;"/>
    <numFmt numFmtId="168" formatCode="0.0%"/>
    <numFmt numFmtId="169" formatCode="#,##0"/>
    <numFmt numFmtId="170" formatCode="0.0"/>
    <numFmt numFmtId="171" formatCode="0.00\ 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A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5" t="s">
        <v>11</v>
      </c>
      <c r="B9" s="6" t="s">
        <v>12</v>
      </c>
    </row>
    <row r="10" customFormat="false" ht="30" hidden="false" customHeight="true" outlineLevel="0" collapsed="false">
      <c r="A10" s="5" t="s">
        <v>13</v>
      </c>
      <c r="B10" s="6" t="s">
        <v>14</v>
      </c>
    </row>
    <row r="11" customFormat="false" ht="30" hidden="false" customHeight="true" outlineLevel="0" collapsed="false">
      <c r="A11" s="5" t="s">
        <v>15</v>
      </c>
      <c r="B11" s="6" t="s">
        <v>16</v>
      </c>
    </row>
    <row r="12" customFormat="false" ht="30" hidden="false" customHeight="true" outlineLevel="0" collapsed="false">
      <c r="A12" s="5" t="s">
        <v>17</v>
      </c>
      <c r="B12" s="6" t="s">
        <v>18</v>
      </c>
    </row>
    <row r="13" customFormat="false" ht="30" hidden="false" customHeight="true" outlineLevel="0" collapsed="false">
      <c r="A13" s="5" t="s">
        <v>17</v>
      </c>
      <c r="B13" s="6" t="s">
        <v>19</v>
      </c>
    </row>
    <row r="15" customFormat="false" ht="15" hidden="false" customHeight="true" outlineLevel="0" collapsed="false">
      <c r="A15" s="7" t="s">
        <v>20</v>
      </c>
    </row>
    <row r="16" customFormat="false" ht="15" hidden="false" customHeight="true" outlineLevel="0" collapsed="false">
      <c r="A16" s="4" t="s">
        <v>3</v>
      </c>
      <c r="B16" s="4" t="s">
        <v>21</v>
      </c>
    </row>
    <row r="17" customFormat="false" ht="15" hidden="false" customHeight="true" outlineLevel="0" collapsed="false">
      <c r="A17" s="5" t="s">
        <v>5</v>
      </c>
      <c r="B17" s="6" t="s">
        <v>22</v>
      </c>
    </row>
    <row r="18" customFormat="false" ht="15" hidden="false" customHeight="true" outlineLevel="0" collapsed="false">
      <c r="A18" s="5" t="s">
        <v>7</v>
      </c>
      <c r="B18" s="6" t="s">
        <v>23</v>
      </c>
    </row>
    <row r="19" customFormat="false" ht="15" hidden="false" customHeight="true" outlineLevel="0" collapsed="false">
      <c r="A19" s="5" t="s">
        <v>9</v>
      </c>
      <c r="B19" s="6" t="s">
        <v>24</v>
      </c>
    </row>
    <row r="20" customFormat="false" ht="15" hidden="false" customHeight="true" outlineLevel="0" collapsed="false">
      <c r="A20" s="5" t="s">
        <v>11</v>
      </c>
      <c r="B20" s="6" t="s">
        <v>25</v>
      </c>
    </row>
    <row r="21" customFormat="false" ht="15" hidden="false" customHeight="true" outlineLevel="0" collapsed="false">
      <c r="A21" s="5" t="s">
        <v>13</v>
      </c>
      <c r="B21" s="6" t="s">
        <v>26</v>
      </c>
    </row>
    <row r="22" customFormat="false" ht="15" hidden="false" customHeight="true" outlineLevel="0" collapsed="false">
      <c r="A22" s="5" t="s">
        <v>15</v>
      </c>
      <c r="B22" s="6" t="s">
        <v>27</v>
      </c>
    </row>
    <row r="23" customFormat="false" ht="15" hidden="false" customHeight="true" outlineLevel="0" collapsed="false">
      <c r="A23" s="5" t="s">
        <v>28</v>
      </c>
      <c r="B23" s="6" t="s">
        <v>29</v>
      </c>
    </row>
    <row r="25" customFormat="false" ht="15" hidden="false" customHeight="true" outlineLevel="0" collapsed="false">
      <c r="A25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  <col collapsed="false" customWidth="true" hidden="false" outlineLevel="0" max="3" min="3" style="1" width="110"/>
  </cols>
  <sheetData>
    <row r="1" customFormat="false" ht="19.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33</v>
      </c>
      <c r="B5" s="4" t="s">
        <v>34</v>
      </c>
      <c r="C5" s="4" t="s">
        <v>35</v>
      </c>
    </row>
    <row r="6" customFormat="false" ht="15" hidden="false" customHeight="true" outlineLevel="0" collapsed="false">
      <c r="A6" s="7" t="s">
        <v>36</v>
      </c>
    </row>
    <row r="7" customFormat="false" ht="30" hidden="false" customHeight="true" outlineLevel="0" collapsed="false">
      <c r="A7" s="6" t="s">
        <v>37</v>
      </c>
      <c r="B7" s="8" t="s">
        <v>38</v>
      </c>
      <c r="C7" s="6" t="s">
        <v>39</v>
      </c>
    </row>
    <row r="8" customFormat="false" ht="30" hidden="false" customHeight="true" outlineLevel="0" collapsed="false">
      <c r="A8" s="6" t="s">
        <v>40</v>
      </c>
      <c r="B8" s="9" t="n">
        <v>0.19</v>
      </c>
      <c r="C8" s="6" t="s">
        <v>41</v>
      </c>
    </row>
    <row r="9" customFormat="false" ht="30" hidden="false" customHeight="true" outlineLevel="0" collapsed="false">
      <c r="A9" s="6" t="s">
        <v>42</v>
      </c>
      <c r="B9" s="8" t="s">
        <v>43</v>
      </c>
      <c r="C9" s="6" t="s">
        <v>44</v>
      </c>
    </row>
    <row r="10" customFormat="false" ht="30" hidden="false" customHeight="true" outlineLevel="0" collapsed="false">
      <c r="A10" s="6" t="s">
        <v>45</v>
      </c>
      <c r="B10" s="10" t="n">
        <v>300</v>
      </c>
      <c r="C10" s="6" t="s">
        <v>46</v>
      </c>
    </row>
    <row r="11" customFormat="false" ht="30" hidden="false" customHeight="true" outlineLevel="0" collapsed="false">
      <c r="A11" s="6" t="s">
        <v>47</v>
      </c>
      <c r="B11" s="11" t="str">
        <f aca="false">IF(INDEX(Plattformen!$D$6:$D$11,MATCH(Rechner!$B$7,Plattformen!$A$6:$A$11,0))="","nein","ja")</f>
        <v>ja</v>
      </c>
      <c r="C11" s="6" t="s">
        <v>48</v>
      </c>
    </row>
    <row r="12" customFormat="false" ht="30" hidden="false" customHeight="true" outlineLevel="0" collapsed="false"/>
    <row r="13" customFormat="false" ht="30" hidden="false" customHeight="true" outlineLevel="0" collapsed="false">
      <c r="A13" s="7" t="s">
        <v>49</v>
      </c>
    </row>
    <row r="14" customFormat="false" ht="30" hidden="false" customHeight="true" outlineLevel="0" collapsed="false">
      <c r="A14" s="6" t="s">
        <v>50</v>
      </c>
      <c r="B14" s="10" t="n">
        <v>4000</v>
      </c>
      <c r="C14" s="6" t="s">
        <v>51</v>
      </c>
    </row>
    <row r="15" customFormat="false" ht="30" hidden="false" customHeight="true" outlineLevel="0" collapsed="false">
      <c r="A15" s="6" t="s">
        <v>52</v>
      </c>
      <c r="B15" s="10" t="n">
        <v>1500</v>
      </c>
      <c r="C15" s="6" t="s">
        <v>53</v>
      </c>
    </row>
    <row r="16" customFormat="false" ht="30" hidden="false" customHeight="true" outlineLevel="0" collapsed="false">
      <c r="A16" s="12" t="s">
        <v>54</v>
      </c>
      <c r="B16" s="13" t="n">
        <f aca="false">B14+B15</f>
        <v>5500</v>
      </c>
      <c r="C16" s="6" t="s">
        <v>55</v>
      </c>
    </row>
    <row r="17" customFormat="false" ht="30" hidden="false" customHeight="true" outlineLevel="0" collapsed="false">
      <c r="A17" s="6" t="s">
        <v>56</v>
      </c>
      <c r="B17" s="10" t="n">
        <v>20677.28</v>
      </c>
      <c r="C17" s="6" t="s">
        <v>57</v>
      </c>
    </row>
    <row r="18" customFormat="false" ht="30" hidden="false" customHeight="true" outlineLevel="0" collapsed="false">
      <c r="A18" s="12" t="s">
        <v>58</v>
      </c>
      <c r="B18" s="13" t="n">
        <f aca="false">B17</f>
        <v>20677.28</v>
      </c>
      <c r="C18" s="6" t="s">
        <v>59</v>
      </c>
    </row>
    <row r="19" customFormat="false" ht="30" hidden="false" customHeight="true" outlineLevel="0" collapsed="false"/>
    <row r="20" customFormat="false" ht="30" hidden="false" customHeight="true" outlineLevel="0" collapsed="false">
      <c r="A20" s="7" t="s">
        <v>60</v>
      </c>
    </row>
    <row r="21" customFormat="false" ht="30" hidden="false" customHeight="true" outlineLevel="0" collapsed="false">
      <c r="A21" s="6" t="s">
        <v>61</v>
      </c>
      <c r="B21" s="14" t="n">
        <f aca="false">Stufen!D13</f>
        <v>44.75</v>
      </c>
      <c r="C21" s="6" t="s">
        <v>62</v>
      </c>
    </row>
    <row r="22" customFormat="false" ht="30" hidden="false" customHeight="true" outlineLevel="0" collapsed="false">
      <c r="A22" s="6" t="s">
        <v>63</v>
      </c>
      <c r="B22" s="15" t="n">
        <f aca="false">IF($B$11&lt;&gt;"ja","Gebühren fehlen",IF(OR(ROUND(Stufen!F13,4)&lt;&gt;1,NOT(ISNUMBER(Stufen!N13))),"Stufen prüfen",Stufen!N13))</f>
        <v>0.237528050326276</v>
      </c>
      <c r="C22" s="6" t="s">
        <v>64</v>
      </c>
    </row>
    <row r="23" customFormat="false" ht="30" hidden="false" customHeight="true" outlineLevel="0" collapsed="false">
      <c r="A23" s="6" t="s">
        <v>65</v>
      </c>
      <c r="B23" s="15" t="n">
        <f aca="false">IF($B$11&lt;&gt;"ja","Gebühren fehlen",IF(OR(ROUND(Stufen!F13,4)&lt;&gt;1,NOT(ISNUMBER(Stufen!O13))),"Stufen prüfen",Stufen!O13))</f>
        <v>0.460352894230318</v>
      </c>
      <c r="C23" s="6" t="s">
        <v>66</v>
      </c>
    </row>
    <row r="24" customFormat="false" ht="30" hidden="false" customHeight="true" outlineLevel="0" collapsed="false">
      <c r="A24" s="12" t="s">
        <v>67</v>
      </c>
      <c r="B24" s="13" t="n">
        <f aca="false">IF(ISNUMBER(B23),IF(B23&gt;=1,"nie",ROUNDUP(B10/(1-B23),0)),"—")</f>
        <v>556</v>
      </c>
      <c r="C24" s="6" t="s">
        <v>68</v>
      </c>
    </row>
    <row r="25" customFormat="false" ht="30" hidden="false" customHeight="true" outlineLevel="0" collapsed="false">
      <c r="A25" s="6" t="s">
        <v>69</v>
      </c>
      <c r="B25" s="16" t="n">
        <f aca="false">IF(ISNUMBER(B22),ROUNDUP((B16+B10)/(1-B22)/100,0)*100,"—")</f>
        <v>7700</v>
      </c>
      <c r="C25" s="6" t="s">
        <v>70</v>
      </c>
    </row>
    <row r="26" customFormat="false" ht="30" hidden="false" customHeight="true" outlineLevel="0" collapsed="false">
      <c r="A26" s="12" t="s">
        <v>71</v>
      </c>
      <c r="B26" s="13" t="n">
        <f aca="false">IF(ISNUMBER(B23),ROUNDUP((B16+B10)/(1-B23)/100,0)*100,"—")</f>
        <v>10800</v>
      </c>
      <c r="C26" s="6" t="s">
        <v>72</v>
      </c>
    </row>
    <row r="27" customFormat="false" ht="30" hidden="false" customHeight="true" outlineLevel="0" collapsed="false">
      <c r="A27" s="12" t="s">
        <v>73</v>
      </c>
      <c r="B27" s="13" t="n">
        <f aca="false">IF(ISNUMBER(B23),ROUNDUP((B18+B10)/(1-B23)/100,0)*100,"—")</f>
        <v>38900</v>
      </c>
      <c r="C27" s="6" t="s">
        <v>74</v>
      </c>
    </row>
    <row r="28" customFormat="false" ht="30" hidden="false" customHeight="true" outlineLevel="0" collapsed="false">
      <c r="A28" s="6" t="s">
        <v>75</v>
      </c>
      <c r="B28" s="11" t="str">
        <f aca="false">IF(ISNUMBER(B26),IF(B26&lt;10000,"unter der Spanne",IF(B26&gt;60000,"über der Spanne","in der Spanne")),"—")</f>
        <v>in der Spanne</v>
      </c>
      <c r="C28" s="6" t="s">
        <v>76</v>
      </c>
    </row>
    <row r="29" customFormat="false" ht="30" hidden="false" customHeight="true" outlineLevel="0" collapsed="false">
      <c r="A29" s="6" t="s">
        <v>77</v>
      </c>
      <c r="B29" s="11" t="str">
        <f aca="false">IF(ISNUMBER(B27),IF(B27&lt;10000,"unter der Spanne",IF(B27&gt;60000,"über der Spanne","in der Spanne")),"—")</f>
        <v>in der Spanne</v>
      </c>
      <c r="C29" s="6"/>
    </row>
    <row r="30" customFormat="false" ht="30" hidden="false" customHeight="true" outlineLevel="0" collapsed="false">
      <c r="A30" s="6" t="s">
        <v>78</v>
      </c>
      <c r="B30" s="17" t="n">
        <f aca="false">IF(AND(ISNUMBER(B26),B21&gt;0),ROUNDUP(B26/B21,0),"—")</f>
        <v>242</v>
      </c>
      <c r="C30" s="6"/>
    </row>
    <row r="31" customFormat="false" ht="30" hidden="false" customHeight="true" outlineLevel="0" collapsed="false">
      <c r="A31" s="6" t="s">
        <v>79</v>
      </c>
      <c r="B31" s="17" t="n">
        <f aca="false">IF(AND(ISNUMBER(B27),B21&gt;0),ROUNDUP(B27/B21,0),"—")</f>
        <v>870</v>
      </c>
      <c r="C31" s="6"/>
    </row>
    <row r="32" customFormat="false" ht="30" hidden="false" customHeight="true" outlineLevel="0" collapsed="false">
      <c r="A32" s="6" t="s">
        <v>80</v>
      </c>
      <c r="B32" s="17" t="n">
        <f aca="false">IF(AND(ISNUMBER(B26),B43&gt;0),ROUNDUP(B26/B43,0),"—")</f>
        <v>10800</v>
      </c>
      <c r="C32" s="6" t="s">
        <v>81</v>
      </c>
    </row>
    <row r="33" customFormat="false" ht="30" hidden="false" customHeight="true" outlineLevel="0" collapsed="false">
      <c r="A33" s="6" t="s">
        <v>82</v>
      </c>
      <c r="B33" s="17" t="n">
        <f aca="false">IF(AND(ISNUMBER(B27),B43&gt;0),ROUNDUP(B27/B43,0),"—")</f>
        <v>38900</v>
      </c>
      <c r="C33" s="6"/>
    </row>
    <row r="34" customFormat="false" ht="30" hidden="false" customHeight="true" outlineLevel="0" collapsed="false">
      <c r="A34" s="6" t="s">
        <v>83</v>
      </c>
      <c r="B34" s="16" t="n">
        <f aca="false">IF(ISNUMBER(B26),ROUND(B26*B45,-2),"—")</f>
        <v>2200</v>
      </c>
      <c r="C34" s="6" t="s">
        <v>84</v>
      </c>
    </row>
    <row r="35" customFormat="false" ht="30" hidden="false" customHeight="true" outlineLevel="0" collapsed="false">
      <c r="A35" s="6" t="s">
        <v>85</v>
      </c>
      <c r="B35" s="16" t="n">
        <f aca="false">IF(ISNUMBER(B26),ROUND(B26*B46,-2),"—")</f>
        <v>4300</v>
      </c>
      <c r="C35" s="6"/>
    </row>
    <row r="36" customFormat="false" ht="30" hidden="false" customHeight="true" outlineLevel="0" collapsed="false">
      <c r="A36" s="6" t="s">
        <v>86</v>
      </c>
      <c r="B36" s="16" t="n">
        <f aca="false">IF(AND(ISNUMBER(B26),ISNUMBER(B22)),B26*(1-B22)-B10,"—")</f>
        <v>7934.69705647622</v>
      </c>
      <c r="C36" s="6" t="s">
        <v>87</v>
      </c>
    </row>
    <row r="37" customFormat="false" ht="30" hidden="false" customHeight="true" outlineLevel="0" collapsed="false">
      <c r="A37" s="6" t="s">
        <v>88</v>
      </c>
      <c r="B37" s="11" t="str">
        <f aca="false">IF(ISNUMBER(B36),IF(B36&gt;=B16,"ja","nein"),"—")</f>
        <v>ja</v>
      </c>
      <c r="C37" s="6"/>
    </row>
    <row r="38" customFormat="false" ht="30" hidden="false" customHeight="true" outlineLevel="0" collapsed="false">
      <c r="A38" s="6" t="s">
        <v>89</v>
      </c>
      <c r="B38" s="11" t="str">
        <f aca="false">Stufen!Q13</f>
        <v>ja</v>
      </c>
      <c r="C38" s="6" t="s">
        <v>90</v>
      </c>
    </row>
    <row r="39" customFormat="false" ht="30" hidden="false" customHeight="true" outlineLevel="0" collapsed="false">
      <c r="A39" s="6" t="s">
        <v>91</v>
      </c>
      <c r="B39" s="11" t="str">
        <f aca="false">IF(AND(B21&gt;=B47,B21&lt;=B48),"ja","nein")</f>
        <v>ja</v>
      </c>
      <c r="C39" s="6" t="s">
        <v>92</v>
      </c>
    </row>
    <row r="40" customFormat="false" ht="30" hidden="false" customHeight="true" outlineLevel="0" collapsed="false"/>
    <row r="41" customFormat="false" ht="30" hidden="false" customHeight="true" outlineLevel="0" collapsed="false">
      <c r="A41" s="7" t="s">
        <v>93</v>
      </c>
    </row>
    <row r="42" customFormat="false" ht="30" hidden="false" customHeight="true" outlineLevel="0" collapsed="false">
      <c r="A42" s="6" t="s">
        <v>94</v>
      </c>
      <c r="B42" s="10" t="n">
        <v>35</v>
      </c>
      <c r="C42" s="6" t="s">
        <v>95</v>
      </c>
    </row>
    <row r="43" customFormat="false" ht="30" hidden="false" customHeight="true" outlineLevel="0" collapsed="false">
      <c r="A43" s="6" t="s">
        <v>96</v>
      </c>
      <c r="B43" s="18" t="n">
        <v>1</v>
      </c>
      <c r="C43" s="6" t="s">
        <v>97</v>
      </c>
    </row>
    <row r="44" customFormat="false" ht="30" hidden="false" customHeight="true" outlineLevel="0" collapsed="false">
      <c r="A44" s="6" t="s">
        <v>98</v>
      </c>
      <c r="B44" s="19" t="n">
        <v>3</v>
      </c>
      <c r="C44" s="6" t="s">
        <v>99</v>
      </c>
    </row>
    <row r="45" customFormat="false" ht="30" hidden="false" customHeight="true" outlineLevel="0" collapsed="false">
      <c r="A45" s="6" t="s">
        <v>100</v>
      </c>
      <c r="B45" s="9" t="n">
        <v>0.2</v>
      </c>
      <c r="C45" s="6" t="s">
        <v>101</v>
      </c>
    </row>
    <row r="46" customFormat="false" ht="30" hidden="false" customHeight="true" outlineLevel="0" collapsed="false">
      <c r="A46" s="6" t="s">
        <v>102</v>
      </c>
      <c r="B46" s="9" t="n">
        <v>0.4</v>
      </c>
      <c r="C46" s="6"/>
    </row>
    <row r="47" customFormat="false" ht="30" hidden="false" customHeight="true" outlineLevel="0" collapsed="false">
      <c r="A47" s="6" t="s">
        <v>103</v>
      </c>
      <c r="B47" s="10" t="n">
        <v>35</v>
      </c>
      <c r="C47" s="6" t="s">
        <v>104</v>
      </c>
    </row>
    <row r="48" customFormat="false" ht="30" hidden="false" customHeight="true" outlineLevel="0" collapsed="false">
      <c r="A48" s="6" t="s">
        <v>105</v>
      </c>
      <c r="B48" s="10" t="n">
        <v>75</v>
      </c>
      <c r="C48" s="6"/>
    </row>
    <row r="49" customFormat="false" ht="30" hidden="false" customHeight="true" outlineLevel="0" collapsed="false">
      <c r="A49" s="6" t="s">
        <v>106</v>
      </c>
      <c r="B49" s="14" t="n">
        <f aca="false">B44/100*B21</f>
        <v>1.3425</v>
      </c>
      <c r="C49" s="6" t="s">
        <v>107</v>
      </c>
    </row>
    <row r="50" customFormat="false" ht="30" hidden="false" customHeight="true" outlineLevel="0" collapsed="false">
      <c r="A50" s="6" t="s">
        <v>108</v>
      </c>
      <c r="B50" s="17" t="n">
        <f aca="false">IF(AND(ISNUMBER(B26),B42&gt;0),ROUNDUP(B26/B42,0),"—")</f>
        <v>309</v>
      </c>
      <c r="C50" s="6" t="s">
        <v>109</v>
      </c>
    </row>
    <row r="51" customFormat="false" ht="30" hidden="false" customHeight="true" outlineLevel="0" collapsed="false">
      <c r="A51" s="6" t="s">
        <v>110</v>
      </c>
      <c r="B51" s="17" t="n">
        <f aca="false">IF(AND(ISNUMBER(B27),B42&gt;0),ROUNDUP(B27/B42,0),"—")</f>
        <v>1112</v>
      </c>
      <c r="C51" s="6"/>
    </row>
    <row r="53" customFormat="false" ht="15" hidden="false" customHeight="true" outlineLevel="0" collapsed="false">
      <c r="A53" s="3" t="s">
        <v>111</v>
      </c>
    </row>
  </sheetData>
  <conditionalFormatting sqref="B11">
    <cfRule type="expression" priority="2" aboveAverage="0" equalAverage="0" bottom="0" percent="0" rank="0" text="" dxfId="0">
      <formula>LEFT(B11,4)="nein"</formula>
    </cfRule>
    <cfRule type="expression" priority="3" aboveAverage="0" equalAverage="0" bottom="0" percent="0" rank="0" text="" dxfId="1">
      <formula>B11="ja"</formula>
    </cfRule>
  </conditionalFormatting>
  <conditionalFormatting sqref="B37">
    <cfRule type="expression" priority="4" aboveAverage="0" equalAverage="0" bottom="0" percent="0" rank="0" text="" dxfId="0">
      <formula>LEFT(B37,4)="nein"</formula>
    </cfRule>
    <cfRule type="expression" priority="5" aboveAverage="0" equalAverage="0" bottom="0" percent="0" rank="0" text="" dxfId="1">
      <formula>B37="ja"</formula>
    </cfRule>
  </conditionalFormatting>
  <conditionalFormatting sqref="B38">
    <cfRule type="expression" priority="6" aboveAverage="0" equalAverage="0" bottom="0" percent="0" rank="0" text="" dxfId="0">
      <formula>LEFT(B38,4)="nein"</formula>
    </cfRule>
    <cfRule type="expression" priority="7" aboveAverage="0" equalAverage="0" bottom="0" percent="0" rank="0" text="" dxfId="1">
      <formula>B38="ja"</formula>
    </cfRule>
  </conditionalFormatting>
  <conditionalFormatting sqref="B39">
    <cfRule type="expression" priority="8" aboveAverage="0" equalAverage="0" bottom="0" percent="0" rank="0" text="" dxfId="0">
      <formula>LEFT(B39,4)="nein"</formula>
    </cfRule>
    <cfRule type="expression" priority="9" aboveAverage="0" equalAverage="0" bottom="0" percent="0" rank="0" text="" dxfId="1">
      <formula>B39="ja"</formula>
    </cfRule>
  </conditionalFormatting>
  <dataValidations count="2">
    <dataValidation allowBlank="false" errorStyle="stop" operator="between" showDropDown="false" showErrorMessage="false" showInputMessage="false" sqref="B7" type="list">
      <formula1>Plattformen!$A$6:$A$11</formula1>
      <formula2>0</formula2>
    </dataValidation>
    <dataValidation allowBlank="false" errorStyle="stop" operator="between" showDropDown="false" showErrorMessage="false" showInputMessage="false" sqref="B9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6" min="15" style="1" width="13"/>
    <col collapsed="false" customWidth="true" hidden="false" outlineLevel="0" max="17" min="17" style="1" width="11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" t="s">
        <v>112</v>
      </c>
    </row>
    <row r="2" customFormat="false" ht="15" hidden="false" customHeight="true" outlineLevel="0" collapsed="false">
      <c r="A2" s="3" t="s">
        <v>113</v>
      </c>
    </row>
    <row r="3" customFormat="false" ht="15" hidden="false" customHeight="true" outlineLevel="0" collapsed="false">
      <c r="A3" s="3" t="s">
        <v>2</v>
      </c>
    </row>
    <row r="5" customFormat="false" ht="57.75" hidden="false" customHeight="true" outlineLevel="0" collapsed="false">
      <c r="A5" s="4" t="s">
        <v>114</v>
      </c>
      <c r="B5" s="4" t="s">
        <v>115</v>
      </c>
      <c r="C5" s="4" t="s">
        <v>116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128</v>
      </c>
      <c r="P5" s="4" t="s">
        <v>129</v>
      </c>
      <c r="Q5" s="4" t="s">
        <v>130</v>
      </c>
      <c r="R5" s="4" t="s">
        <v>131</v>
      </c>
    </row>
    <row r="6" customFormat="false" ht="61.5" hidden="false" customHeight="true" outlineLevel="0" collapsed="false">
      <c r="A6" s="5" t="s">
        <v>132</v>
      </c>
      <c r="B6" s="12" t="s">
        <v>133</v>
      </c>
      <c r="C6" s="6" t="s">
        <v>134</v>
      </c>
      <c r="D6" s="18" t="n">
        <v>10</v>
      </c>
      <c r="E6" s="19"/>
      <c r="F6" s="9" t="n">
        <v>0.2</v>
      </c>
      <c r="G6" s="8" t="s">
        <v>43</v>
      </c>
      <c r="H6" s="18" t="n">
        <v>0</v>
      </c>
      <c r="I6" s="14" t="n">
        <f aca="false">IF(AND(Rechner!$B$9="ja",G6="ja"),D6*Rechner!$B$8/(1+Rechner!$B$8),0)</f>
        <v>1.59663865546219</v>
      </c>
      <c r="J6" s="14" t="n">
        <f aca="false">D6*N(INDEX(Plattformen!$D$6:$D$11,MATCH(Rechner!$B$7,Plattformen!$A$6:$A$11,0)))*(1+IF(Rechner!$B$9="ja",0,Rechner!$B$8))+IF(D6&lt;N(INDEX(Plattformen!$G$6:$G$11,MATCH(Rechner!$B$7,Plattformen!$A$6:$A$11,0))),D6*N(INDEX(Plattformen!$H$6:$H$11,MATCH(Rechner!$B$7,Plattformen!$A$6:$A$11,0)))+N(INDEX(Plattformen!$I$6:$I$11,MATCH(Rechner!$B$7,Plattformen!$A$6:$A$11,0))),D6*N(INDEX(Plattformen!$E$6:$E$11,MATCH(Rechner!$B$7,Plattformen!$A$6:$A$11,0)))+N(INDEX(Plattformen!$F$6:$F$11,MATCH(Rechner!$B$7,Plattformen!$A$6:$A$11,0))))</f>
        <v>0.85</v>
      </c>
      <c r="K6" s="14" t="n">
        <v>0</v>
      </c>
      <c r="L6" s="14" t="n">
        <f aca="false">D6-H6-I6-J6</f>
        <v>7.55336134453782</v>
      </c>
      <c r="M6" s="14" t="n">
        <f aca="false">L6-K6</f>
        <v>7.55336134453782</v>
      </c>
      <c r="N6" s="15" t="n">
        <f aca="false">IF(D6=0,"",(H6+I6+J6)/D6)</f>
        <v>0.244663865546219</v>
      </c>
      <c r="O6" s="15" t="n">
        <f aca="false">IF(D6=0,"",(H6+I6+J6+K6)/D6)</f>
        <v>0.244663865546219</v>
      </c>
      <c r="P6" s="17" t="n">
        <f aca="false">IF(ISNUMBER(Rechner!$B$31),ROUNDUP(Rechner!$B$31*F6,0),"")</f>
        <v>174</v>
      </c>
      <c r="Q6" s="11" t="str">
        <f aca="false">IF(P6="","—",IF(E6="","ohne Limit",IF(P6&lt;=E6,"ja","nein")))</f>
        <v>ohne Limit</v>
      </c>
      <c r="R6" s="20" t="s">
        <v>135</v>
      </c>
    </row>
    <row r="7" customFormat="false" ht="61.5" hidden="false" customHeight="true" outlineLevel="0" collapsed="false">
      <c r="A7" s="5" t="s">
        <v>136</v>
      </c>
      <c r="B7" s="12" t="s">
        <v>137</v>
      </c>
      <c r="C7" s="6" t="s">
        <v>138</v>
      </c>
      <c r="D7" s="18" t="n">
        <v>25</v>
      </c>
      <c r="E7" s="19"/>
      <c r="F7" s="9" t="n">
        <v>0.25</v>
      </c>
      <c r="G7" s="8" t="s">
        <v>43</v>
      </c>
      <c r="H7" s="18" t="n">
        <v>0</v>
      </c>
      <c r="I7" s="14" t="n">
        <f aca="false">IF(AND(Rechner!$B$9="ja",G7="ja"),D7*Rechner!$B$8/(1+Rechner!$B$8),0)</f>
        <v>3.99159663865546</v>
      </c>
      <c r="J7" s="14" t="n">
        <f aca="false">D7*N(INDEX(Plattformen!$D$6:$D$11,MATCH(Rechner!$B$7,Plattformen!$A$6:$A$11,0)))*(1+IF(Rechner!$B$9="ja",0,Rechner!$B$8))+IF(D7&lt;N(INDEX(Plattformen!$G$6:$G$11,MATCH(Rechner!$B$7,Plattformen!$A$6:$A$11,0))),D7*N(INDEX(Plattformen!$H$6:$H$11,MATCH(Rechner!$B$7,Plattformen!$A$6:$A$11,0)))+N(INDEX(Plattformen!$I$6:$I$11,MATCH(Rechner!$B$7,Plattformen!$A$6:$A$11,0))),D7*N(INDEX(Plattformen!$E$6:$E$11,MATCH(Rechner!$B$7,Plattformen!$A$6:$A$11,0)))+N(INDEX(Plattformen!$F$6:$F$11,MATCH(Rechner!$B$7,Plattformen!$A$6:$A$11,0))))</f>
        <v>2.125</v>
      </c>
      <c r="K7" s="14" t="n">
        <v>0</v>
      </c>
      <c r="L7" s="14" t="n">
        <f aca="false">D7-H7-I7-J7</f>
        <v>18.8834033613445</v>
      </c>
      <c r="M7" s="14" t="n">
        <f aca="false">L7-K7</f>
        <v>18.8834033613445</v>
      </c>
      <c r="N7" s="15" t="n">
        <f aca="false">IF(D7=0,"",(H7+I7+J7)/D7)</f>
        <v>0.244663865546219</v>
      </c>
      <c r="O7" s="15" t="n">
        <f aca="false">IF(D7=0,"",(H7+I7+J7+K7)/D7)</f>
        <v>0.244663865546219</v>
      </c>
      <c r="P7" s="17" t="n">
        <f aca="false">IF(ISNUMBER(Rechner!$B$31),ROUNDUP(Rechner!$B$31*F7,0),"")</f>
        <v>218</v>
      </c>
      <c r="Q7" s="11" t="str">
        <f aca="false">IF(P7="","—",IF(E7="","ohne Limit",IF(P7&lt;=E7,"ja","nein")))</f>
        <v>ohne Limit</v>
      </c>
      <c r="R7" s="20" t="s">
        <v>139</v>
      </c>
    </row>
    <row r="8" customFormat="false" ht="61.5" hidden="false" customHeight="true" outlineLevel="0" collapsed="false">
      <c r="A8" s="5" t="s">
        <v>140</v>
      </c>
      <c r="B8" s="12" t="s">
        <v>141</v>
      </c>
      <c r="C8" s="6" t="s">
        <v>142</v>
      </c>
      <c r="D8" s="18" t="n">
        <v>45</v>
      </c>
      <c r="E8" s="19" t="n">
        <v>100</v>
      </c>
      <c r="F8" s="9" t="n">
        <v>0.1</v>
      </c>
      <c r="G8" s="8" t="s">
        <v>43</v>
      </c>
      <c r="H8" s="18" t="n">
        <v>0</v>
      </c>
      <c r="I8" s="14" t="n">
        <f aca="false">IF(AND(Rechner!$B$9="ja",G8="ja"),D8*Rechner!$B$8/(1+Rechner!$B$8),0)</f>
        <v>7.18487394957983</v>
      </c>
      <c r="J8" s="14" t="n">
        <f aca="false">D8*N(INDEX(Plattformen!$D$6:$D$11,MATCH(Rechner!$B$7,Plattformen!$A$6:$A$11,0)))*(1+IF(Rechner!$B$9="ja",0,Rechner!$B$8))+IF(D8&lt;N(INDEX(Plattformen!$G$6:$G$11,MATCH(Rechner!$B$7,Plattformen!$A$6:$A$11,0))),D8*N(INDEX(Plattformen!$H$6:$H$11,MATCH(Rechner!$B$7,Plattformen!$A$6:$A$11,0)))+N(INDEX(Plattformen!$I$6:$I$11,MATCH(Rechner!$B$7,Plattformen!$A$6:$A$11,0))),D8*N(INDEX(Plattformen!$E$6:$E$11,MATCH(Rechner!$B$7,Plattformen!$A$6:$A$11,0)))+N(INDEX(Plattformen!$F$6:$F$11,MATCH(Rechner!$B$7,Plattformen!$A$6:$A$11,0))))</f>
        <v>3.825</v>
      </c>
      <c r="K8" s="14" t="n">
        <v>0</v>
      </c>
      <c r="L8" s="14" t="n">
        <f aca="false">D8-H8-I8-J8</f>
        <v>33.9901260504202</v>
      </c>
      <c r="M8" s="14" t="n">
        <f aca="false">L8-K8</f>
        <v>33.9901260504202</v>
      </c>
      <c r="N8" s="15" t="n">
        <f aca="false">IF(D8=0,"",(H8+I8+J8)/D8)</f>
        <v>0.244663865546219</v>
      </c>
      <c r="O8" s="15" t="n">
        <f aca="false">IF(D8=0,"",(H8+I8+J8+K8)/D8)</f>
        <v>0.244663865546219</v>
      </c>
      <c r="P8" s="17" t="n">
        <f aca="false">IF(ISNUMBER(Rechner!$B$31),ROUNDUP(Rechner!$B$31*F8,0),"")</f>
        <v>87</v>
      </c>
      <c r="Q8" s="11" t="str">
        <f aca="false">IF(P8="","—",IF(E8="","ohne Limit",IF(P8&lt;=E8,"ja","nein")))</f>
        <v>ja</v>
      </c>
      <c r="R8" s="20" t="s">
        <v>143</v>
      </c>
    </row>
    <row r="9" customFormat="false" ht="61.5" hidden="false" customHeight="true" outlineLevel="0" collapsed="false">
      <c r="A9" s="5" t="s">
        <v>144</v>
      </c>
      <c r="B9" s="12" t="s">
        <v>145</v>
      </c>
      <c r="C9" s="6" t="s">
        <v>146</v>
      </c>
      <c r="D9" s="18" t="n">
        <v>60</v>
      </c>
      <c r="E9" s="19"/>
      <c r="F9" s="9" t="n">
        <v>0.2</v>
      </c>
      <c r="G9" s="8" t="s">
        <v>43</v>
      </c>
      <c r="H9" s="18" t="n">
        <v>0</v>
      </c>
      <c r="I9" s="14" t="n">
        <f aca="false">IF(AND(Rechner!$B$9="ja",G9="ja"),D9*Rechner!$B$8/(1+Rechner!$B$8),0)</f>
        <v>9.57983193277311</v>
      </c>
      <c r="J9" s="14" t="n">
        <f aca="false">D9*N(INDEX(Plattformen!$D$6:$D$11,MATCH(Rechner!$B$7,Plattformen!$A$6:$A$11,0)))*(1+IF(Rechner!$B$9="ja",0,Rechner!$B$8))+IF(D9&lt;N(INDEX(Plattformen!$G$6:$G$11,MATCH(Rechner!$B$7,Plattformen!$A$6:$A$11,0))),D9*N(INDEX(Plattformen!$H$6:$H$11,MATCH(Rechner!$B$7,Plattformen!$A$6:$A$11,0)))+N(INDEX(Plattformen!$I$6:$I$11,MATCH(Rechner!$B$7,Plattformen!$A$6:$A$11,0))),D9*N(INDEX(Plattformen!$E$6:$E$11,MATCH(Rechner!$B$7,Plattformen!$A$6:$A$11,0)))+N(INDEX(Plattformen!$F$6:$F$11,MATCH(Rechner!$B$7,Plattformen!$A$6:$A$11,0))))</f>
        <v>5.1</v>
      </c>
      <c r="K9" s="14" t="n">
        <f aca="false">'PLUS-Wert'!B22</f>
        <v>26.9705882352941</v>
      </c>
      <c r="L9" s="14" t="n">
        <f aca="false">D9-H9-I9-J9</f>
        <v>45.3201680672269</v>
      </c>
      <c r="M9" s="14" t="n">
        <f aca="false">L9-K9</f>
        <v>18.3495798319328</v>
      </c>
      <c r="N9" s="15" t="n">
        <f aca="false">IF(D9=0,"",(H9+I9+J9)/D9)</f>
        <v>0.244663865546219</v>
      </c>
      <c r="O9" s="15" t="n">
        <f aca="false">IF(D9=0,"",(H9+I9+J9+K9)/D9)</f>
        <v>0.694173669467787</v>
      </c>
      <c r="P9" s="17" t="n">
        <f aca="false">IF(ISNUMBER(Rechner!$B$31),ROUNDUP(Rechner!$B$31*F9,0),"")</f>
        <v>174</v>
      </c>
      <c r="Q9" s="11" t="str">
        <f aca="false">IF(P9="","—",IF(E9="","ohne Limit",IF(P9&lt;=E9,"ja","nein")))</f>
        <v>ohne Limit</v>
      </c>
      <c r="R9" s="20" t="s">
        <v>147</v>
      </c>
    </row>
    <row r="10" customFormat="false" ht="61.5" hidden="false" customHeight="true" outlineLevel="0" collapsed="false">
      <c r="A10" s="5" t="s">
        <v>148</v>
      </c>
      <c r="B10" s="12" t="s">
        <v>149</v>
      </c>
      <c r="C10" s="6" t="s">
        <v>150</v>
      </c>
      <c r="D10" s="18" t="n">
        <v>120</v>
      </c>
      <c r="E10" s="19"/>
      <c r="F10" s="9" t="n">
        <v>0.15</v>
      </c>
      <c r="G10" s="8" t="s">
        <v>43</v>
      </c>
      <c r="H10" s="18" t="n">
        <v>0</v>
      </c>
      <c r="I10" s="14" t="n">
        <f aca="false">IF(AND(Rechner!$B$9="ja",G10="ja"),D10*Rechner!$B$8/(1+Rechner!$B$8),0)</f>
        <v>19.1596638655462</v>
      </c>
      <c r="J10" s="14" t="n">
        <f aca="false">D10*N(INDEX(Plattformen!$D$6:$D$11,MATCH(Rechner!$B$7,Plattformen!$A$6:$A$11,0)))*(1+IF(Rechner!$B$9="ja",0,Rechner!$B$8))+IF(D10&lt;N(INDEX(Plattformen!$G$6:$G$11,MATCH(Rechner!$B$7,Plattformen!$A$6:$A$11,0))),D10*N(INDEX(Plattformen!$H$6:$H$11,MATCH(Rechner!$B$7,Plattformen!$A$6:$A$11,0)))+N(INDEX(Plattformen!$I$6:$I$11,MATCH(Rechner!$B$7,Plattformen!$A$6:$A$11,0))),D10*N(INDEX(Plattformen!$E$6:$E$11,MATCH(Rechner!$B$7,Plattformen!$A$6:$A$11,0)))+N(INDEX(Plattformen!$F$6:$F$11,MATCH(Rechner!$B$7,Plattformen!$A$6:$A$11,0))))</f>
        <v>10.2</v>
      </c>
      <c r="K10" s="14" t="n">
        <f aca="false">'PLUS-Wert'!B28</f>
        <v>30.5152941176471</v>
      </c>
      <c r="L10" s="14" t="n">
        <f aca="false">D10-H10-I10-J10</f>
        <v>90.6403361344538</v>
      </c>
      <c r="M10" s="14" t="n">
        <f aca="false">L10-K10</f>
        <v>60.1250420168067</v>
      </c>
      <c r="N10" s="15" t="n">
        <f aca="false">IF(D10=0,"",(H10+I10+J10)/D10)</f>
        <v>0.244663865546219</v>
      </c>
      <c r="O10" s="15" t="n">
        <f aca="false">IF(D10=0,"",(H10+I10+J10+K10)/D10)</f>
        <v>0.498957983193277</v>
      </c>
      <c r="P10" s="17" t="n">
        <f aca="false">IF(ISNUMBER(Rechner!$B$31),ROUNDUP(Rechner!$B$31*F10,0),"")</f>
        <v>131</v>
      </c>
      <c r="Q10" s="11" t="str">
        <f aca="false">IF(P10="","—",IF(E10="","ohne Limit",IF(P10&lt;=E10,"ja","nein")))</f>
        <v>ohne Limit</v>
      </c>
      <c r="R10" s="20" t="s">
        <v>151</v>
      </c>
    </row>
    <row r="11" customFormat="false" ht="61.5" hidden="false" customHeight="true" outlineLevel="0" collapsed="false">
      <c r="A11" s="5" t="s">
        <v>152</v>
      </c>
      <c r="B11" s="12" t="s">
        <v>153</v>
      </c>
      <c r="C11" s="6" t="s">
        <v>154</v>
      </c>
      <c r="D11" s="18" t="n">
        <v>20</v>
      </c>
      <c r="E11" s="19"/>
      <c r="F11" s="9" t="n">
        <v>0.1</v>
      </c>
      <c r="G11" s="8" t="s">
        <v>155</v>
      </c>
      <c r="H11" s="18" t="n">
        <v>0</v>
      </c>
      <c r="I11" s="14" t="n">
        <f aca="false">IF(AND(Rechner!$B$9="ja",G11="ja"),D11*Rechner!$B$8/(1+Rechner!$B$8),0)</f>
        <v>0</v>
      </c>
      <c r="J11" s="14" t="n">
        <f aca="false">D11*N(INDEX(Plattformen!$D$6:$D$11,MATCH(Rechner!$B$7,Plattformen!$A$6:$A$11,0)))*(1+IF(Rechner!$B$9="ja",0,Rechner!$B$8))+IF(D11&lt;N(INDEX(Plattformen!$G$6:$G$11,MATCH(Rechner!$B$7,Plattformen!$A$6:$A$11,0))),D11*N(INDEX(Plattformen!$H$6:$H$11,MATCH(Rechner!$B$7,Plattformen!$A$6:$A$11,0)))+N(INDEX(Plattformen!$I$6:$I$11,MATCH(Rechner!$B$7,Plattformen!$A$6:$A$11,0))),D11*N(INDEX(Plattformen!$E$6:$E$11,MATCH(Rechner!$B$7,Plattformen!$A$6:$A$11,0)))+N(INDEX(Plattformen!$F$6:$F$11,MATCH(Rechner!$B$7,Plattformen!$A$6:$A$11,0))))</f>
        <v>1.7</v>
      </c>
      <c r="K11" s="14" t="n">
        <v>0</v>
      </c>
      <c r="L11" s="14" t="n">
        <f aca="false">D11-H11-I11-J11</f>
        <v>18.3</v>
      </c>
      <c r="M11" s="14" t="n">
        <f aca="false">L11-K11</f>
        <v>18.3</v>
      </c>
      <c r="N11" s="15" t="n">
        <f aca="false">IF(D11=0,"",(H11+I11+J11)/D11)</f>
        <v>0.085</v>
      </c>
      <c r="O11" s="15" t="n">
        <f aca="false">IF(D11=0,"",(H11+I11+J11+K11)/D11)</f>
        <v>0.085</v>
      </c>
      <c r="P11" s="17" t="n">
        <f aca="false">IF(ISNUMBER(Rechner!$B$31),ROUNDUP(Rechner!$B$31*F11,0),"")</f>
        <v>87</v>
      </c>
      <c r="Q11" s="11" t="str">
        <f aca="false">IF(P11="","—",IF(E11="","ohne Limit",IF(P11&lt;=E11,"ja","nein")))</f>
        <v>ohne Limit</v>
      </c>
      <c r="R11" s="20" t="s">
        <v>156</v>
      </c>
    </row>
    <row r="13" customFormat="false" ht="15" hidden="false" customHeight="true" outlineLevel="0" collapsed="false">
      <c r="B13" s="12" t="s">
        <v>157</v>
      </c>
      <c r="C13" s="20" t="s">
        <v>158</v>
      </c>
      <c r="D13" s="21" t="n">
        <f aca="false">SUMPRODUCT(D6:D11,F6:F11)</f>
        <v>44.75</v>
      </c>
      <c r="F13" s="22" t="n">
        <f aca="false">SUM(F6:F11)</f>
        <v>1</v>
      </c>
      <c r="I13" s="14" t="n">
        <f aca="false">SUMPRODUCT(F6:F11,I6:I11)</f>
        <v>6.82563025210084</v>
      </c>
      <c r="J13" s="14" t="n">
        <f aca="false">SUMPRODUCT(F6:F11,J6:J11)</f>
        <v>3.80375</v>
      </c>
      <c r="K13" s="14" t="n">
        <f aca="false">SUMPRODUCT(F6:F11,K6:K11)</f>
        <v>9.97141176470588</v>
      </c>
      <c r="L13" s="14" t="n">
        <f aca="false">SUMPRODUCT(F6:F11,L6:L11)</f>
        <v>34.1206197478992</v>
      </c>
      <c r="M13" s="14" t="n">
        <f aca="false">SUMPRODUCT(F6:F11,M6:M11)</f>
        <v>24.1492079831933</v>
      </c>
      <c r="N13" s="23" t="n">
        <f aca="false">IF(D13=0,"",SUMPRODUCT(F6:F11,H6:H11+I6:I11+J6:J11)/D13)</f>
        <v>0.237528050326276</v>
      </c>
      <c r="O13" s="23" t="n">
        <f aca="false">IF(D13=0,"",SUMPRODUCT(F6:F11,H6:H11+I6:I11+J6:J11+K6:K11)/D13)</f>
        <v>0.460352894230318</v>
      </c>
      <c r="Q13" s="24" t="str">
        <f aca="false">IF(COUNTIF(Q6:Q11,"—")&gt;0,"—",IF(COUNTIF(Q6:Q11,"nein")=0,"ja","nein — Limit prüfen"))</f>
        <v>ja</v>
      </c>
    </row>
    <row r="14" customFormat="false" ht="15" hidden="false" customHeight="true" outlineLevel="0" collapsed="false">
      <c r="B14" s="12" t="s">
        <v>159</v>
      </c>
      <c r="C14" s="11" t="str">
        <f aca="false">IF(ROUND(F13,4)=1,"Die Anteile ergeben 100 %.","Die Anteile ergeben nicht 100 % — bitte korrigieren.")</f>
        <v>Die Anteile ergeben 100 %.</v>
      </c>
    </row>
    <row r="16" customFormat="false" ht="15" hidden="false" customHeight="true" outlineLevel="0" collapsed="false">
      <c r="A16" s="3" t="s">
        <v>160</v>
      </c>
    </row>
    <row r="17" customFormat="false" ht="15" hidden="false" customHeight="true" outlineLevel="0" collapsed="false">
      <c r="A17" s="3" t="s">
        <v>161</v>
      </c>
    </row>
    <row r="18" customFormat="false" ht="15" hidden="false" customHeight="true" outlineLevel="0" collapsed="false">
      <c r="A18" s="3" t="s">
        <v>162</v>
      </c>
    </row>
  </sheetData>
  <conditionalFormatting sqref="Q6:Q11">
    <cfRule type="expression" priority="2" aboveAverage="0" equalAverage="0" bottom="0" percent="0" rank="0" text="" dxfId="0">
      <formula>Q6="nein"</formula>
    </cfRule>
  </conditionalFormatting>
  <conditionalFormatting sqref="C14">
    <cfRule type="expression" priority="3" aboveAverage="0" equalAverage="0" bottom="0" percent="0" rank="0" text="" dxfId="1">
      <formula>LEFT(C14,15)="Die Anteile erg"</formula>
    </cfRule>
    <cfRule type="expression" priority="4" aboveAverage="0" equalAverage="0" bottom="0" percent="0" rank="0" text="" dxfId="0">
      <formula>ISNUMBER(SEARCH("nicht",C14))</formula>
    </cfRule>
  </conditionalFormatting>
  <dataValidations count="1">
    <dataValidation allowBlank="false" errorStyle="stop" operator="between" showDropDown="false" showErrorMessage="false" showInputMessage="false" sqref="G6:G11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163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45" hidden="false" customHeight="true" outlineLevel="0" collapsed="false">
      <c r="A5" s="4" t="s">
        <v>164</v>
      </c>
      <c r="B5" s="4" t="s">
        <v>165</v>
      </c>
      <c r="C5" s="4" t="s">
        <v>166</v>
      </c>
      <c r="D5" s="4" t="s">
        <v>167</v>
      </c>
      <c r="E5" s="4" t="s">
        <v>168</v>
      </c>
      <c r="F5" s="4" t="s">
        <v>169</v>
      </c>
      <c r="G5" s="4" t="s">
        <v>170</v>
      </c>
    </row>
    <row r="6" customFormat="false" ht="15" hidden="false" customHeight="true" outlineLevel="0" collapsed="false">
      <c r="A6" s="12" t="s">
        <v>171</v>
      </c>
      <c r="B6" s="19" t="n">
        <v>1</v>
      </c>
      <c r="C6" s="18" t="n">
        <v>9</v>
      </c>
      <c r="D6" s="14" t="n">
        <f aca="false">C6/B6</f>
        <v>9</v>
      </c>
      <c r="E6" s="9" t="n">
        <v>0.45</v>
      </c>
      <c r="F6" s="25" t="n">
        <v>3.3</v>
      </c>
      <c r="G6" s="18" t="n">
        <v>24.9</v>
      </c>
    </row>
    <row r="7" customFormat="false" ht="15" hidden="false" customHeight="true" outlineLevel="0" collapsed="false">
      <c r="A7" s="12" t="s">
        <v>172</v>
      </c>
      <c r="B7" s="19" t="n">
        <v>3</v>
      </c>
      <c r="C7" s="18" t="n">
        <v>23</v>
      </c>
      <c r="D7" s="14" t="n">
        <f aca="false">C7/B7</f>
        <v>7.66666666666667</v>
      </c>
      <c r="E7" s="9" t="n">
        <v>0.2</v>
      </c>
      <c r="F7" s="25" t="n">
        <v>10</v>
      </c>
      <c r="G7" s="18" t="n">
        <v>64.3</v>
      </c>
    </row>
    <row r="8" customFormat="false" ht="15" hidden="false" customHeight="true" outlineLevel="0" collapsed="false">
      <c r="A8" s="12" t="s">
        <v>173</v>
      </c>
      <c r="B8" s="19" t="n">
        <v>6</v>
      </c>
      <c r="C8" s="18" t="n">
        <v>40</v>
      </c>
      <c r="D8" s="14" t="n">
        <f aca="false">C8/B8</f>
        <v>6.66666666666667</v>
      </c>
      <c r="E8" s="9" t="n">
        <v>0.15</v>
      </c>
      <c r="F8" s="25" t="n">
        <v>16.7</v>
      </c>
      <c r="G8" s="18" t="n">
        <v>93.4</v>
      </c>
    </row>
    <row r="9" customFormat="false" ht="15" hidden="false" customHeight="true" outlineLevel="0" collapsed="false">
      <c r="A9" s="12" t="s">
        <v>174</v>
      </c>
      <c r="B9" s="19" t="n">
        <v>12</v>
      </c>
      <c r="C9" s="18" t="n">
        <v>70</v>
      </c>
      <c r="D9" s="14" t="n">
        <f aca="false">C9/B9</f>
        <v>5.83333333333333</v>
      </c>
      <c r="E9" s="9" t="n">
        <v>0.2</v>
      </c>
      <c r="F9" s="25" t="n">
        <v>25</v>
      </c>
      <c r="G9" s="18" t="n">
        <v>122.3</v>
      </c>
    </row>
    <row r="10" customFormat="false" ht="15" hidden="false" customHeight="true" outlineLevel="0" collapsed="false">
      <c r="A10" s="12" t="s">
        <v>175</v>
      </c>
      <c r="D10" s="14" t="n">
        <f aca="false">SUMPRODUCT(D6:D9,E6:E9)</f>
        <v>7.75</v>
      </c>
      <c r="E10" s="26" t="n">
        <f aca="false">SUM(E6:E9)</f>
        <v>1</v>
      </c>
      <c r="F10" s="25" t="n">
        <v>5.8</v>
      </c>
      <c r="G10" s="18" t="n">
        <v>42.8</v>
      </c>
    </row>
    <row r="11" customFormat="false" ht="15" hidden="false" customHeight="true" outlineLevel="0" collapsed="false">
      <c r="A11" s="3" t="s">
        <v>176</v>
      </c>
    </row>
    <row r="13" customFormat="false" ht="15" hidden="false" customHeight="true" outlineLevel="0" collapsed="false">
      <c r="A13" s="7" t="s">
        <v>177</v>
      </c>
    </row>
    <row r="14" customFormat="false" ht="15" hidden="false" customHeight="true" outlineLevel="0" collapsed="false">
      <c r="A14" s="6" t="s">
        <v>40</v>
      </c>
      <c r="B14" s="26" t="n">
        <f aca="false">Rechner!B8</f>
        <v>0.19</v>
      </c>
    </row>
    <row r="15" customFormat="false" ht="34.5" hidden="false" customHeight="true" outlineLevel="0" collapsed="false">
      <c r="A15" s="6" t="s">
        <v>178</v>
      </c>
      <c r="B15" s="27" t="n">
        <v>0.083</v>
      </c>
    </row>
    <row r="16" customFormat="false" ht="23.25" hidden="false" customHeight="true" outlineLevel="0" collapsed="false">
      <c r="A16" s="6" t="s">
        <v>179</v>
      </c>
      <c r="B16" s="14" t="n">
        <f aca="false">D9/(1+B14)*(1-B15)</f>
        <v>4.49509803921569</v>
      </c>
    </row>
    <row r="17" customFormat="false" ht="15" hidden="false" customHeight="true" outlineLevel="0" collapsed="false">
      <c r="A17" s="6" t="s">
        <v>180</v>
      </c>
      <c r="B17" s="14" t="n">
        <f aca="false">D10/(1+B14)*(1-B15)</f>
        <v>5.97205882352941</v>
      </c>
    </row>
    <row r="19" customFormat="false" ht="15" hidden="false" customHeight="true" outlineLevel="0" collapsed="false">
      <c r="A19" s="7" t="s">
        <v>181</v>
      </c>
    </row>
    <row r="20" customFormat="false" ht="15" hidden="false" customHeight="true" outlineLevel="0" collapsed="false">
      <c r="A20" s="6" t="s">
        <v>182</v>
      </c>
      <c r="B20" s="9" t="n">
        <v>0.5</v>
      </c>
      <c r="C20" s="3" t="s">
        <v>183</v>
      </c>
    </row>
    <row r="21" customFormat="false" ht="15" hidden="false" customHeight="true" outlineLevel="0" collapsed="false">
      <c r="A21" s="6" t="s">
        <v>165</v>
      </c>
      <c r="B21" s="17" t="n">
        <f aca="false">B9</f>
        <v>12</v>
      </c>
    </row>
    <row r="22" customFormat="false" ht="15" hidden="false" customHeight="true" outlineLevel="0" collapsed="false">
      <c r="A22" s="12" t="s">
        <v>184</v>
      </c>
      <c r="B22" s="21" t="n">
        <f aca="false">B20*B21*B16</f>
        <v>26.9705882352941</v>
      </c>
    </row>
    <row r="24" customFormat="false" ht="15" hidden="false" customHeight="true" outlineLevel="0" collapsed="false">
      <c r="A24" s="7" t="s">
        <v>185</v>
      </c>
    </row>
    <row r="25" customFormat="false" ht="15" hidden="false" customHeight="true" outlineLevel="0" collapsed="false">
      <c r="A25" s="6" t="s">
        <v>186</v>
      </c>
      <c r="B25" s="9" t="n">
        <v>0.3</v>
      </c>
      <c r="C25" s="3" t="s">
        <v>187</v>
      </c>
    </row>
    <row r="26" customFormat="false" ht="15" hidden="false" customHeight="true" outlineLevel="0" collapsed="false">
      <c r="A26" s="6" t="s">
        <v>165</v>
      </c>
      <c r="B26" s="28" t="n">
        <v>12</v>
      </c>
      <c r="C26" s="3" t="s">
        <v>188</v>
      </c>
    </row>
    <row r="27" customFormat="false" ht="23.25" hidden="false" customHeight="true" outlineLevel="0" collapsed="false">
      <c r="A27" s="6" t="s">
        <v>189</v>
      </c>
      <c r="B27" s="14" t="n">
        <f aca="false">132/12/(1+B14)*(1-B15)</f>
        <v>8.4764705882353</v>
      </c>
      <c r="C27" s="1" t="s">
        <v>190</v>
      </c>
    </row>
    <row r="28" customFormat="false" ht="15" hidden="false" customHeight="true" outlineLevel="0" collapsed="false">
      <c r="A28" s="12" t="s">
        <v>184</v>
      </c>
      <c r="B28" s="21" t="n">
        <f aca="false">B25*B26*B27</f>
        <v>30.5152941176471</v>
      </c>
    </row>
    <row r="29" customFormat="false" ht="23.25" hidden="false" customHeight="true" outlineLevel="0" collapsed="false">
      <c r="A29" s="6" t="s">
        <v>191</v>
      </c>
      <c r="B29" s="19" t="n">
        <v>14</v>
      </c>
      <c r="C29" s="3" t="s">
        <v>192</v>
      </c>
    </row>
    <row r="30" customFormat="false" ht="23.25" hidden="false" customHeight="true" outlineLevel="0" collapsed="false">
      <c r="A30" s="6" t="s">
        <v>193</v>
      </c>
      <c r="B30" s="14" t="n">
        <f aca="false">B26*B27</f>
        <v>101.717647058824</v>
      </c>
      <c r="C30" s="3" t="s">
        <v>194</v>
      </c>
    </row>
    <row r="31" customFormat="false" ht="15" hidden="false" customHeight="true" outlineLevel="0" collapsed="false">
      <c r="A31" s="6" t="s">
        <v>195</v>
      </c>
      <c r="B31" s="17" t="n">
        <f aca="false">IF(ISNUMBER(Stufen!P10),Stufen!P10,0)</f>
        <v>131</v>
      </c>
    </row>
    <row r="32" customFormat="false" ht="15" hidden="false" customHeight="true" outlineLevel="0" collapsed="false">
      <c r="A32" s="6" t="s">
        <v>196</v>
      </c>
      <c r="B32" s="16" t="n">
        <f aca="false">B31*B28</f>
        <v>3997.50352941177</v>
      </c>
    </row>
    <row r="33" customFormat="false" ht="15" hidden="false" customHeight="true" outlineLevel="0" collapsed="false">
      <c r="A33" s="6" t="s">
        <v>197</v>
      </c>
      <c r="B33" s="16" t="n">
        <f aca="false">B31*B30</f>
        <v>13325.0117647059</v>
      </c>
    </row>
    <row r="34" customFormat="false" ht="15" hidden="false" customHeight="true" outlineLevel="0" collapsed="false">
      <c r="A34" s="6" t="s">
        <v>198</v>
      </c>
      <c r="B34" s="10" t="n">
        <v>157053</v>
      </c>
      <c r="C34" s="3" t="s">
        <v>199</v>
      </c>
    </row>
    <row r="35" customFormat="false" ht="15" hidden="false" customHeight="true" outlineLevel="0" collapsed="false">
      <c r="A35" s="12" t="s">
        <v>200</v>
      </c>
      <c r="B35" s="23" t="n">
        <f aca="false">IF(B34&gt;0,B33/B34,"")</f>
        <v>0.0848440447791885</v>
      </c>
    </row>
    <row r="37" customFormat="false" ht="15" hidden="false" customHeight="true" outlineLevel="0" collapsed="false">
      <c r="A37" s="7" t="s">
        <v>201</v>
      </c>
    </row>
    <row r="38" customFormat="false" ht="15" hidden="false" customHeight="true" outlineLevel="0" collapsed="false">
      <c r="A38" s="6" t="s">
        <v>202</v>
      </c>
      <c r="B38" s="14" t="n">
        <f aca="false">G9*(1-B15)</f>
        <v>112.1491</v>
      </c>
    </row>
    <row r="39" customFormat="false" ht="23.25" hidden="false" customHeight="true" outlineLevel="0" collapsed="false">
      <c r="A39" s="6" t="s">
        <v>203</v>
      </c>
      <c r="B39" s="14" t="n">
        <f aca="false">F9*B16</f>
        <v>112.377450980392</v>
      </c>
    </row>
    <row r="40" customFormat="false" ht="15" hidden="false" customHeight="true" outlineLevel="0" collapsed="false">
      <c r="A40" s="6" t="s">
        <v>204</v>
      </c>
      <c r="B40" s="15" t="n">
        <f aca="false">B39/B38-1</f>
        <v>0.00203613743126052</v>
      </c>
      <c r="C40" s="3" t="s">
        <v>205</v>
      </c>
    </row>
    <row r="42" customFormat="false" ht="15" hidden="false" customHeight="true" outlineLevel="0" collapsed="false">
      <c r="A42" s="3" t="s">
        <v>206</v>
      </c>
    </row>
    <row r="43" customFormat="false" ht="15" hidden="false" customHeight="true" outlineLevel="0" collapsed="false">
      <c r="A43" s="3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1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2" min="11" style="1" width="15"/>
    <col collapsed="false" customWidth="true" hidden="false" outlineLevel="0" max="13" min="13" style="1" width="16"/>
    <col collapsed="false" customWidth="true" hidden="false" outlineLevel="0" max="14" min="14" style="1" width="48"/>
  </cols>
  <sheetData>
    <row r="1" customFormat="false" ht="19.5" hidden="false" customHeight="true" outlineLevel="0" collapsed="false">
      <c r="A1" s="2" t="s">
        <v>208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/>
      <c r="B5" s="4" t="s">
        <v>132</v>
      </c>
      <c r="C5" s="4" t="s">
        <v>136</v>
      </c>
      <c r="D5" s="4" t="s">
        <v>140</v>
      </c>
      <c r="E5" s="4" t="s">
        <v>144</v>
      </c>
      <c r="F5" s="4" t="s">
        <v>148</v>
      </c>
      <c r="G5" s="4" t="s">
        <v>152</v>
      </c>
    </row>
    <row r="6" customFormat="false" ht="15" hidden="false" customHeight="true" outlineLevel="0" collapsed="false">
      <c r="A6" s="12" t="s">
        <v>117</v>
      </c>
      <c r="B6" s="14" t="n">
        <f aca="false">Stufen!D6</f>
        <v>10</v>
      </c>
      <c r="C6" s="14" t="n">
        <f aca="false">Stufen!D7</f>
        <v>25</v>
      </c>
      <c r="D6" s="14" t="n">
        <f aca="false">Stufen!D8</f>
        <v>45</v>
      </c>
      <c r="E6" s="14" t="n">
        <f aca="false">Stufen!D9</f>
        <v>60</v>
      </c>
      <c r="F6" s="14" t="n">
        <f aca="false">Stufen!D10</f>
        <v>120</v>
      </c>
      <c r="G6" s="14" t="n">
        <f aca="false">Stufen!D11</f>
        <v>20</v>
      </c>
    </row>
    <row r="7" customFormat="false" ht="15" hidden="false" customHeight="true" outlineLevel="0" collapsed="false">
      <c r="A7" s="12" t="s">
        <v>209</v>
      </c>
      <c r="B7" s="26" t="n">
        <f aca="false">Stufen!F6</f>
        <v>0.2</v>
      </c>
      <c r="C7" s="26" t="n">
        <f aca="false">Stufen!F7</f>
        <v>0.25</v>
      </c>
      <c r="D7" s="26" t="n">
        <f aca="false">Stufen!F8</f>
        <v>0.1</v>
      </c>
      <c r="E7" s="26" t="n">
        <f aca="false">Stufen!F9</f>
        <v>0.2</v>
      </c>
      <c r="F7" s="26" t="n">
        <f aca="false">Stufen!F10</f>
        <v>0.15</v>
      </c>
      <c r="G7" s="26" t="n">
        <f aca="false">Stufen!F11</f>
        <v>0.1</v>
      </c>
    </row>
    <row r="8" customFormat="false" ht="15" hidden="false" customHeight="true" outlineLevel="0" collapsed="false">
      <c r="A8" s="12" t="s">
        <v>122</v>
      </c>
      <c r="B8" s="14" t="n">
        <f aca="false">Stufen!I6</f>
        <v>1.59663865546219</v>
      </c>
      <c r="C8" s="14" t="n">
        <f aca="false">Stufen!I7</f>
        <v>3.99159663865546</v>
      </c>
      <c r="D8" s="14" t="n">
        <f aca="false">Stufen!I8</f>
        <v>7.18487394957983</v>
      </c>
      <c r="E8" s="14" t="n">
        <f aca="false">Stufen!I9</f>
        <v>9.57983193277311</v>
      </c>
      <c r="F8" s="14" t="n">
        <f aca="false">Stufen!I10</f>
        <v>19.1596638655462</v>
      </c>
      <c r="G8" s="14" t="n">
        <f aca="false">Stufen!I11</f>
        <v>0</v>
      </c>
    </row>
    <row r="9" customFormat="false" ht="15" hidden="false" customHeight="true" outlineLevel="0" collapsed="false">
      <c r="A9" s="12" t="s">
        <v>121</v>
      </c>
      <c r="B9" s="14" t="n">
        <f aca="false">Stufen!H6</f>
        <v>0</v>
      </c>
      <c r="C9" s="14" t="n">
        <f aca="false">Stufen!H7</f>
        <v>0</v>
      </c>
      <c r="D9" s="14" t="n">
        <f aca="false">Stufen!H8</f>
        <v>0</v>
      </c>
      <c r="E9" s="14" t="n">
        <f aca="false">Stufen!H9</f>
        <v>0</v>
      </c>
      <c r="F9" s="14" t="n">
        <f aca="false">Stufen!H10</f>
        <v>0</v>
      </c>
      <c r="G9" s="14" t="n">
        <f aca="false">Stufen!H11</f>
        <v>0</v>
      </c>
    </row>
    <row r="10" customFormat="false" ht="15" hidden="false" customHeight="true" outlineLevel="0" collapsed="false">
      <c r="A10" s="12" t="s">
        <v>124</v>
      </c>
      <c r="B10" s="14" t="n">
        <f aca="false">Stufen!K6</f>
        <v>0</v>
      </c>
      <c r="C10" s="14" t="n">
        <f aca="false">Stufen!K7</f>
        <v>0</v>
      </c>
      <c r="D10" s="14" t="n">
        <f aca="false">Stufen!K8</f>
        <v>0</v>
      </c>
      <c r="E10" s="14" t="n">
        <f aca="false">Stufen!K9</f>
        <v>26.9705882352941</v>
      </c>
      <c r="F10" s="14" t="n">
        <f aca="false">Stufen!K10</f>
        <v>30.5152941176471</v>
      </c>
      <c r="G10" s="14" t="n">
        <f aca="false">Stufen!K11</f>
        <v>0</v>
      </c>
    </row>
    <row r="12" customFormat="false" ht="45" hidden="false" customHeight="true" outlineLevel="0" collapsed="false">
      <c r="A12" s="4" t="s">
        <v>37</v>
      </c>
      <c r="B12" s="4" t="s">
        <v>210</v>
      </c>
      <c r="C12" s="4" t="s">
        <v>211</v>
      </c>
      <c r="D12" s="4" t="s">
        <v>212</v>
      </c>
      <c r="E12" s="4" t="s">
        <v>213</v>
      </c>
      <c r="F12" s="4" t="s">
        <v>214</v>
      </c>
      <c r="G12" s="4" t="s">
        <v>215</v>
      </c>
      <c r="H12" s="4" t="s">
        <v>216</v>
      </c>
      <c r="I12" s="4" t="s">
        <v>217</v>
      </c>
      <c r="J12" s="4" t="s">
        <v>218</v>
      </c>
      <c r="K12" s="4" t="s">
        <v>219</v>
      </c>
      <c r="L12" s="4" t="s">
        <v>220</v>
      </c>
      <c r="M12" s="4" t="s">
        <v>221</v>
      </c>
      <c r="N12" s="4" t="s">
        <v>131</v>
      </c>
    </row>
    <row r="13" customFormat="false" ht="15" hidden="false" customHeight="true" outlineLevel="0" collapsed="false">
      <c r="A13" s="12" t="str">
        <f aca="false">Plattformen!A6</f>
        <v>Startnext Basis</v>
      </c>
      <c r="B13" s="14" t="n">
        <f aca="false">IF(Plattformen!$D$6="","",B$6*Plattformen!$D$6*(1+IF(Rechner!$B$9="ja",0,Rechner!$B$8))+IF(B$6&lt;N(Plattformen!$G$6),B$6*Plattformen!$H$6+Plattformen!$I$6,B$6*Plattformen!$E$6+Plattformen!$F$6))</f>
        <v>0.85</v>
      </c>
      <c r="C13" s="14" t="n">
        <f aca="false">IF(Plattformen!$D$6="","",C$6*Plattformen!$D$6*(1+IF(Rechner!$B$9="ja",0,Rechner!$B$8))+IF(C$6&lt;N(Plattformen!$G$6),C$6*Plattformen!$H$6+Plattformen!$I$6,C$6*Plattformen!$E$6+Plattformen!$F$6))</f>
        <v>2.125</v>
      </c>
      <c r="D13" s="14" t="n">
        <f aca="false">IF(Plattformen!$D$6="","",D$6*Plattformen!$D$6*(1+IF(Rechner!$B$9="ja",0,Rechner!$B$8))+IF(D$6&lt;N(Plattformen!$G$6),D$6*Plattformen!$H$6+Plattformen!$I$6,D$6*Plattformen!$E$6+Plattformen!$F$6))</f>
        <v>3.825</v>
      </c>
      <c r="E13" s="14" t="n">
        <f aca="false">IF(Plattformen!$D$6="","",E$6*Plattformen!$D$6*(1+IF(Rechner!$B$9="ja",0,Rechner!$B$8))+IF(E$6&lt;N(Plattformen!$G$6),E$6*Plattformen!$H$6+Plattformen!$I$6,E$6*Plattformen!$E$6+Plattformen!$F$6))</f>
        <v>5.1</v>
      </c>
      <c r="F13" s="14" t="n">
        <f aca="false">IF(Plattformen!$D$6="","",F$6*Plattformen!$D$6*(1+IF(Rechner!$B$9="ja",0,Rechner!$B$8))+IF(F$6&lt;N(Plattformen!$G$6),F$6*Plattformen!$H$6+Plattformen!$I$6,F$6*Plattformen!$E$6+Plattformen!$F$6))</f>
        <v>10.2</v>
      </c>
      <c r="G13" s="14" t="n">
        <f aca="false">IF(Plattformen!$D$6="","",G$6*Plattformen!$D$6*(1+IF(Rechner!$B$9="ja",0,Rechner!$B$8))+IF(G$6&lt;N(Plattformen!$G$6),G$6*Plattformen!$H$6+Plattformen!$I$6,G$6*Plattformen!$E$6+Plattformen!$F$6))</f>
        <v>1.7</v>
      </c>
      <c r="H13" s="14" t="n">
        <f aca="false">IF(B13="","",SUMPRODUCT($B$7:$G$7,B13:G13))</f>
        <v>3.80375</v>
      </c>
      <c r="I13" s="15" t="n">
        <f aca="false">IF(OR(H13="",Stufen!$D$13=0),"",(SUMPRODUCT($B$7:$G$7,$B$8:$G$8)+SUMPRODUCT($B$7:$G$7,$B$9:$G$9)+H13)/Stufen!$D$13)</f>
        <v>0.237528050326276</v>
      </c>
      <c r="J13" s="15" t="n">
        <f aca="false">IF(I13="","",I13+SUMPRODUCT($B$7:$G$7,$B$10:$G$10)/Stufen!$D$13)</f>
        <v>0.460352894230318</v>
      </c>
      <c r="K13" s="13" t="n">
        <f aca="false">IF(ROUND(Stufen!$F$13,4)&lt;&gt;1,"Stufen prüfen",IF(J13="","keine Angabe",ROUNDUP((Rechner!$B$16+Rechner!$B$10)/(1-J13)/100,0)*100))</f>
        <v>10800</v>
      </c>
      <c r="L13" s="16" t="n">
        <f aca="false">IF(ROUND(Stufen!$F$13,4)&lt;&gt;1,"Stufen prüfen",IF(J13="","keine Angabe",ROUNDUP((Rechner!$B$18+Rechner!$B$10)/(1-J13)/100,0)*100))</f>
        <v>38900</v>
      </c>
      <c r="M13" s="16" t="n">
        <f aca="false">IF(ROUND(Stufen!$F$13,4)&lt;&gt;1,"Stufen prüfen",IF(I13="","keine Angabe",10000*(1-I13)))</f>
        <v>7624.71949673724</v>
      </c>
      <c r="N13" s="20"/>
    </row>
    <row r="14" customFormat="false" ht="15" hidden="false" customHeight="true" outlineLevel="0" collapsed="false">
      <c r="A14" s="12" t="str">
        <f aca="false">Plattformen!A7</f>
        <v>Startnext Basis — nur PayPal (vorsichtig)</v>
      </c>
      <c r="B14" s="14" t="n">
        <f aca="false">IF(Plattformen!$D$7="","",B$6*Plattformen!$D$7*(1+IF(Rechner!$B$9="ja",0,Rechner!$B$8))+IF(B$6&lt;N(Plattformen!$G$7),B$6*Plattformen!$H$7+Plattformen!$I$7,B$6*Plattformen!$E$7+Plattformen!$F$7))</f>
        <v>1.3</v>
      </c>
      <c r="C14" s="14" t="n">
        <f aca="false">IF(Plattformen!$D$7="","",C$6*Plattformen!$D$7*(1+IF(Rechner!$B$9="ja",0,Rechner!$B$8))+IF(C$6&lt;N(Plattformen!$G$7),C$6*Plattformen!$H$7+Plattformen!$I$7,C$6*Plattformen!$E$7+Plattformen!$F$7))</f>
        <v>2.575</v>
      </c>
      <c r="D14" s="14" t="n">
        <f aca="false">IF(Plattformen!$D$7="","",D$6*Plattformen!$D$7*(1+IF(Rechner!$B$9="ja",0,Rechner!$B$8))+IF(D$6&lt;N(Plattformen!$G$7),D$6*Plattformen!$H$7+Plattformen!$I$7,D$6*Plattformen!$E$7+Plattformen!$F$7))</f>
        <v>4.275</v>
      </c>
      <c r="E14" s="14" t="n">
        <f aca="false">IF(Plattformen!$D$7="","",E$6*Plattformen!$D$7*(1+IF(Rechner!$B$9="ja",0,Rechner!$B$8))+IF(E$6&lt;N(Plattformen!$G$7),E$6*Plattformen!$H$7+Plattformen!$I$7,E$6*Plattformen!$E$7+Plattformen!$F$7))</f>
        <v>5.55</v>
      </c>
      <c r="F14" s="14" t="n">
        <f aca="false">IF(Plattformen!$D$7="","",F$6*Plattformen!$D$7*(1+IF(Rechner!$B$9="ja",0,Rechner!$B$8))+IF(F$6&lt;N(Plattformen!$G$7),F$6*Plattformen!$H$7+Plattformen!$I$7,F$6*Plattformen!$E$7+Plattformen!$F$7))</f>
        <v>10.65</v>
      </c>
      <c r="G14" s="14" t="n">
        <f aca="false">IF(Plattformen!$D$7="","",G$6*Plattformen!$D$7*(1+IF(Rechner!$B$9="ja",0,Rechner!$B$8))+IF(G$6&lt;N(Plattformen!$G$7),G$6*Plattformen!$H$7+Plattformen!$I$7,G$6*Plattformen!$E$7+Plattformen!$F$7))</f>
        <v>2.15</v>
      </c>
      <c r="H14" s="14" t="n">
        <f aca="false">IF(B14="","",SUMPRODUCT($B$7:$G$7,B14:G14))</f>
        <v>4.25375</v>
      </c>
      <c r="I14" s="15" t="n">
        <f aca="false">IF(OR(H14="",Stufen!$D$13=0),"",(SUMPRODUCT($B$7:$G$7,$B$8:$G$8)+SUMPRODUCT($B$7:$G$7,$B$9:$G$9)+H14)/Stufen!$D$13)</f>
        <v>0.247583916248063</v>
      </c>
      <c r="J14" s="15" t="n">
        <f aca="false">IF(I14="","",I14+SUMPRODUCT($B$7:$G$7,$B$10:$G$10)/Stufen!$D$13)</f>
        <v>0.470408760152106</v>
      </c>
      <c r="K14" s="13" t="n">
        <f aca="false">IF(ROUND(Stufen!$F$13,4)&lt;&gt;1,"Stufen prüfen",IF(J14="","keine Angabe",ROUNDUP((Rechner!$B$16+Rechner!$B$10)/(1-J14)/100,0)*100))</f>
        <v>11000</v>
      </c>
      <c r="L14" s="16" t="n">
        <f aca="false">IF(ROUND(Stufen!$F$13,4)&lt;&gt;1,"Stufen prüfen",IF(J14="","keine Angabe",ROUNDUP((Rechner!$B$18+Rechner!$B$10)/(1-J14)/100,0)*100))</f>
        <v>39700</v>
      </c>
      <c r="M14" s="16" t="n">
        <f aca="false">IF(ROUND(Stufen!$F$13,4)&lt;&gt;1,"Stufen prüfen",IF(I14="","keine Angabe",10000*(1-I14)))</f>
        <v>7524.16083751937</v>
      </c>
      <c r="N14" s="20" t="s">
        <v>222</v>
      </c>
    </row>
    <row r="15" customFormat="false" ht="15" hidden="false" customHeight="true" outlineLevel="0" collapsed="false">
      <c r="A15" s="12" t="str">
        <f aca="false">Plattformen!A8</f>
        <v>Startnext Pro</v>
      </c>
      <c r="B15" s="14" t="n">
        <f aca="false">IF(Plattformen!$D$8="","",B$6*Plattformen!$D$8*(1+IF(Rechner!$B$9="ja",0,Rechner!$B$8))+IF(B$6&lt;N(Plattformen!$G$8),B$6*Plattformen!$H$8+Plattformen!$I$8,B$6*Plattformen!$E$8+Plattformen!$F$8))</f>
        <v>1.45</v>
      </c>
      <c r="C15" s="14" t="n">
        <f aca="false">IF(Plattformen!$D$8="","",C$6*Plattformen!$D$8*(1+IF(Rechner!$B$9="ja",0,Rechner!$B$8))+IF(C$6&lt;N(Plattformen!$G$8),C$6*Plattformen!$H$8+Plattformen!$I$8,C$6*Plattformen!$E$8+Plattformen!$F$8))</f>
        <v>3.625</v>
      </c>
      <c r="D15" s="14" t="n">
        <f aca="false">IF(Plattformen!$D$8="","",D$6*Plattformen!$D$8*(1+IF(Rechner!$B$9="ja",0,Rechner!$B$8))+IF(D$6&lt;N(Plattformen!$G$8),D$6*Plattformen!$H$8+Plattformen!$I$8,D$6*Plattformen!$E$8+Plattformen!$F$8))</f>
        <v>6.525</v>
      </c>
      <c r="E15" s="14" t="n">
        <f aca="false">IF(Plattformen!$D$8="","",E$6*Plattformen!$D$8*(1+IF(Rechner!$B$9="ja",0,Rechner!$B$8))+IF(E$6&lt;N(Plattformen!$G$8),E$6*Plattformen!$H$8+Plattformen!$I$8,E$6*Plattformen!$E$8+Plattformen!$F$8))</f>
        <v>8.7</v>
      </c>
      <c r="F15" s="14" t="n">
        <f aca="false">IF(Plattformen!$D$8="","",F$6*Plattformen!$D$8*(1+IF(Rechner!$B$9="ja",0,Rechner!$B$8))+IF(F$6&lt;N(Plattformen!$G$8),F$6*Plattformen!$H$8+Plattformen!$I$8,F$6*Plattformen!$E$8+Plattformen!$F$8))</f>
        <v>17.4</v>
      </c>
      <c r="G15" s="14" t="n">
        <f aca="false">IF(Plattformen!$D$8="","",G$6*Plattformen!$D$8*(1+IF(Rechner!$B$9="ja",0,Rechner!$B$8))+IF(G$6&lt;N(Plattformen!$G$8),G$6*Plattformen!$H$8+Plattformen!$I$8,G$6*Plattformen!$E$8+Plattformen!$F$8))</f>
        <v>2.9</v>
      </c>
      <c r="H15" s="14" t="n">
        <f aca="false">IF(B15="","",SUMPRODUCT($B$7:$G$7,B15:G15))</f>
        <v>6.48875</v>
      </c>
      <c r="I15" s="15" t="n">
        <f aca="false">IF(OR(H15="",Stufen!$D$13=0),"",(SUMPRODUCT($B$7:$G$7,$B$8:$G$8)+SUMPRODUCT($B$7:$G$7,$B$9:$G$9)+H15)/Stufen!$D$13)</f>
        <v>0.297528050326276</v>
      </c>
      <c r="J15" s="15" t="n">
        <f aca="false">IF(I15="","",I15+SUMPRODUCT($B$7:$G$7,$B$10:$G$10)/Stufen!$D$13)</f>
        <v>0.520352894230318</v>
      </c>
      <c r="K15" s="13" t="n">
        <f aca="false">IF(ROUND(Stufen!$F$13,4)&lt;&gt;1,"Stufen prüfen",IF(J15="","keine Angabe",ROUNDUP((Rechner!$B$16+Rechner!$B$10)/(1-J15)/100,0)*100))</f>
        <v>12100</v>
      </c>
      <c r="L15" s="16" t="n">
        <f aca="false">IF(ROUND(Stufen!$F$13,4)&lt;&gt;1,"Stufen prüfen",IF(J15="","keine Angabe",ROUNDUP((Rechner!$B$18+Rechner!$B$10)/(1-J15)/100,0)*100))</f>
        <v>43800</v>
      </c>
      <c r="M15" s="16" t="n">
        <f aca="false">IF(ROUND(Stufen!$F$13,4)&lt;&gt;1,"Stufen prüfen",IF(I15="","keine Angabe",10000*(1-I15)))</f>
        <v>7024.71949673724</v>
      </c>
      <c r="N15" s="20" t="s">
        <v>223</v>
      </c>
    </row>
    <row r="16" customFormat="false" ht="15" hidden="false" customHeight="true" outlineLevel="0" collapsed="false">
      <c r="A16" s="12" t="str">
        <f aca="false">Plattformen!A9</f>
        <v>Ulule</v>
      </c>
      <c r="B16" s="14" t="n">
        <f aca="false">IF(Plattformen!$D$9="","",B$6*Plattformen!$D$9*(1+IF(Rechner!$B$9="ja",0,Rechner!$B$8))+IF(B$6&lt;N(Plattformen!$G$9),B$6*Plattformen!$H$9+Plattformen!$I$9,B$6*Plattformen!$E$9+Plattformen!$F$9))</f>
        <v>0.667</v>
      </c>
      <c r="C16" s="14" t="n">
        <f aca="false">IF(Plattformen!$D$9="","",C$6*Plattformen!$D$9*(1+IF(Rechner!$B$9="ja",0,Rechner!$B$8))+IF(C$6&lt;N(Plattformen!$G$9),C$6*Plattformen!$H$9+Plattformen!$I$9,C$6*Plattformen!$E$9+Plattformen!$F$9))</f>
        <v>1.6675</v>
      </c>
      <c r="D16" s="14" t="n">
        <f aca="false">IF(Plattformen!$D$9="","",D$6*Plattformen!$D$9*(1+IF(Rechner!$B$9="ja",0,Rechner!$B$8))+IF(D$6&lt;N(Plattformen!$G$9),D$6*Plattformen!$H$9+Plattformen!$I$9,D$6*Plattformen!$E$9+Plattformen!$F$9))</f>
        <v>3.0015</v>
      </c>
      <c r="E16" s="14" t="n">
        <f aca="false">IF(Plattformen!$D$9="","",E$6*Plattformen!$D$9*(1+IF(Rechner!$B$9="ja",0,Rechner!$B$8))+IF(E$6&lt;N(Plattformen!$G$9),E$6*Plattformen!$H$9+Plattformen!$I$9,E$6*Plattformen!$E$9+Plattformen!$F$9))</f>
        <v>4.002</v>
      </c>
      <c r="F16" s="14" t="n">
        <f aca="false">IF(Plattformen!$D$9="","",F$6*Plattformen!$D$9*(1+IF(Rechner!$B$9="ja",0,Rechner!$B$8))+IF(F$6&lt;N(Plattformen!$G$9),F$6*Plattformen!$H$9+Plattformen!$I$9,F$6*Plattformen!$E$9+Plattformen!$F$9))</f>
        <v>8.004</v>
      </c>
      <c r="G16" s="14" t="n">
        <f aca="false">IF(Plattformen!$D$9="","",G$6*Plattformen!$D$9*(1+IF(Rechner!$B$9="ja",0,Rechner!$B$8))+IF(G$6&lt;N(Plattformen!$G$9),G$6*Plattformen!$H$9+Plattformen!$I$9,G$6*Plattformen!$E$9+Plattformen!$F$9))</f>
        <v>1.334</v>
      </c>
      <c r="H16" s="14" t="n">
        <f aca="false">IF(B16="","",SUMPRODUCT($B$7:$G$7,B16:G16))</f>
        <v>2.984825</v>
      </c>
      <c r="I16" s="15" t="n">
        <f aca="false">IF(OR(H16="",Stufen!$D$13=0),"",(SUMPRODUCT($B$7:$G$7,$B$8:$G$8)+SUMPRODUCT($B$7:$G$7,$B$9:$G$9)+H16)/Stufen!$D$13)</f>
        <v>0.219228050326276</v>
      </c>
      <c r="J16" s="15" t="n">
        <f aca="false">IF(I16="","",I16+SUMPRODUCT($B$7:$G$7,$B$10:$G$10)/Stufen!$D$13)</f>
        <v>0.442052894230318</v>
      </c>
      <c r="K16" s="13" t="n">
        <f aca="false">IF(ROUND(Stufen!$F$13,4)&lt;&gt;1,"Stufen prüfen",IF(J16="","keine Angabe",ROUNDUP((Rechner!$B$16+Rechner!$B$10)/(1-J16)/100,0)*100))</f>
        <v>10400</v>
      </c>
      <c r="L16" s="16" t="n">
        <f aca="false">IF(ROUND(Stufen!$F$13,4)&lt;&gt;1,"Stufen prüfen",IF(J16="","keine Angabe",ROUNDUP((Rechner!$B$18+Rechner!$B$10)/(1-J16)/100,0)*100))</f>
        <v>37600</v>
      </c>
      <c r="M16" s="16" t="n">
        <f aca="false">IF(ROUND(Stufen!$F$13,4)&lt;&gt;1,"Stufen prüfen",IF(I16="","keine Angabe",10000*(1-I16)))</f>
        <v>7807.71949673724</v>
      </c>
      <c r="N16" s="20" t="s">
        <v>224</v>
      </c>
    </row>
    <row r="17" customFormat="false" ht="15" hidden="false" customHeight="true" outlineLevel="0" collapsed="false">
      <c r="A17" s="12" t="str">
        <f aca="false">Plattformen!A10</f>
        <v>Kickstarter</v>
      </c>
      <c r="B17" s="14" t="n">
        <f aca="false">IF(Plattformen!$D$10="","",B$6*Plattformen!$D$10*(1+IF(Rechner!$B$9="ja",0,Rechner!$B$8))+IF(B$6&lt;N(Plattformen!$G$10),B$6*Plattformen!$H$10+Plattformen!$I$10,B$6*Plattformen!$E$10+Plattformen!$F$10))</f>
        <v>1.1</v>
      </c>
      <c r="C17" s="14" t="n">
        <f aca="false">IF(Plattformen!$D$10="","",C$6*Plattformen!$D$10*(1+IF(Rechner!$B$9="ja",0,Rechner!$B$8))+IF(C$6&lt;N(Plattformen!$G$10),C$6*Plattformen!$H$10+Plattformen!$I$10,C$6*Plattformen!$E$10+Plattformen!$F$10))</f>
        <v>2.3</v>
      </c>
      <c r="D17" s="14" t="n">
        <f aca="false">IF(Plattformen!$D$10="","",D$6*Plattformen!$D$10*(1+IF(Rechner!$B$9="ja",0,Rechner!$B$8))+IF(D$6&lt;N(Plattformen!$G$10),D$6*Plattformen!$H$10+Plattformen!$I$10,D$6*Plattformen!$E$10+Plattformen!$F$10))</f>
        <v>3.9</v>
      </c>
      <c r="E17" s="14" t="n">
        <f aca="false">IF(Plattformen!$D$10="","",E$6*Plattformen!$D$10*(1+IF(Rechner!$B$9="ja",0,Rechner!$B$8))+IF(E$6&lt;N(Plattformen!$G$10),E$6*Plattformen!$H$10+Plattformen!$I$10,E$6*Plattformen!$E$10+Plattformen!$F$10))</f>
        <v>5.1</v>
      </c>
      <c r="F17" s="14" t="n">
        <f aca="false">IF(Plattformen!$D$10="","",F$6*Plattformen!$D$10*(1+IF(Rechner!$B$9="ja",0,Rechner!$B$8))+IF(F$6&lt;N(Plattformen!$G$10),F$6*Plattformen!$H$10+Plattformen!$I$10,F$6*Plattformen!$E$10+Plattformen!$F$10))</f>
        <v>9.9</v>
      </c>
      <c r="G17" s="14" t="n">
        <f aca="false">IF(Plattformen!$D$10="","",G$6*Plattformen!$D$10*(1+IF(Rechner!$B$9="ja",0,Rechner!$B$8))+IF(G$6&lt;N(Plattformen!$G$10),G$6*Plattformen!$H$10+Plattformen!$I$10,G$6*Plattformen!$E$10+Plattformen!$F$10))</f>
        <v>1.9</v>
      </c>
      <c r="H17" s="14" t="n">
        <f aca="false">IF(B17="","",SUMPRODUCT($B$7:$G$7,B17:G17))</f>
        <v>3.88</v>
      </c>
      <c r="I17" s="15" t="n">
        <f aca="false">IF(OR(H17="",Stufen!$D$13=0),"",(SUMPRODUCT($B$7:$G$7,$B$8:$G$8)+SUMPRODUCT($B$7:$G$7,$B$9:$G$9)+H17)/Stufen!$D$13)</f>
        <v>0.239231960940801</v>
      </c>
      <c r="J17" s="15" t="n">
        <f aca="false">IF(I17="","",I17+SUMPRODUCT($B$7:$G$7,$B$10:$G$10)/Stufen!$D$13)</f>
        <v>0.462056804844843</v>
      </c>
      <c r="K17" s="13" t="n">
        <f aca="false">IF(ROUND(Stufen!$F$13,4)&lt;&gt;1,"Stufen prüfen",IF(J17="","keine Angabe",ROUNDUP((Rechner!$B$16+Rechner!$B$10)/(1-J17)/100,0)*100))</f>
        <v>10800</v>
      </c>
      <c r="L17" s="16" t="n">
        <f aca="false">IF(ROUND(Stufen!$F$13,4)&lt;&gt;1,"Stufen prüfen",IF(J17="","keine Angabe",ROUNDUP((Rechner!$B$18+Rechner!$B$10)/(1-J17)/100,0)*100))</f>
        <v>39000</v>
      </c>
      <c r="M17" s="16" t="n">
        <f aca="false">IF(ROUND(Stufen!$F$13,4)&lt;&gt;1,"Stufen prüfen",IF(I17="","keine Angabe",10000*(1-I17)))</f>
        <v>7607.68039059199</v>
      </c>
      <c r="N17" s="20" t="s">
        <v>225</v>
      </c>
    </row>
    <row r="18" customFormat="false" ht="15" hidden="false" customHeight="true" outlineLevel="0" collapsed="false">
      <c r="A18" s="12" t="str">
        <f aca="false">Plattformen!A11</f>
        <v>wemakeit</v>
      </c>
      <c r="B18" s="14" t="str">
        <f aca="false">IF(Plattformen!$D$11="","",B$6*Plattformen!$D$11*(1+IF(Rechner!$B$9="ja",0,Rechner!$B$8))+IF(B$6&lt;N(Plattformen!$G$11),B$6*Plattformen!$H$11+Plattformen!$I$11,B$6*Plattformen!$E$11+Plattformen!$F$11))</f>
        <v/>
      </c>
      <c r="C18" s="14" t="str">
        <f aca="false">IF(Plattformen!$D$11="","",C$6*Plattformen!$D$11*(1+IF(Rechner!$B$9="ja",0,Rechner!$B$8))+IF(C$6&lt;N(Plattformen!$G$11),C$6*Plattformen!$H$11+Plattformen!$I$11,C$6*Plattformen!$E$11+Plattformen!$F$11))</f>
        <v/>
      </c>
      <c r="D18" s="14" t="str">
        <f aca="false">IF(Plattformen!$D$11="","",D$6*Plattformen!$D$11*(1+IF(Rechner!$B$9="ja",0,Rechner!$B$8))+IF(D$6&lt;N(Plattformen!$G$11),D$6*Plattformen!$H$11+Plattformen!$I$11,D$6*Plattformen!$E$11+Plattformen!$F$11))</f>
        <v/>
      </c>
      <c r="E18" s="14" t="str">
        <f aca="false">IF(Plattformen!$D$11="","",E$6*Plattformen!$D$11*(1+IF(Rechner!$B$9="ja",0,Rechner!$B$8))+IF(E$6&lt;N(Plattformen!$G$11),E$6*Plattformen!$H$11+Plattformen!$I$11,E$6*Plattformen!$E$11+Plattformen!$F$11))</f>
        <v/>
      </c>
      <c r="F18" s="14" t="str">
        <f aca="false">IF(Plattformen!$D$11="","",F$6*Plattformen!$D$11*(1+IF(Rechner!$B$9="ja",0,Rechner!$B$8))+IF(F$6&lt;N(Plattformen!$G$11),F$6*Plattformen!$H$11+Plattformen!$I$11,F$6*Plattformen!$E$11+Plattformen!$F$11))</f>
        <v/>
      </c>
      <c r="G18" s="14" t="str">
        <f aca="false">IF(Plattformen!$D$11="","",G$6*Plattformen!$D$11*(1+IF(Rechner!$B$9="ja",0,Rechner!$B$8))+IF(G$6&lt;N(Plattformen!$G$11),G$6*Plattformen!$H$11+Plattformen!$I$11,G$6*Plattformen!$E$11+Plattformen!$F$11))</f>
        <v/>
      </c>
      <c r="H18" s="14" t="str">
        <f aca="false">IF(B18="","",SUMPRODUCT($B$7:$G$7,B18:G18))</f>
        <v/>
      </c>
      <c r="I18" s="15" t="str">
        <f aca="false">IF(OR(H18="",Stufen!$D$13=0),"",(SUMPRODUCT($B$7:$G$7,$B$8:$G$8)+SUMPRODUCT($B$7:$G$7,$B$9:$G$9)+H18)/Stufen!$D$13)</f>
        <v/>
      </c>
      <c r="J18" s="15" t="str">
        <f aca="false">IF(I18="","",I18+SUMPRODUCT($B$7:$G$7,$B$10:$G$10)/Stufen!$D$13)</f>
        <v/>
      </c>
      <c r="K18" s="13" t="str">
        <f aca="false">IF(ROUND(Stufen!$F$13,4)&lt;&gt;1,"Stufen prüfen",IF(J18="","keine Angabe",ROUNDUP((Rechner!$B$16+Rechner!$B$10)/(1-J18)/100,0)*100))</f>
        <v>keine Angabe</v>
      </c>
      <c r="L18" s="16" t="str">
        <f aca="false">IF(ROUND(Stufen!$F$13,4)&lt;&gt;1,"Stufen prüfen",IF(J18="","keine Angabe",ROUNDUP((Rechner!$B$18+Rechner!$B$10)/(1-J18)/100,0)*100))</f>
        <v>keine Angabe</v>
      </c>
      <c r="M18" s="16" t="str">
        <f aca="false">IF(ROUND(Stufen!$F$13,4)&lt;&gt;1,"Stufen prüfen",IF(I18="","keine Angabe",10000*(1-I18)))</f>
        <v>keine Angabe</v>
      </c>
      <c r="N18" s="20" t="s">
        <v>226</v>
      </c>
    </row>
    <row r="20" customFormat="false" ht="23.25" hidden="false" customHeight="true" outlineLevel="0" collapsed="false">
      <c r="A20" s="12" t="s">
        <v>227</v>
      </c>
      <c r="B20" s="24" t="str">
        <f aca="false">IF(COUNT(K13:K18)=0,"—",INDEX(A13:A18,MATCH(MIN(K13:K18),K13:K18,0)))</f>
        <v>Ulule</v>
      </c>
      <c r="C20" s="24"/>
      <c r="D20" s="24"/>
      <c r="E20" s="24"/>
    </row>
    <row r="21" customFormat="false" ht="15" hidden="false" customHeight="true" outlineLevel="0" collapsed="false">
      <c r="A21" s="12" t="s">
        <v>228</v>
      </c>
      <c r="B21" s="24" t="str">
        <f aca="false">IF(Rechner!$B$11&lt;&gt;"ja","gewählte Plattform ohne belegte Gebühren",IF(NOT(ISNUMBER(Rechner!$B$26)),"—",IF(INDEX(K13:K18,MATCH(Rechner!$B$7,A13:A18,0))=Rechner!$B$26,"stimmt überein","Abweichung — prüfen")))</f>
        <v>stimmt überein</v>
      </c>
      <c r="C21" s="24"/>
      <c r="D21" s="24"/>
      <c r="E21" s="24"/>
    </row>
    <row r="23" customFormat="false" ht="15" hidden="false" customHeight="true" outlineLevel="0" collapsed="false">
      <c r="A23" s="3" t="s">
        <v>229</v>
      </c>
    </row>
  </sheetData>
  <mergeCells count="2"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8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230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45" hidden="false" customHeight="true" outlineLevel="0" collapsed="false">
      <c r="A5" s="4" t="s">
        <v>231</v>
      </c>
      <c r="B5" s="4" t="s">
        <v>232</v>
      </c>
      <c r="C5" s="4" t="s">
        <v>233</v>
      </c>
      <c r="D5" s="4" t="s">
        <v>234</v>
      </c>
      <c r="E5" s="4" t="s">
        <v>235</v>
      </c>
      <c r="F5" s="4" t="s">
        <v>236</v>
      </c>
      <c r="G5" s="4" t="s">
        <v>237</v>
      </c>
    </row>
    <row r="6" customFormat="false" ht="23.25" hidden="false" customHeight="true" outlineLevel="0" collapsed="false">
      <c r="A6" s="19" t="n">
        <v>1000</v>
      </c>
      <c r="B6" s="6" t="s">
        <v>238</v>
      </c>
      <c r="C6" s="15" t="n">
        <f aca="false">IF(ISNUMBER(Rechner!$B$30),Rechner!$B$30/A6,"—")</f>
        <v>0.242</v>
      </c>
      <c r="D6" s="15" t="n">
        <f aca="false">IF(ISNUMBER(Rechner!$B$31),Rechner!$B$31/A6,"—")</f>
        <v>0.87</v>
      </c>
      <c r="E6" s="17" t="n">
        <f aca="false">ROUND(A6*Rechner!$B$44/100,0)</f>
        <v>30</v>
      </c>
      <c r="F6" s="16" t="n">
        <f aca="false">E6*Rechner!$B$21</f>
        <v>1342.5</v>
      </c>
      <c r="G6" s="15" t="n">
        <f aca="false">IF(ISNUMBER(Rechner!$B$26),F6/Rechner!$B$26,"—")</f>
        <v>0.124305555555556</v>
      </c>
    </row>
    <row r="7" customFormat="false" ht="15" hidden="false" customHeight="true" outlineLevel="0" collapsed="false">
      <c r="A7" s="19" t="n">
        <v>1247</v>
      </c>
      <c r="B7" s="6" t="s">
        <v>239</v>
      </c>
      <c r="C7" s="15" t="n">
        <f aca="false">IF(ISNUMBER(Rechner!$B$30),Rechner!$B$30/A7,"—")</f>
        <v>0.194065757818765</v>
      </c>
      <c r="D7" s="15" t="n">
        <f aca="false">IF(ISNUMBER(Rechner!$B$31),Rechner!$B$31/A7,"—")</f>
        <v>0.697674418604651</v>
      </c>
      <c r="E7" s="17" t="n">
        <f aca="false">ROUND(A7*Rechner!$B$44/100,0)</f>
        <v>37</v>
      </c>
      <c r="F7" s="16" t="n">
        <f aca="false">E7*Rechner!$B$21</f>
        <v>1655.75</v>
      </c>
      <c r="G7" s="15" t="n">
        <f aca="false">IF(ISNUMBER(Rechner!$B$26),F7/Rechner!$B$26,"—")</f>
        <v>0.153310185185185</v>
      </c>
    </row>
    <row r="8" customFormat="false" ht="15" hidden="false" customHeight="true" outlineLevel="0" collapsed="false">
      <c r="A8" s="19" t="n">
        <v>1500</v>
      </c>
      <c r="B8" s="6" t="s">
        <v>240</v>
      </c>
      <c r="C8" s="15" t="n">
        <f aca="false">IF(ISNUMBER(Rechner!$B$30),Rechner!$B$30/A8,"—")</f>
        <v>0.161333333333333</v>
      </c>
      <c r="D8" s="15" t="n">
        <f aca="false">IF(ISNUMBER(Rechner!$B$31),Rechner!$B$31/A8,"—")</f>
        <v>0.58</v>
      </c>
      <c r="E8" s="17" t="n">
        <f aca="false">ROUND(A8*Rechner!$B$44/100,0)</f>
        <v>45</v>
      </c>
      <c r="F8" s="16" t="n">
        <f aca="false">E8*Rechner!$B$21</f>
        <v>2013.75</v>
      </c>
      <c r="G8" s="15" t="n">
        <f aca="false">IF(ISNUMBER(Rechner!$B$26),F8/Rechner!$B$26,"—")</f>
        <v>0.186458333333333</v>
      </c>
    </row>
    <row r="9" customFormat="false" ht="15" hidden="false" customHeight="true" outlineLevel="0" collapsed="false">
      <c r="A9" s="19" t="n">
        <v>2437</v>
      </c>
      <c r="B9" s="6" t="s">
        <v>241</v>
      </c>
      <c r="C9" s="15" t="n">
        <f aca="false">IF(ISNUMBER(Rechner!$B$30),Rechner!$B$30/A9,"—")</f>
        <v>0.0993024210094378</v>
      </c>
      <c r="D9" s="15" t="n">
        <f aca="false">IF(ISNUMBER(Rechner!$B$31),Rechner!$B$31/A9,"—")</f>
        <v>0.356996306934756</v>
      </c>
      <c r="E9" s="17" t="n">
        <f aca="false">ROUND(A9*Rechner!$B$44/100,0)</f>
        <v>73</v>
      </c>
      <c r="F9" s="16" t="n">
        <f aca="false">E9*Rechner!$B$21</f>
        <v>3266.75</v>
      </c>
      <c r="G9" s="15" t="n">
        <f aca="false">IF(ISNUMBER(Rechner!$B$26),F9/Rechner!$B$26,"—")</f>
        <v>0.302476851851852</v>
      </c>
    </row>
    <row r="10" customFormat="false" ht="15" hidden="false" customHeight="true" outlineLevel="0" collapsed="false">
      <c r="A10" s="19" t="n">
        <v>3940</v>
      </c>
      <c r="B10" s="6" t="s">
        <v>242</v>
      </c>
      <c r="C10" s="15" t="n">
        <f aca="false">IF(ISNUMBER(Rechner!$B$30),Rechner!$B$30/A10,"—")</f>
        <v>0.0614213197969543</v>
      </c>
      <c r="D10" s="15" t="n">
        <f aca="false">IF(ISNUMBER(Rechner!$B$31),Rechner!$B$31/A10,"—")</f>
        <v>0.220812182741117</v>
      </c>
      <c r="E10" s="17" t="n">
        <f aca="false">ROUND(A10*Rechner!$B$44/100,0)</f>
        <v>118</v>
      </c>
      <c r="F10" s="16" t="n">
        <f aca="false">E10*Rechner!$B$21</f>
        <v>5280.5</v>
      </c>
      <c r="G10" s="15" t="n">
        <f aca="false">IF(ISNUMBER(Rechner!$B$26),F10/Rechner!$B$26,"—")</f>
        <v>0.488935185185185</v>
      </c>
    </row>
    <row r="12" customFormat="false" ht="15" hidden="false" customHeight="true" outlineLevel="0" collapsed="false">
      <c r="A12" s="3" t="s">
        <v>243</v>
      </c>
    </row>
    <row r="14" customFormat="false" ht="15" hidden="false" customHeight="true" outlineLevel="0" collapsed="false">
      <c r="A14" s="12" t="s">
        <v>244</v>
      </c>
      <c r="B14" s="12"/>
      <c r="C14" s="8" t="s">
        <v>43</v>
      </c>
    </row>
    <row r="15" customFormat="false" ht="31.5" hidden="false" customHeight="true" outlineLevel="0" collapsed="false">
      <c r="A15" s="11" t="str">
        <f aca="false">IF(C14="ja","Die Liste zählt als Kanal — im Rahmen der Einwilligung, die sie abdeckt. Nr. 59 ist am 19.09.2026 so entschieden; der Einwilligungstext nennt die Finanzierungskampagne seit A-57 ausdrücklich (Anwaltsfragen K8, R6, U1 offen).",IF(C14="nein","Die Liste fällt als Kanal aus. Die Summe muss über Kanal, Partnerorte und Presse kommen.","Offen: Solange Nr. 59 nicht entschieden ist, zählt die Liste nicht als Kanal."))</f>
        <v>Die Liste zählt als Kanal — im Rahmen der Einwilligung, die sie abdeckt. Nr. 59 ist am 19.09.2026 so entschieden; der Einwilligungstext nennt die Finanzierungskampagne seit A-57 ausdrücklich (Anwaltsfragen K8, R6, U1 offen).</v>
      </c>
      <c r="B15" s="11"/>
      <c r="C15" s="11"/>
      <c r="D15" s="11"/>
      <c r="E15" s="11"/>
      <c r="F15" s="11"/>
      <c r="G15" s="11"/>
    </row>
  </sheetData>
  <mergeCells count="2">
    <mergeCell ref="A14:B14"/>
    <mergeCell ref="A15:G15"/>
  </mergeCells>
  <dataValidations count="1">
    <dataValidation allowBlank="false" errorStyle="stop" operator="between" showDropDown="false" showErrorMessage="false" showInputMessage="false" sqref="C14" type="list">
      <formula1>"offen,ja,nein"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60"/>
    <col collapsed="false" customWidth="true" hidden="false" outlineLevel="0" max="11" min="11" style="1" width="46"/>
    <col collapsed="false" customWidth="true" hidden="false" outlineLevel="0" max="12" min="12" style="1" width="11"/>
  </cols>
  <sheetData>
    <row r="1" customFormat="false" ht="19.5" hidden="false" customHeight="true" outlineLevel="0" collapsed="false">
      <c r="A1" s="2" t="s">
        <v>245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45" hidden="false" customHeight="true" outlineLevel="0" collapsed="false">
      <c r="A5" s="4" t="s">
        <v>37</v>
      </c>
      <c r="B5" s="4" t="s">
        <v>246</v>
      </c>
      <c r="C5" s="4" t="s">
        <v>247</v>
      </c>
      <c r="D5" s="4" t="s">
        <v>248</v>
      </c>
      <c r="E5" s="4" t="s">
        <v>249</v>
      </c>
      <c r="F5" s="4" t="s">
        <v>250</v>
      </c>
      <c r="G5" s="4" t="s">
        <v>251</v>
      </c>
      <c r="H5" s="4" t="s">
        <v>252</v>
      </c>
      <c r="I5" s="4" t="s">
        <v>253</v>
      </c>
      <c r="J5" s="4" t="s">
        <v>254</v>
      </c>
      <c r="K5" s="4" t="s">
        <v>255</v>
      </c>
      <c r="L5" s="4" t="s">
        <v>256</v>
      </c>
    </row>
    <row r="6" customFormat="false" ht="91.5" hidden="false" customHeight="true" outlineLevel="0" collapsed="false">
      <c r="A6" s="12" t="s">
        <v>38</v>
      </c>
      <c r="B6" s="6" t="s">
        <v>257</v>
      </c>
      <c r="C6" s="6" t="s">
        <v>258</v>
      </c>
      <c r="D6" s="29" t="n">
        <v>0.05</v>
      </c>
      <c r="E6" s="27" t="n">
        <v>0.035</v>
      </c>
      <c r="F6" s="18" t="n">
        <v>0</v>
      </c>
      <c r="G6" s="10" t="n">
        <v>0</v>
      </c>
      <c r="H6" s="27" t="n">
        <v>0.035</v>
      </c>
      <c r="I6" s="18" t="n">
        <v>0</v>
      </c>
      <c r="J6" s="6" t="s">
        <v>259</v>
      </c>
      <c r="K6" s="20" t="s">
        <v>260</v>
      </c>
      <c r="L6" s="30" t="s">
        <v>261</v>
      </c>
    </row>
    <row r="7" customFormat="false" ht="91.5" hidden="false" customHeight="true" outlineLevel="0" collapsed="false">
      <c r="A7" s="12" t="s">
        <v>262</v>
      </c>
      <c r="B7" s="6" t="s">
        <v>257</v>
      </c>
      <c r="C7" s="6" t="s">
        <v>258</v>
      </c>
      <c r="D7" s="29" t="n">
        <v>0.05</v>
      </c>
      <c r="E7" s="27" t="n">
        <v>0.035</v>
      </c>
      <c r="F7" s="18" t="n">
        <v>0.45</v>
      </c>
      <c r="G7" s="10" t="n">
        <v>0</v>
      </c>
      <c r="H7" s="27" t="n">
        <v>0.035</v>
      </c>
      <c r="I7" s="18" t="n">
        <v>0.45</v>
      </c>
      <c r="J7" s="6" t="s">
        <v>263</v>
      </c>
      <c r="K7" s="20" t="s">
        <v>264</v>
      </c>
      <c r="L7" s="30" t="s">
        <v>261</v>
      </c>
    </row>
    <row r="8" customFormat="false" ht="91.5" hidden="false" customHeight="true" outlineLevel="0" collapsed="false">
      <c r="A8" s="12" t="s">
        <v>265</v>
      </c>
      <c r="B8" s="6" t="s">
        <v>257</v>
      </c>
      <c r="C8" s="6" t="s">
        <v>258</v>
      </c>
      <c r="D8" s="29" t="n">
        <v>0.11</v>
      </c>
      <c r="E8" s="27" t="n">
        <v>0.035</v>
      </c>
      <c r="F8" s="18" t="n">
        <v>0</v>
      </c>
      <c r="G8" s="10" t="n">
        <v>0</v>
      </c>
      <c r="H8" s="27" t="n">
        <v>0.035</v>
      </c>
      <c r="I8" s="18" t="n">
        <v>0</v>
      </c>
      <c r="J8" s="6" t="s">
        <v>266</v>
      </c>
      <c r="K8" s="20" t="s">
        <v>264</v>
      </c>
      <c r="L8" s="30" t="s">
        <v>261</v>
      </c>
    </row>
    <row r="9" customFormat="false" ht="91.5" hidden="false" customHeight="true" outlineLevel="0" collapsed="false">
      <c r="A9" s="12" t="s">
        <v>267</v>
      </c>
      <c r="B9" s="6" t="s">
        <v>268</v>
      </c>
      <c r="C9" s="6" t="s">
        <v>269</v>
      </c>
      <c r="D9" s="29" t="n">
        <v>0.0667</v>
      </c>
      <c r="E9" s="27" t="n">
        <v>0</v>
      </c>
      <c r="F9" s="18" t="n">
        <v>0</v>
      </c>
      <c r="G9" s="10" t="n">
        <v>0</v>
      </c>
      <c r="H9" s="27" t="n">
        <v>0</v>
      </c>
      <c r="I9" s="18" t="n">
        <v>0</v>
      </c>
      <c r="J9" s="6" t="s">
        <v>270</v>
      </c>
      <c r="K9" s="20" t="s">
        <v>271</v>
      </c>
      <c r="L9" s="30" t="s">
        <v>261</v>
      </c>
    </row>
    <row r="10" customFormat="false" ht="91.5" hidden="false" customHeight="true" outlineLevel="0" collapsed="false">
      <c r="A10" s="12" t="s">
        <v>272</v>
      </c>
      <c r="B10" s="6" t="s">
        <v>273</v>
      </c>
      <c r="C10" s="6" t="s">
        <v>274</v>
      </c>
      <c r="D10" s="29" t="n">
        <v>0.05</v>
      </c>
      <c r="E10" s="27" t="n">
        <v>0.03</v>
      </c>
      <c r="F10" s="18" t="n">
        <v>0.3</v>
      </c>
      <c r="G10" s="10" t="n">
        <v>10</v>
      </c>
      <c r="H10" s="27" t="n">
        <v>0.05</v>
      </c>
      <c r="I10" s="18" t="n">
        <v>0.08</v>
      </c>
      <c r="J10" s="6" t="s">
        <v>275</v>
      </c>
      <c r="K10" s="20" t="s">
        <v>276</v>
      </c>
      <c r="L10" s="30" t="s">
        <v>261</v>
      </c>
    </row>
    <row r="11" customFormat="false" ht="91.5" hidden="false" customHeight="true" outlineLevel="0" collapsed="false">
      <c r="A11" s="12" t="s">
        <v>277</v>
      </c>
      <c r="B11" s="6" t="s">
        <v>278</v>
      </c>
      <c r="C11" s="6" t="s">
        <v>279</v>
      </c>
      <c r="D11" s="8"/>
      <c r="E11" s="8"/>
      <c r="F11" s="8"/>
      <c r="G11" s="8"/>
      <c r="H11" s="8"/>
      <c r="I11" s="8"/>
      <c r="J11" s="6" t="s">
        <v>280</v>
      </c>
      <c r="K11" s="20" t="s">
        <v>281</v>
      </c>
      <c r="L11" s="30" t="s">
        <v>261</v>
      </c>
    </row>
    <row r="13" customFormat="false" ht="15" hidden="false" customHeight="true" outlineLevel="0" collapsed="false">
      <c r="A13" s="3" t="s">
        <v>282</v>
      </c>
    </row>
    <row r="14" customFormat="false" ht="15" hidden="false" customHeight="true" outlineLevel="0" collapsed="false">
      <c r="A14" s="3" t="s">
        <v>283</v>
      </c>
    </row>
    <row r="15" customFormat="false" ht="15" hidden="false" customHeight="true" outlineLevel="0" collapsed="false">
      <c r="A15" s="3" t="s">
        <v>284</v>
      </c>
    </row>
    <row r="16" customFormat="false" ht="15" hidden="false" customHeight="true" outlineLevel="0" collapsed="false">
      <c r="A16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0"/>
    <col collapsed="false" customWidth="true" hidden="false" outlineLevel="0" max="3" min="3" style="1" width="80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286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3</v>
      </c>
      <c r="B4" s="4" t="s">
        <v>287</v>
      </c>
      <c r="C4" s="4" t="s">
        <v>288</v>
      </c>
      <c r="D4" s="4" t="s">
        <v>289</v>
      </c>
    </row>
    <row r="5" customFormat="false" ht="23.25" hidden="false" customHeight="true" outlineLevel="0" collapsed="false">
      <c r="A5" s="5" t="n">
        <v>1</v>
      </c>
      <c r="B5" s="20" t="s">
        <v>290</v>
      </c>
      <c r="C5" s="6" t="s">
        <v>291</v>
      </c>
      <c r="D5" s="30" t="s">
        <v>292</v>
      </c>
    </row>
    <row r="6" customFormat="false" ht="23.25" hidden="false" customHeight="true" outlineLevel="0" collapsed="false">
      <c r="A6" s="5" t="n">
        <v>2</v>
      </c>
      <c r="B6" s="20" t="s">
        <v>293</v>
      </c>
      <c r="C6" s="6" t="s">
        <v>294</v>
      </c>
      <c r="D6" s="30" t="s">
        <v>295</v>
      </c>
    </row>
    <row r="7" customFormat="false" ht="23.25" hidden="false" customHeight="true" outlineLevel="0" collapsed="false">
      <c r="A7" s="5" t="n">
        <v>3</v>
      </c>
      <c r="B7" s="20" t="s">
        <v>296</v>
      </c>
      <c r="C7" s="6" t="s">
        <v>297</v>
      </c>
      <c r="D7" s="30" t="s">
        <v>298</v>
      </c>
    </row>
    <row r="8" customFormat="false" ht="15" hidden="false" customHeight="true" outlineLevel="0" collapsed="false">
      <c r="A8" s="5" t="n">
        <v>4</v>
      </c>
      <c r="B8" s="20" t="s">
        <v>299</v>
      </c>
      <c r="C8" s="6" t="s">
        <v>300</v>
      </c>
      <c r="D8" s="30" t="s">
        <v>295</v>
      </c>
    </row>
    <row r="9" customFormat="false" ht="23.25" hidden="false" customHeight="true" outlineLevel="0" collapsed="false">
      <c r="A9" s="5" t="n">
        <v>5</v>
      </c>
      <c r="B9" s="20" t="s">
        <v>301</v>
      </c>
      <c r="C9" s="6" t="s">
        <v>302</v>
      </c>
      <c r="D9" s="30" t="s">
        <v>295</v>
      </c>
    </row>
    <row r="10" customFormat="false" ht="23.25" hidden="false" customHeight="true" outlineLevel="0" collapsed="false">
      <c r="A10" s="5" t="n">
        <v>6</v>
      </c>
      <c r="B10" s="20" t="s">
        <v>303</v>
      </c>
      <c r="C10" s="6" t="s">
        <v>304</v>
      </c>
      <c r="D10" s="30" t="s">
        <v>295</v>
      </c>
    </row>
    <row r="11" customFormat="false" ht="15" hidden="false" customHeight="true" outlineLevel="0" collapsed="false">
      <c r="A11" s="5" t="n">
        <v>7</v>
      </c>
      <c r="B11" s="20" t="s">
        <v>305</v>
      </c>
      <c r="C11" s="6" t="s">
        <v>306</v>
      </c>
      <c r="D11" s="30" t="s">
        <v>307</v>
      </c>
    </row>
    <row r="12" customFormat="false" ht="15" hidden="false" customHeight="true" outlineLevel="0" collapsed="false">
      <c r="A12" s="5" t="n">
        <v>8</v>
      </c>
      <c r="B12" s="20" t="s">
        <v>308</v>
      </c>
      <c r="C12" s="6" t="s">
        <v>309</v>
      </c>
      <c r="D12" s="30" t="s">
        <v>295</v>
      </c>
    </row>
    <row r="13" customFormat="false" ht="15" hidden="false" customHeight="true" outlineLevel="0" collapsed="false">
      <c r="A13" s="5" t="n">
        <v>9</v>
      </c>
      <c r="B13" s="20" t="s">
        <v>310</v>
      </c>
      <c r="C13" s="6" t="s">
        <v>311</v>
      </c>
      <c r="D13" s="30" t="s">
        <v>312</v>
      </c>
    </row>
    <row r="14" customFormat="false" ht="15" hidden="false" customHeight="true" outlineLevel="0" collapsed="false">
      <c r="A14" s="5" t="n">
        <v>10</v>
      </c>
      <c r="B14" s="20" t="s">
        <v>313</v>
      </c>
      <c r="C14" s="6" t="s">
        <v>314</v>
      </c>
      <c r="D14" s="30" t="s">
        <v>307</v>
      </c>
    </row>
    <row r="15" customFormat="false" ht="15" hidden="false" customHeight="true" outlineLevel="0" collapsed="false">
      <c r="A15" s="5" t="n">
        <v>11</v>
      </c>
      <c r="B15" s="20" t="s">
        <v>315</v>
      </c>
      <c r="C15" s="6" t="s">
        <v>316</v>
      </c>
      <c r="D15" s="30" t="s">
        <v>295</v>
      </c>
    </row>
    <row r="16" customFormat="false" ht="15" hidden="false" customHeight="true" outlineLevel="0" collapsed="false">
      <c r="A16" s="5" t="n">
        <v>12</v>
      </c>
      <c r="B16" s="20" t="s">
        <v>317</v>
      </c>
      <c r="C16" s="6" t="s">
        <v>318</v>
      </c>
      <c r="D16" s="30" t="s">
        <v>295</v>
      </c>
    </row>
    <row r="17" customFormat="false" ht="15" hidden="false" customHeight="true" outlineLevel="0" collapsed="false">
      <c r="A17" s="5" t="n">
        <v>13</v>
      </c>
      <c r="B17" s="20" t="s">
        <v>319</v>
      </c>
      <c r="C17" s="6" t="s">
        <v>320</v>
      </c>
      <c r="D17" s="30" t="s">
        <v>295</v>
      </c>
    </row>
    <row r="18" customFormat="false" ht="15" hidden="false" customHeight="true" outlineLevel="0" collapsed="false">
      <c r="A18" s="5" t="n">
        <v>14</v>
      </c>
      <c r="B18" s="20" t="s">
        <v>321</v>
      </c>
      <c r="C18" s="6" t="s">
        <v>322</v>
      </c>
      <c r="D18" s="30" t="s">
        <v>307</v>
      </c>
    </row>
    <row r="19" customFormat="false" ht="15" hidden="false" customHeight="true" outlineLevel="0" collapsed="false">
      <c r="A19" s="5" t="n">
        <v>15</v>
      </c>
      <c r="B19" s="20" t="s">
        <v>323</v>
      </c>
      <c r="C19" s="6" t="s">
        <v>324</v>
      </c>
      <c r="D19" s="30" t="s">
        <v>325</v>
      </c>
    </row>
    <row r="20" customFormat="false" ht="15" hidden="false" customHeight="true" outlineLevel="0" collapsed="false">
      <c r="A20" s="5" t="n">
        <v>16</v>
      </c>
      <c r="B20" s="20" t="s">
        <v>326</v>
      </c>
      <c r="C20" s="6" t="s">
        <v>327</v>
      </c>
      <c r="D20" s="30" t="s">
        <v>328</v>
      </c>
    </row>
    <row r="21" customFormat="false" ht="21.75" hidden="false" customHeight="true" outlineLevel="0" collapsed="false">
      <c r="A21" s="5" t="n">
        <v>17</v>
      </c>
      <c r="B21" s="20" t="s">
        <v>329</v>
      </c>
      <c r="C21" s="6" t="s">
        <v>330</v>
      </c>
      <c r="D21" s="30" t="s">
        <v>295</v>
      </c>
    </row>
    <row r="22" customFormat="false" ht="23.25" hidden="false" customHeight="true" outlineLevel="0" collapsed="false">
      <c r="A22" s="5" t="n">
        <v>18</v>
      </c>
      <c r="B22" s="20" t="s">
        <v>331</v>
      </c>
      <c r="C22" s="6" t="s">
        <v>332</v>
      </c>
      <c r="D22" s="30" t="s">
        <v>333</v>
      </c>
    </row>
    <row r="23" customFormat="false" ht="21.75" hidden="false" customHeight="true" outlineLevel="0" collapsed="false">
      <c r="A23" s="5" t="n">
        <v>19</v>
      </c>
      <c r="B23" s="20" t="s">
        <v>334</v>
      </c>
      <c r="C23" s="6" t="s">
        <v>335</v>
      </c>
      <c r="D23" s="30" t="s">
        <v>336</v>
      </c>
    </row>
    <row r="24" customFormat="false" ht="23.25" hidden="false" customHeight="true" outlineLevel="0" collapsed="false">
      <c r="A24" s="5" t="n">
        <v>20</v>
      </c>
      <c r="B24" s="20" t="s">
        <v>337</v>
      </c>
      <c r="C24" s="6" t="s">
        <v>338</v>
      </c>
      <c r="D24" s="30" t="s">
        <v>339</v>
      </c>
    </row>
    <row r="25" customFormat="false" ht="23.25" hidden="false" customHeight="true" outlineLevel="0" collapsed="false">
      <c r="A25" s="5" t="n">
        <v>21</v>
      </c>
      <c r="B25" s="20" t="s">
        <v>340</v>
      </c>
      <c r="C25" s="6" t="s">
        <v>341</v>
      </c>
      <c r="D25" s="30" t="s">
        <v>295</v>
      </c>
    </row>
    <row r="26" customFormat="false" ht="23.25" hidden="false" customHeight="true" outlineLevel="0" collapsed="false">
      <c r="A26" s="5" t="n">
        <v>22</v>
      </c>
      <c r="B26" s="20" t="s">
        <v>342</v>
      </c>
      <c r="C26" s="6" t="s">
        <v>343</v>
      </c>
      <c r="D26" s="30" t="s">
        <v>295</v>
      </c>
    </row>
    <row r="27" customFormat="false" ht="23.25" hidden="false" customHeight="true" outlineLevel="0" collapsed="false">
      <c r="A27" s="5" t="n">
        <v>23</v>
      </c>
      <c r="B27" s="20" t="s">
        <v>344</v>
      </c>
      <c r="C27" s="6" t="s">
        <v>345</v>
      </c>
      <c r="D27" s="30" t="s">
        <v>346</v>
      </c>
    </row>
    <row r="28" customFormat="false" ht="23.25" hidden="false" customHeight="true" outlineLevel="0" collapsed="false">
      <c r="A28" s="5" t="n">
        <v>24</v>
      </c>
      <c r="B28" s="20" t="s">
        <v>347</v>
      </c>
      <c r="C28" s="6" t="s">
        <v>348</v>
      </c>
      <c r="D28" s="30" t="s">
        <v>349</v>
      </c>
    </row>
    <row r="29" customFormat="false" ht="15" hidden="false" customHeight="true" outlineLevel="0" collapsed="false">
      <c r="A29" s="5" t="n">
        <v>25</v>
      </c>
      <c r="B29" s="20" t="s">
        <v>350</v>
      </c>
      <c r="C29" s="6" t="s">
        <v>351</v>
      </c>
      <c r="D29" s="3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2026-09-16T08:58:34Z</dcterms:created>
  <dc:creator>openpyxl</dc:creator>
  <dc:description/>
  <dc:language>de-DE</dc:language>
  <cp:lastModifiedBy/>
  <dcterms:modified xsi:type="dcterms:W3CDTF">2026-09-21T19:32:29Z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