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leitung" sheetId="1" state="visible" r:id="rId3"/>
    <sheet name="Annahmen" sheetId="2" state="visible" r:id="rId4"/>
    <sheet name="Pessimistisch" sheetId="3" state="visible" r:id="rId5"/>
    <sheet name="Realistisch" sheetId="4" state="visible" r:id="rId6"/>
    <sheet name="Optimistisch" sheetId="5" state="visible" r:id="rId7"/>
    <sheet name="Kennzahlen" sheetId="6" state="visible" r:id="rId8"/>
    <sheet name="Finanzierungswege" sheetId="7" state="visible" r:id="rId9"/>
    <sheet name="Ist-Werte" sheetId="8" state="visible" r:id="rId10"/>
    <sheet name="Herkunft &amp; Widersprüche"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<sst xmlns="http://schemas.openxmlformats.org/spreadsheetml/2006/main" count="1103" uniqueCount="808">
  <si>
    <t xml:space="preserve">Finanzmodell Cruizy — Anleitung</t>
  </si>
  <si>
    <t xml:space="preserve">Aufgabe A-13 · erstellt 27.07.2026 · Rolle: Finanzmodellierer · Fenster V1 · Grundlage: Handbuch B, Teile II–V · fortgeschrieben 21.09.2026 (A-52: Beschlüsse vom 19. und 21.09.2026)</t>
  </si>
  <si>
    <t xml:space="preserve">DIESES MODELL RECHNET. ES ENTSCHEIDET NICHT. Jede Zahl darin ist eine Annahme mit Herkunft — nachlesbar auf dem Blatt „Herkunft &amp; Widersprüche". Wer eine Annahme ändert, sieht die Wirkung sofort bis in die Kennzahlen. Genau dafür ist es gebaut.</t>
  </si>
  <si>
    <t xml:space="preserve">Farben</t>
  </si>
  <si>
    <t xml:space="preserve">BLAU = Stellhebel. Hier wird geändert. Alles andere rechnet sich daraus.</t>
  </si>
  <si>
    <t xml:space="preserve">GELB = von Menschen auszufüllen. Ist-Werte, Entscheidungen, bestätigte Angaben.</t>
  </si>
  <si>
    <t xml:space="preserve">WEISS mit Formel = Ergebnis. Nicht überschreiben, sonst bricht die Kette.</t>
  </si>
  <si>
    <t xml:space="preserve">BERNSTEIN = Hinweis oder Widerspruch, der bewusst stehen bleibt.</t>
  </si>
  <si>
    <t xml:space="preserve">Die Blätter, in der Reihenfolge, in der man sie liest</t>
  </si>
  <si>
    <t xml:space="preserve">Blatt</t>
  </si>
  <si>
    <t xml:space="preserve">Was darin steht</t>
  </si>
  <si>
    <t xml:space="preserve">Wer es anfasst</t>
  </si>
  <si>
    <t xml:space="preserve">Annahmen</t>
  </si>
  <si>
    <t xml:space="preserve">Sämtliche Stellhebel: Nutzerentwicklung, Monetarisierung mit der Erlöskette je Zahler (2a), weitere Erlösquellen, Kostenstaffel, JMStV-Schalter, Einmalkosten, CSD-Auftritte, laufende Kosten aus Beschlüssen (7a), Kapitalbedarf und Lebenshaltung.</t>
  </si>
  <si>
    <t xml:space="preserve">Pessimistisch / Realistisch / Optimistisch</t>
  </si>
  <si>
    <t xml:space="preserve">36 Monatsspalten je Szenario: Nutzer, Zahler, fünf Erlösquellen, Kostenblöcke, Ergebnis, kumulierte Liquidität; nachrichtlich Krankenversicherung und Lebenshaltung. Reine Formeln.</t>
  </si>
  <si>
    <t xml:space="preserve">Kennzahlen</t>
  </si>
  <si>
    <t xml:space="preserve">Tiefpunkt, Break-even, Kapitalbedarf je Szenario und der Gesamtbedarf mit Lebenshaltung (Nr. 38). Darunter der Abgleich gegen Handbuch B, die vier Prüfwege, die Empfindlichkeit und wie viele Zahler es braucht.</t>
  </si>
  <si>
    <t xml:space="preserve">Finanzierungswege</t>
  </si>
  <si>
    <t xml:space="preserve">Sechs durchgerechnete Wege, wie die Lücke geschlossen werden könnte, samt Wirkung auf Verwässerung, persönliches Risiko und Handlungsfreiheit.</t>
  </si>
  <si>
    <t xml:space="preserve">Ist-Werte</t>
  </si>
  <si>
    <t xml:space="preserve">Leer. Ab dem ersten realen Monat werden hier die tatsächlichen Zahlen eingetragen; das Blatt vergleicht automatisch mit dem Plan.</t>
  </si>
  <si>
    <t xml:space="preserve">Herkunft &amp; Widersprüche</t>
  </si>
  <si>
    <t xml:space="preserve">Für jede Annahme die Quelle — und die fünf Stellen, an denen Handbuch B sich selbst widerspricht. Seit A-52 dazu die Liste aller Änderungen mit ihrer Wirkung.</t>
  </si>
  <si>
    <t xml:space="preserve">Was dieses Modell bewusst nicht tut</t>
  </si>
  <si>
    <t xml:space="preserve">Es zahlt in keinem Szenario ein Gründergehalt. Handbuch B tut das im optimistischen Fall ab Monat 16 — hier nicht, weil ein Gehalt eine Entscheidung ist und keine Rechengröße. Wer es einplanen will, trägt es als eigene Kostenzeile ein und sieht sofort, was es kostet. Die Lebenshaltung beider Gründer rechnet es seit A-52 mit — nicht als Gehalt, sondern als privaten Bedarf neben der Firma (Blatt „Kennzahlen“, Gesamtbedarf).
Es empfiehlt keinen Finanzierungsweg. Das Blatt „Finanzierungswege" stellt sechs Wege nebeneinander und benennt bei jedem, was er mit den Gründern macht — nicht nur, was er einbringt. Die Auswahl ist eine Lebensentscheidung und keine Rechenaufgabe.
Es behauptet keine Genauigkeit, die es nicht hat. Der Start liegt frühestens im Sommer 2028; geplant wird ein Jahr später (Nr. 45). Bis dahin ändern sich Preise, Anbieter und Recht. Der Wert dieses Modells liegt nicht in den Zahlen, sondern darin, dass die Größe sichtbar wird, auf die es ankommt.</t>
  </si>
  <si>
    <t xml:space="preserve">Annahmen — alle Stellhebel an einem Ort</t>
  </si>
  <si>
    <t xml:space="preserve">Blaue Felder ändern. Alles Weitere rechnet sich daraus. Spalte F nennt die Herkunft jeder Zahl. Fortgeschrieben am 21.09.2026 (A-52): neu die Abschnitte 2a und 7a, geändert 3, 6, 7 und 8.</t>
  </si>
  <si>
    <t xml:space="preserve">1 · Nutzerentwicklung</t>
  </si>
  <si>
    <t xml:space="preserve">Größe</t>
  </si>
  <si>
    <t xml:space="preserve">Pessimistisch</t>
  </si>
  <si>
    <t xml:space="preserve">Realistisch</t>
  </si>
  <si>
    <t xml:space="preserve">Optimistisch</t>
  </si>
  <si>
    <t xml:space="preserve">Herkunft</t>
  </si>
  <si>
    <t xml:space="preserve">MAU Ende Jahr 1</t>
  </si>
  <si>
    <t xml:space="preserve">Handbuch B, Szenarienvergleich</t>
  </si>
  <si>
    <t xml:space="preserve">MAU Ende Jahr 2</t>
  </si>
  <si>
    <t xml:space="preserve">MAU Ende Jahr 3</t>
  </si>
  <si>
    <t xml:space="preserve">Startmonat (erster Monat mit Nutzern)</t>
  </si>
  <si>
    <t xml:space="preserve">KALIBRIERT auf die Jahresmittel aus Handbuch B. Entspricht einer geschlossenen Erprobung ab Monat 2.</t>
  </si>
  <si>
    <t xml:space="preserve">Rampenexponent Jahr 1</t>
  </si>
  <si>
    <t xml:space="preserve">KALIBRIERT. Wert über 1 = langsamer Start, beschleunigend. Unter 1 = schneller Start, abflachend.</t>
  </si>
  <si>
    <t xml:space="preserve">Rampenexponent Jahr 2–3</t>
  </si>
  <si>
    <t xml:space="preserve">KALIBRIERT auf die Jahresmittel aus Handbuch B.</t>
  </si>
  <si>
    <t xml:space="preserve">Städte Ende Jahr 1</t>
  </si>
  <si>
    <t xml:space="preserve">Handbuch B: Start in Köln, Dichte vor Fläche</t>
  </si>
  <si>
    <t xml:space="preserve">Städte Ende Jahr 2</t>
  </si>
  <si>
    <t xml:space="preserve">abgeleitet aus „Städte Ende Jahr 3" in Handbuch B</t>
  </si>
  <si>
    <t xml:space="preserve">Städte Ende Jahr 3</t>
  </si>
  <si>
    <t xml:space="preserve">Monatliche Nutzerabwanderung</t>
  </si>
  <si>
    <t xml:space="preserve">ANNAHME. Gegenstück zur 30-Tage-Wiederkehr (15/24/30 %) aus Handbuch B. Bestimmt die Zahl der Neuregistrierungen und damit die Prüfkosten.</t>
  </si>
  <si>
    <t xml:space="preserve">Rückkehrerquote — Anteil der Abwanderer, der zurückkommt</t>
  </si>
  <si>
    <t xml:space="preserve">ANNAHME. Entscheidend für die Prüfkosten: Wer zurückkommt, ist nach dem AVS-Raster der KJM BEREITS identifiziert und muss sich nur noch authentifizieren. Nur echte Neuzugänge kosten Geld.</t>
  </si>
  <si>
    <t xml:space="preserve">30-Tage-Wiederkehr (nachrichtlich)</t>
  </si>
  <si>
    <t xml:space="preserve">Handbuch B, Szenarienvergleich — hier nur zur Einordnung, nicht rechenwirksam</t>
  </si>
  <si>
    <t xml:space="preserve">Eintrittswahrscheinlichkeit (Schätzung)</t>
  </si>
  <si>
    <t xml:space="preserve">Handbuch B. Restliche 15 %: Abbruch vor Monat 24.</t>
  </si>
  <si>
    <t xml:space="preserve">2 · Monetarisierung</t>
  </si>
  <si>
    <t xml:space="preserve">Monetarisierungsstart (Monat)</t>
  </si>
  <si>
    <t xml:space="preserve">Zielkonversion Jahr 3</t>
  </si>
  <si>
    <t xml:space="preserve">Anfangsanteil der Zielkonversion</t>
  </si>
  <si>
    <t xml:space="preserve">KALIBRIERT auf die Zahler-Jahresmittel aus Handbuch B (Jahre 2 und 3)</t>
  </si>
  <si>
    <t xml:space="preserve">Rampendauer bis Zielkonversion (Monate)</t>
  </si>
  <si>
    <t xml:space="preserve">KALIBRIERT</t>
  </si>
  <si>
    <t xml:space="preserve">Nettoerlös je Zahler und Monat</t>
  </si>
  <si>
    <t xml:space="preserve">Rechnet sich seit A-52 aus der Erlöskette in Abschnitt 2a (Zeile 51) — vorher fest 7,38 € aus Handbuch B. Mit den Werten aus Handbuch B ergibt die Kette dieselben 7,38 € (Probe in Zeile 52).</t>
  </si>
  <si>
    <t xml:space="preserve">2a · Erlöskette je Zahler — zwei Abostufen, Web und Store (Nr. 48, 50, 67 · A-51, A-53)</t>
  </si>
  <si>
    <t xml:space="preserve">WAS HIER NEU IST: Bis zum 21.09.2026 stand in Zeile 26 eine feste Zahl aus Handbuch B (7,38 €). Jetzt rechnet sie sich aus Preisen, Laufzeiten, Stufenanteil und Zahlungsweg. Eingeflossen sind drei Beschlüsse und zwei Recherchen: zwei Abostufen plus Unterstützerbeitrag (Nr. 67), Inkognito und Travel im Abo (Nr. 48), Jahresabo vorausgewählt (Nr. 50), die Web-Fassung zuerst und vollständig (A-51) und die tatsächliche Gebühr eines europäischen Zahlungsdienstes statt pauschal 4 Prozent (A-53). Mit den Werten aus Handbuch B ergibt die Kette dieselben 7,38 € — die Probe steht in Zeile 52.</t>
  </si>
  <si>
    <t xml:space="preserve">Laufzeit</t>
  </si>
  <si>
    <t xml:space="preserve">PLUS, brutto</t>
  </si>
  <si>
    <t xml:space="preserve">PRO, brutto</t>
  </si>
  <si>
    <t xml:space="preserve">Anteil der Käufe</t>
  </si>
  <si>
    <t xml:space="preserve">Monate</t>
  </si>
  <si>
    <t xml:space="preserve">1 Monat</t>
  </si>
  <si>
    <t xml:space="preserve">Handbuch B, Preisliste und „Abwanderung nach Laufzeit“: Bruttopreise und Anteil der Käufe je Laufzeit.</t>
  </si>
  <si>
    <t xml:space="preserve">3 Monate</t>
  </si>
  <si>
    <t xml:space="preserve">Handbuch B · Nachlass 15 %</t>
  </si>
  <si>
    <t xml:space="preserve">6 Monate</t>
  </si>
  <si>
    <t xml:space="preserve">Handbuch B · Nachlass 26 %</t>
  </si>
  <si>
    <t xml:space="preserve">12 Monate</t>
  </si>
  <si>
    <t xml:space="preserve">Handbuch B · Nachlass 35 %. Nr. 50: Das Jahresabo ist vorausgewählt, alle Laufzeiten stehen gleich deutlich da — Handbuch B setzt die Vorauswahl bei diesen Anteilen bereits voraus.</t>
  </si>
  <si>
    <t xml:space="preserve">Wert</t>
  </si>
  <si>
    <t xml:space="preserve">Anteil PRO an den Zahlern</t>
  </si>
  <si>
    <t xml:space="preserve">Handbuch B: 70 % PLUS, 30 % PRO. ENTSCHIEDEN am 26.09.2026 (Nr. 67, Teil 3) nach Nr. 48 und 67: PLUS = Komfort und Inkognito, PRO = alles aus PLUS und dazu Travel — umsehen und schreiben in einer anderen Region (Nr. 77), die Reiseankündigung nur, wenn Nr. 85 so entschieden wird. Ob dann noch 30 % die teurere Stufe wählen, ist die unsicherste Zahl dieses Blocks — Wirkung in der Tabelle ab Zeile 54. — NACHGERECHNET 26.09.2026: 20 % statt 30 % kosten 4.673 € Firmenbedarf und 9.873 € Gesamtbedarf, Break-even Monat 30; 15 % kosten 7.558 € bzw. 15.358 €, Break-even Monat 31. Der PRO-Anteil ist ab dem Monetarisierungsstart beobachtete Kennzahl; zwei Monate unter 20 % lösen eine Neubewertung des Zuschnitts aus (nicht eine Preissenkung).</t>
  </si>
  <si>
    <t xml:space="preserve">Umsatzsteuer</t>
  </si>
  <si>
    <t xml:space="preserve">Handbuch B: Die Kleinunternehmerregelung greift bei einer GmbH nicht. Österreich 20 %, Schweiz 8,1 % (Skalierungs-Playbook) — für eine Auslandsstadt hier ändern.</t>
  </si>
  <si>
    <t xml:space="preserve">Provision der Stores</t>
  </si>
  <si>
    <t xml:space="preserve">Handbuch B: 15 % mit dem Small-Business-Programm (muss beantragt werden), sonst 30 %. Sonderbedingungen in der EU nach dem Digital Markets Act sind nicht eingerechnet.</t>
  </si>
  <si>
    <t xml:space="preserve">Web-Zahlungsdienst, prozentualer Teil</t>
  </si>
  <si>
    <t xml:space="preserve">A-53: Mollie (Amsterdam, lizenziert bei der niederländischen Zentralbank), 1,80 % + 0,25 € je Zahlung mit EWR-Karte, keine Monatsgebühr — abgerufen 20.09.2026. Welcher Dienst es wird, ist noch offen (eu-alternativen-stack.md, Punkt 6).</t>
  </si>
  <si>
    <t xml:space="preserve">Web-Zahlungsdienst, fester Teil je Zahlung</t>
  </si>
  <si>
    <t xml:space="preserve">A-53, wie oben</t>
  </si>
  <si>
    <t xml:space="preserve">Anteil der Zahlungen über das Web</t>
  </si>
  <si>
    <t xml:space="preserve">ANNAHME A-52. Handbuch B: 40 %. Höher angesetzt, weil die Web-Fassung zuerst und vollständig erscheint (A-51), Codes nur auf der Webseite eingelöst werden (Nr. 60) und Apple Käufe über das Web in der App anerkennt, sofern sie dort auch als In-App-Kauf angeboten werden (Richtlinie 3.1.3(b), geprüft 21.09.2026). Handbuch B nennt die Verschiebung zum Web ausdrücklich als Hebel.</t>
  </si>
  <si>
    <t xml:space="preserve">Ergebnis der Kette</t>
  </si>
  <si>
    <t xml:space="preserve">je Zahler und Monat</t>
  </si>
  <si>
    <t xml:space="preserve">Probe und Herkunft</t>
  </si>
  <si>
    <t xml:space="preserve">Gemischter Monatswert PLUS</t>
  </si>
  <si>
    <t xml:space="preserve">über alle Laufzeiten gewichtet</t>
  </si>
  <si>
    <t xml:space="preserve">Gemischter Monatswert PRO</t>
  </si>
  <si>
    <t xml:space="preserve">Gemischter Bruttopreis</t>
  </si>
  <si>
    <t xml:space="preserve">Handbuch B: 9,82 €</t>
  </si>
  <si>
    <t xml:space="preserve">nach Umsatzsteuer</t>
  </si>
  <si>
    <t xml:space="preserve">Handbuch B: 8,25 €</t>
  </si>
  <si>
    <t xml:space="preserve">Zahlungsvorgänge je Zahler und Monat</t>
  </si>
  <si>
    <t xml:space="preserve">Ein Monatsabo zahlt jeden Monat, ein Jahresabo einmal im Jahr. Wichtig für den festen Teil der Web-Gebühr.</t>
  </si>
  <si>
    <t xml:space="preserve">Gebühr des Web-Zahlungsdienstes</t>
  </si>
  <si>
    <t xml:space="preserve">prozentualer Teil auf den Bruttopreis plus fester Teil je Zahlungsvorgang. Handbuch B rechnete pauschal mit rund 4 %.</t>
  </si>
  <si>
    <t xml:space="preserve">Nettoerlös bei Zahlung über das Web</t>
  </si>
  <si>
    <t xml:space="preserve">Handbuch B: 7,93 €</t>
  </si>
  <si>
    <t xml:space="preserve">Nettoerlös bei Zahlung über einen Store</t>
  </si>
  <si>
    <t xml:space="preserve">Handbuch B: 7,01 €</t>
  </si>
  <si>
    <t xml:space="preserve">NETTOERLÖS JE ZAHLER UND MONAT</t>
  </si>
  <si>
    <t xml:space="preserve">geht in Zeile 26 und damit in alle drei Szenarien</t>
  </si>
  <si>
    <t xml:space="preserve">Probe: dieselbe Kette mit den Werten aus Handbuch B (30 % PRO, 40 % Web)</t>
  </si>
  <si>
    <t xml:space="preserve">muss 7,38 € ergeben</t>
  </si>
  <si>
    <t xml:space="preserve">Nettoerlös je Zahler — Anteil PRO (Zeile) gegen Anteil Web (Spalte)</t>
  </si>
  <si>
    <t xml:space="preserve">Lesehilfe</t>
  </si>
  <si>
    <t xml:space="preserve">Jede Zelle ist die vollständige Kette mit anderem Stufenanteil und Web-Anteil; grün ist die Voreinstellung. Zehn Prozentpunkte weniger PRO kosten rund 0,53 € je Zahler, zwanzig Punkte mehr Web bringen rund 0,18 €. Die Stufenfrage wiegt also rund dreimal so schwer wie der Zahlungsweg — und sie ist die unsicherere. Im Kapitalbedarf der Firma (realistisch): 20 % PRO statt 30 % kosten rund 4.700 €, 10 % PRO rund 10.900 €.</t>
  </si>
  <si>
    <t xml:space="preserve">3 · Weitere Erlösquellen — nach Nr. 65, 74 und 78 neu geschnitten</t>
  </si>
  <si>
    <t xml:space="preserve">Werkzeugabo für Orte und Veranstalter — Startmonat</t>
  </si>
  <si>
    <t xml:space="preserve">ANNAHME A-52: ab dem zweiten Jahr (Veranstaltungskonzept, Abschnitt 5a). Ersetzt die Ortspartnerschaften aus Handbuch B, die Hervorhebung und Vorabplatzierung verkauften — nach Nr. 65 ausgeschlossen. BESTÄTIGT 26.09.2026 (Nr. 87): Business-Konten kosten ab dem zweiten Jahr Geld; was ein zahlendes Konto einträgt, gilt als bezahlt und wird gekennzeichnet (§ 5a Abs. 4 UWG, Art. 26 DSA). Kostenloses Eintragen durch uns bleibt möglich — das Abo kauft Werkzeuge, nicht Sichtbarkeit (Nr. 96, W-31).</t>
  </si>
  <si>
    <t xml:space="preserve">Werkzeugabo — MAU-Schwelle</t>
  </si>
  <si>
    <t xml:space="preserve">Handbuch B: Premiumstufen ab 8.000 MAU — als Vorsicht übernommen. Werkzeug lohnt sich für Veranstalter erst, wenn über Cruizy genug Menschen kommen.</t>
  </si>
  <si>
    <t xml:space="preserve">Werkzeugabo — zahlende Konten je Stadt</t>
  </si>
  <si>
    <t xml:space="preserve">ANNAHME A-55 (Veranstaltungskonzept 5a). Handbuch B rechnete im Reifezustand mit rund zehn Partnern je Stadt — für Sichtbarkeit, nicht für Werkzeug.</t>
  </si>
  <si>
    <t xml:space="preserve">Werkzeugabo — Preis je Konto und Monat, netto</t>
  </si>
  <si>
    <t xml:space="preserve">ANNAHME A-55: 19 bis 39 € im Monat, hier die Mitte. Einlass per Code, Serien, Kontingente, anonyme Summen, mehrere Verantwortliche. Die Grundfunktionen bleiben kostenlos.</t>
  </si>
  <si>
    <t xml:space="preserve">Ticketanteil — Startmonat</t>
  </si>
  <si>
    <t xml:space="preserve">ANNAHME A-52: zweites Jahr (Veranstaltungskonzept 5a). Handbuch B: Monat 18.</t>
  </si>
  <si>
    <t xml:space="preserve">Ticketanteil — MAU-Schwelle</t>
  </si>
  <si>
    <t xml:space="preserve">Handbuch B: Auslöser 20.000 MAU — als Vorsicht übernommen. Ein Anteil fließt nur, wenn über Cruizy tatsächlich Tickets verkauft werden, und das braucht Reichweite.</t>
  </si>
  <si>
    <t xml:space="preserve">Ticketanteil — Veranstaltungen mit Ticket je Stadt und Monat</t>
  </si>
  <si>
    <t xml:space="preserve">ANNAHME A-55. Handbuch B: 40 Ereignisse im Monat, davon 30 % mit Ticketverkauf, also 12.</t>
  </si>
  <si>
    <t xml:space="preserve">Ticketanteil — Tickets je Veranstaltung</t>
  </si>
  <si>
    <t xml:space="preserve">Handbuch B und A-55: 80</t>
  </si>
  <si>
    <t xml:space="preserve">Ticketanteil — Ticketpreis, brutto</t>
  </si>
  <si>
    <t xml:space="preserve">Handbuch B und A-55: 12 €</t>
  </si>
  <si>
    <t xml:space="preserve">Ticketanteil — Anteil für Cruizy</t>
  </si>
  <si>
    <t xml:space="preserve">Vorschlag A-55: 3 %, gedeckelt — unter Eventbrite (5,5 %) und nahe pretix (2,5 %, höchstens 15 € je Ticket), beide abgerufen 21.09.2026. Handbuch B: 6 %. Vereinfacht als Nettoerlös gerechnet. Auflage aus Handbuch B: nicht selbst abwickeln (Anwaltsfrage V12).</t>
  </si>
  <si>
    <t xml:space="preserve">Unterstützer — Startmonat</t>
  </si>
  <si>
    <t xml:space="preserve">Handbuch B: Auslöser Monat 14. Nr. 67: jederzeit möglich, schaltet nichts frei; Codes nach Nr. 60 für Unterstützer ab einem Betrag (Codesystem, Art U). ENTSCHIEDEN 26.09.2026 (Nr. 67): frei wählbarer Betrag ab 3 €, OHNE Abzeichen und ohne Listeneintrag (Handbuch B: 5 € mit Abzeichen). Abweichung bewusst — ein Abzeichen ist gekaufte Sichtbarkeit in klein (Nr. 65).</t>
  </si>
  <si>
    <t xml:space="preserve">Unterstützer — € je MAU und Monat</t>
  </si>
  <si>
    <t xml:space="preserve">ABGELEITET: 600 € bei 40.000 MAU NACHGERECHNET 26.09.2026: 0,010 € kosten 1.565 € Gesamtbedarf, 0,008 € kosten 4.836 € und einen Monat Break-even. Der Verzicht auf das Abzeichen ist damit wirtschaftlich billig.</t>
  </si>
  <si>
    <t xml:space="preserve">Gesundheit — Startmonat</t>
  </si>
  <si>
    <t xml:space="preserve">Handbuch B: Auslöser Monat 20</t>
  </si>
  <si>
    <t xml:space="preserve">Gesundheit — € je Stadt und Monat</t>
  </si>
  <si>
    <t xml:space="preserve">ABGELEITET: 800 € bei 3 Städten</t>
  </si>
  <si>
    <t xml:space="preserve">NICHT ANGESETZT — mit Absicht: Werbung (Nr. 78: keine), bezahlte Hervorhebung von Orten oder Veranstaltungen (Nr. 65: keine), Kontingente der Veranstalter (sie bringen Plätze, kein Geld) und ihr freiwilliger Zuschuss (nicht schätzbar), Crowdfunding (Finanzierung, kein Erlös — Blatt „Finanzierungswege“). Handbuch B rechnete an dieser Stelle im Reifezustand mit 1.600 € Ortspartnerschaften und 2.100 € Ticketing im Monat. Was davon nach Nr. 65 und A-55 bleibt, steht auf dem Blatt „Herkunft &amp; Widersprüche“, Abschnitt 5.</t>
  </si>
  <si>
    <t xml:space="preserve">4 · Kostenstaffel nach Nutzerzahl (Handbuch B, monatlich)</t>
  </si>
  <si>
    <t xml:space="preserve">Position</t>
  </si>
  <si>
    <t xml:space="preserve">0 MAU</t>
  </si>
  <si>
    <t xml:space="preserve">5.000</t>
  </si>
  <si>
    <t xml:space="preserve">12.000</t>
  </si>
  <si>
    <t xml:space="preserve">20.000</t>
  </si>
  <si>
    <t xml:space="preserve">50.000 MAU</t>
  </si>
  <si>
    <t xml:space="preserve">MAU-Stützstelle</t>
  </si>
  <si>
    <t xml:space="preserve">Externer Datenschutzbeauftragter</t>
  </si>
  <si>
    <t xml:space="preserve">Jugendschutzbeauftragter</t>
  </si>
  <si>
    <t xml:space="preserve">Rechtsberatung, Rückstellung</t>
  </si>
  <si>
    <t xml:space="preserve">Cyber- und Betriebshaftpflicht</t>
  </si>
  <si>
    <t xml:space="preserve">Buchhaltung, Steuerberatung</t>
  </si>
  <si>
    <t xml:space="preserve">Hash-Abgleich, Moderations-KI</t>
  </si>
  <si>
    <t xml:space="preserve">Hosting, Infrastruktur</t>
  </si>
  <si>
    <t xml:space="preserve">Werkzeuge, Entwicklerzugänge</t>
  </si>
  <si>
    <t xml:space="preserve">KI-Werkzeuge Entwicklung</t>
  </si>
  <si>
    <t xml:space="preserve">Zahlungsabwicklung, Grundgebühren</t>
  </si>
  <si>
    <t xml:space="preserve">Altersprüfung (nur Vergleichswert — wird gerechnet)</t>
  </si>
  <si>
    <t xml:space="preserve">Moderationskraft Teilzeit, ab 15.000 MAU</t>
  </si>
  <si>
    <t xml:space="preserve">Marketing: Druck, Material, Reise, Werkzeuge</t>
  </si>
  <si>
    <t xml:space="preserve">Block Pflichtpositionen (nicht kürzbar)</t>
  </si>
  <si>
    <t xml:space="preserve">Block Betrieb (ohne Altersprüfung)</t>
  </si>
  <si>
    <t xml:space="preserve">Block Personal (Moderation)</t>
  </si>
  <si>
    <t xml:space="preserve">Block Marketing (Barmittel)</t>
  </si>
  <si>
    <t xml:space="preserve">Spaltensumme aller Positionen</t>
  </si>
  <si>
    <t xml:space="preserve">Handbuch B nennt als Spaltensumme</t>
  </si>
  <si>
    <t xml:space="preserve">Differenz (Spaltensumme minus Handbuch B)</t>
  </si>
  <si>
    <t xml:space="preserve">WIDERSPRUCH 1 IN HANDBUCH B: Vier der fünf Spalten summieren sich exakt auf die genannte Summe. Die Spalte „50.000 MAU" nicht — dort fehlen 1.400 €. Die naheliegende Erklärung: Bei 50.000 MAU ist eine einzelne Moderationskraft in Teilzeit nicht mehr plausibel (A-37 rechnet bei 40.000 MAU mit 37–73 Bildern täglich in der menschlichen Warteschlange). Mit 4.800 € statt 3.400 € für Moderation ginge die Rechnung auf. Dieses Modell rechnet mit den EINZELPOSITIONEN, nicht mit der genannten Summe — wer der anderen Lesart folgen will, trägt oben 4.800 € ein und sieht die Wirkung sofort.</t>
  </si>
  <si>
    <t xml:space="preserve">5 · Altersprüfung — der teuerste Schalter im Modell</t>
  </si>
  <si>
    <t xml:space="preserve">Weg</t>
  </si>
  <si>
    <t xml:space="preserve">Preis je Prüfung</t>
  </si>
  <si>
    <t xml:space="preserve">Herkunft und Belastbarkeit</t>
  </si>
  <si>
    <t xml:space="preserve">Stufe 1 — Altersschätzung für alle Nutzer</t>
  </si>
  <si>
    <t xml:space="preserve">ABGELEITET aus der Staffelzeile „Altersprüfung" in Handbuch B ÷ Neuregistrierungen ⇒ 0,22 €. Bemerkenswert nah an der einzigen öffentlichen Preisangabe aus A-07 (Didit: 0,20 $ White-Label-Verifizierung, Marketingangabe).</t>
  </si>
  <si>
    <t xml:space="preserve">Stufe 2, Weg A — EUDI-Wallet, in Deutschland „d-you“ (ab 02.01.2027)</t>
  </si>
  <si>
    <t xml:space="preserve">SCHÄTZUNG. Die staatliche Brieftasche ist ab 02.01.2027 für alle in Deutschland kostenlos verfügbar und enthält einen Altersnachweis; der Dienst erfährt nur „Altersgrenze erfüllt“ (A-53). Zum geplanten Start (Nr. 45) ist sie rund zweieinhalb Jahre im Feld. KEIN öffentlicher Preis bekannt — Schätzung.</t>
  </si>
  <si>
    <t xml:space="preserve">Stufe 2, Weg B — eID des Personalausweises</t>
  </si>
  <si>
    <t xml:space="preserve">SCHÄTZUNG. Das AVS-Raster der KJM nennt die eID-Funktion ausdrücklich als zulässigen Weg der persönlichen Identifizierung. Branchenaussagen: vollautomatisiert, in Sekunden, „deutlich günstiger als Post- und VideoIdent". Kein öffentlicher Stückpreis auffindbar — im Gespräch mit AusweisIDent zu klären.</t>
  </si>
  <si>
    <t xml:space="preserve">Stufe 2, Weg C — VideoIdent / AutoIdent</t>
  </si>
  <si>
    <t xml:space="preserve">MARKTSPANNE 2–5 €. Belegt: Banken zahlen derzeit rund 7–8 € je VideoIdent-Vorgang, erwartet wird ein Rückgang auf etwa 2 €. In A-07 nennt KEIN Anbieter öffentliche Preise.</t>
  </si>
  <si>
    <t xml:space="preserve">SCHALTER Stufe 2 — 0 = nicht erforderlich · 1 = EUDI-Wallet · 2 = eID · 3 = VideoIdent</t>
  </si>
  <si>
    <t xml:space="preserve">GELBES FELD — hier entscheidet sich mehr Geld als an jeder anderen Stelle des Modells. Voreinstellung 2 (eID), weil das AVS-Raster der KJM diesen Weg ausdrücklich zulässt und er der günstigste heute schon verfügbare ist. Stand 21.09.2026: bleibt auf 2, bis Nr. 40 entschieden ist — nach A-53 dürfte das obere Ende fallen, weil die KJM die Altersschätzung als Identifizierungsmodul anerkennt.</t>
  </si>
  <si>
    <t xml:space="preserve">Anteil der Nutzer, der Stufe 2 überhaupt durchläuft</t>
  </si>
  <si>
    <t xml:space="preserve">ANNAHME. Nach der Zonenarchitektur aus A-37 ist der öffentliche Bereich frei von expliziten Inhalten. Die volle Identifizierung nach AVS-Raster braucht nur, wer den privaten expliziten Bereich betritt. 35 % ist eine Planungsgröße ohne Beleg — bei 100 % rechnet das Modell wie zuvor.</t>
  </si>
  <si>
    <t xml:space="preserve">aktiver Preis Stufe 2 (rechnet sich)</t>
  </si>
  <si>
    <t xml:space="preserve">WARUM DIESER BLOCK SO AUSSIEHT: Das AVS-Raster der KJM verlangt zwei verbundene Schritte — eine EINMALIGE Identifizierung je Person und danach eine Authentifizierung vor jedem Nutzungsvorgang. Die Authentifizierung ist ein Anmeldevorgang (Passwort, Gerätebindung, zweiter Faktor) und kostet je Nutzung nichts. Kosten entstehen also nur bei echten Neuzugängen — nicht bei Rückkehrern, nicht bei jedem Login. Deshalb steht oben eine Rückkehrerquote.
Das Raster nennt ausdrücklich mehrere zulässige Wege der persönlichen Identifizierung, darunter die eID-Funktion des Personalausweises. Es verlangt NICHT das teuerste Verfahren. Ab dem 02.01.2027 gibt es die staatliche Brieftasche „d-you“ mit Altersnachweis kostenlos für alle in Deutschland — zum geplanten Start (Nr. 45) also seit rund zweieinhalb Jahren. Und nach A-53 (20.09.2026) erkennt die KJM die Altersschätzung per Gesicht als Identifizierungsmodul an. Ob Stufe 2 überhaupt einen teureren Weg braucht, entscheidet Nr. 40; bis dahin rechnet das Modell vorsichtig.</t>
  </si>
  <si>
    <t xml:space="preserve">6 · Einmalkosten — Handbuch B (35.800 € in den Monaten 1–9) und zwei Posten aus den Beschlüssen</t>
  </si>
  <si>
    <t xml:space="preserve">Betrag</t>
  </si>
  <si>
    <t xml:space="preserve">Monat</t>
  </si>
  <si>
    <t xml:space="preserve">Anmerkung</t>
  </si>
  <si>
    <t xml:space="preserve">Notar, Handelsregister, Gesellschaftsvertrag</t>
  </si>
  <si>
    <t xml:space="preserve">Individueller Vertrag mit Vesting und Stichentscheid, nicht Musterprotokoll BESTÄTIGT 26.09.2026 (Teil 6): Die Klausel im Gesellschaftsvertrag wird auf 2.600 € gehoben (GV6, Nr. 29) — unter 10 % des Stammkapitals. Privat vorfinanzierte Prüfkosten nach Nr. 88 (c) gehören NICHT in diese Klausel (Nr. 94). NEU 27.09.2026 (Nr. 97): Die GmbH wird etwa DREI MONATE VOR T0 gegründet, damit sie in der geschlossenen Testphase Verantwortliche nach Art. 4 Nr. 7 DSGVO ist. Das erzeugt rund 1.000 € je Monat an nicht kürzbaren Pflichtpositionen (Zeile 94, Spalte 0 MAU), also etwa 3.000 € VOR Monat 1 — im Modell nicht enthalten, siehe Abschnitt 9.</t>
  </si>
  <si>
    <t xml:space="preserve">Gerätepool, Arbeitsmittel</t>
  </si>
  <si>
    <t xml:space="preserve">Ein älteres Android-Gerät, ein älteres iPhone</t>
  </si>
  <si>
    <t xml:space="preserve">JMStV-Gutachten, Jugendschutzkonzept</t>
  </si>
  <si>
    <t xml:space="preserve">Zuerst. Klärt die geschlossene Benutzergruppe, die alles Weitere bestimmt.</t>
  </si>
  <si>
    <t xml:space="preserve">Marke DPMA (3 Klassen) + EUIPO</t>
  </si>
  <si>
    <t xml:space="preserve">Mit Recherche. Vor der ersten Pressemitteilung.</t>
  </si>
  <si>
    <t xml:space="preserve">Taxonomie-Beratung</t>
  </si>
  <si>
    <t xml:space="preserve">Trans und nichtbinäre Personen, bezahlt</t>
  </si>
  <si>
    <t xml:space="preserve">AGB, Datenschutzerklärung, Einwilligungsarchitektur</t>
  </si>
  <si>
    <t xml:space="preserve">Fachanwalt IT-Recht</t>
  </si>
  <si>
    <t xml:space="preserve">UI-Gestaltung extern, 10 Tage</t>
  </si>
  <si>
    <t xml:space="preserve">Bei einer fotogetriebenen App ist Gestaltung Produktqualität</t>
  </si>
  <si>
    <t xml:space="preserve">Datenschutz-Folgenabschätzung</t>
  </si>
  <si>
    <t xml:space="preserve">Vor Verarbeitungsbeginn, inkl. biometrischer Altersschätzung</t>
  </si>
  <si>
    <t xml:space="preserve">DSA- und DDG-Prüfung</t>
  </si>
  <si>
    <t xml:space="preserve">Kontaktstellen, Meldeverfahren, AGB-Transparenz</t>
  </si>
  <si>
    <t xml:space="preserve">Texterstellung Systemtexte</t>
  </si>
  <si>
    <t xml:space="preserve">Die Formulierungen entscheiden über Annahme ganzer Funktionen</t>
  </si>
  <si>
    <t xml:space="preserve">Penetrationstest</t>
  </si>
  <si>
    <t xml:space="preserve">Schwerpunkt Standort- und Bildarchitektur, vor dem öffentlichen Start</t>
  </si>
  <si>
    <t xml:space="preserve">Barrierefreiheitsprüfung</t>
  </si>
  <si>
    <t xml:space="preserve">Durch Betroffene</t>
  </si>
  <si>
    <t xml:space="preserve">Code-Prüfung, vollständig, beide Plattformen (Nr. 73)</t>
  </si>
  <si>
    <t xml:space="preserve">ANNAHME A-52. Nr. 73: der gesamte Code, nicht die kritischen 20 %. A-46: 120 bis 240 Stunden zu 90 € (Freelancer-Kompass 2026, Median) = 10.800 bis 21.600 € für eine Plattform; A-51: zwei Plattformen 10 bis 20 % mehr = 11.880 bis 25.920 €. Angesetzt: die Mitte. Nicht enthalten: die Nachprüfung der Korrekturen. Monat 1 steht für „vor dem Start“ — das Modell kennt keinen Monat vor T0 (Nr. 88).</t>
  </si>
  <si>
    <t xml:space="preserve">Testgeräte für die zweite Plattform (A-51)</t>
  </si>
  <si>
    <t xml:space="preserve">ANNAHME A-52. A-51: Für zwei Plattformen braucht es je ein älteres und ein neueres Gerät je System; Handbuch B budgetiert zwei ältere (Zeile 117). Dazu ein neueres iPhone und ein neueres Android-Gerät, grob 800 € und 400 € — ohne Preisrecherche, vor dem Kauf prüfen.</t>
  </si>
  <si>
    <t xml:space="preserve">Summe aus Handbuch B</t>
  </si>
  <si>
    <t xml:space="preserve">muss 35.800 € ergeben</t>
  </si>
  <si>
    <t xml:space="preserve">Summe einmalig gesamt</t>
  </si>
  <si>
    <t xml:space="preserve">7 · CSD-Auftritte — zum Start und in den Folgejahren (Nr. 45, 80; Nr. 16)</t>
  </si>
  <si>
    <t xml:space="preserve">CSD zum Start — Betrag</t>
  </si>
  <si>
    <t xml:space="preserve">ANNAHME A-52 nach Nr. 45 und 80 (Stand und Wagen, Mitfahren erwünscht). Bausteine: Stand mit Material 3.500 bis 5.000 € (Handbuch B); Paradewagen 2.500 bis 10.000 € netto, Anmeldung 20 € bis vierstellig, Mitfahrkarten 20 bis 70 € (csd-termine.de, abgerufen 21.09.2026). Pessimistisch: eigener Stand 5.000 + eigener Wagen 6.000 + Anmeldung 1.000 − Mitfahrkarten 2.000. Realistisch: Stand 4.000 + Anteil an einem geteilten Wagen 2.000. Optimistisch: Stand 3.500, Mitfahrt bei einem befreundeten Träger. Nach Nr. 16 nie streichbar.</t>
  </si>
  <si>
    <t xml:space="preserve">CSD zum Start — Monat</t>
  </si>
  <si>
    <t xml:space="preserve">Nr. 45: Der Start liegt in der CSD-Saison. Monat 1 steht auch für Zahlungen kurz davor (Anmeldung, Anzahlung für den Wagen).</t>
  </si>
  <si>
    <t xml:space="preserve">CSD Jahr 2 — Betrag</t>
  </si>
  <si>
    <t xml:space="preserve">Handbuch B: Jahr 2 eine Stadt (4.000 €). Nach Nr. 16 im Notfall streichbar.</t>
  </si>
  <si>
    <t xml:space="preserve">CSD Jahr 2 — Monat</t>
  </si>
  <si>
    <t xml:space="preserve">KORRIGIERT 21.09.2026 (A-52): stand auf Monat 19 mit dem Hinweis „CSD-Saison Juli“. Das stimmte nur, wenn Monat 1 ein Januar wäre. Weil T0 selbst in der CSD-Saison liegt (Nr. 45), fällt die Saison des zweiten Jahres auf Monat 13.</t>
  </si>
  <si>
    <t xml:space="preserve">CSD Jahr 3 — Betrag</t>
  </si>
  <si>
    <t xml:space="preserve">Handbuch B: Jahr 3 zwei Städte (8.000 €). Im pessimistischen Fall nur eine. Nach Nr. 16 im Notfall streichbar.</t>
  </si>
  <si>
    <t xml:space="preserve">CSD Jahr 3 — Monat</t>
  </si>
  <si>
    <t xml:space="preserve">KORRIGIERT 21.09.2026 (A-52): stand auf Monat 31, aus demselben Grund jetzt Monat 25.</t>
  </si>
  <si>
    <t xml:space="preserve">7a · Laufende Kosten aus den Beschlüssen vom September 2026</t>
  </si>
  <si>
    <t xml:space="preserve">Eigene Veranstaltungen je Stadt und Jahr (Nr. 74)</t>
  </si>
  <si>
    <t xml:space="preserve">Veranstaltungskonzept, Abschnitt 5: Stufe 1 monatlich (Gast beim Ort), Stufe 2 vierteljährlich (eigener Raum) — rund 2.000 € im Jahr, dort ausdrücklich als eigene Zeile und nicht im Marketingposten. ANNAHME A-52: je Stadt, weil jede Stadt ihren eigenen Kaltstart hat.</t>
  </si>
  <si>
    <t xml:space="preserve">Eigene Veranstaltungen — Startmonat</t>
  </si>
  <si>
    <t xml:space="preserve">Nr. 74: Stufe 1 frühestens mit dem Kanalstart, also vor T0. Im Modell ab Monat 1.</t>
  </si>
  <si>
    <t xml:space="preserve">SMS — Anteil der Neuregistrierungen mit Mobilnummer</t>
  </si>
  <si>
    <t xml:space="preserve">ANNAHME A-52. Nr. 46 und Z-10: Die Mobilnummer ist ein freiwilliger Anmeldeweg oder ein zweiter Weg zurück ins Konto.</t>
  </si>
  <si>
    <t xml:space="preserve">SMS je Person mit Mobilnummer</t>
  </si>
  <si>
    <t xml:space="preserve">ANNAHME A-52: Anlegen, dazu gelegentlich ein neues Gerät oder eine Wiederherstellung (Z-10). Nie für Werbung. Check-in-Nachrichten sind selten und hier nicht eigens gerechnet.</t>
  </si>
  <si>
    <t xml:space="preserve">Preis je SMS, netto</t>
  </si>
  <si>
    <t xml:space="preserve">Sweego (Frankreich): SMS nach Deutschland 0,078 € zuzüglich Steuer, keine Grundgebühr — abgerufen 21.09.2026 (Z-10). Für die GmbH ist die Steuer abziehbar.</t>
  </si>
  <si>
    <t xml:space="preserve">8 · Kapitalbedarf und Privatkosten</t>
  </si>
  <si>
    <t xml:space="preserve">Rücklage Rechtsvorfall</t>
  </si>
  <si>
    <t xml:space="preserve">Handbuch B, Kapitalbedarf</t>
  </si>
  <si>
    <t xml:space="preserve">Sicherheitspuffer auf den Tiefpunkt</t>
  </si>
  <si>
    <t xml:space="preserve">Krankenversicherung je Gründer und Monat</t>
  </si>
  <si>
    <t xml:space="preserve">Handbuch B: rund 200 € je Person, außerhalb der Firma. Vor Gründung mit der Kasse klären.</t>
  </si>
  <si>
    <t xml:space="preserve">Anzahl Gründer</t>
  </si>
  <si>
    <t xml:space="preserve">Henry Luca Kurz, Nicolas Greulich</t>
  </si>
  <si>
    <t xml:space="preserve">Lebenshaltung je Gründer und Monat</t>
  </si>
  <si>
    <t xml:space="preserve">ANNAHME. Seit A-52 hier statt auf dem Blatt „Finanzierungswege“. 1.100 € entspricht dem Gründungsstipendium Niedersachsen, das genau dafür gedacht ist. Handbuch B: „nicht beziffert“. Nach Nr. 38 gehört die Zahl in die Gesamtsicht (Blatt „Kennzahlen“, Zeile 20).</t>
  </si>
  <si>
    <t xml:space="preserve">9 · Was beschlossen ist und im Modell noch fehlt (Stand 27.09.2026)</t>
  </si>
  <si>
    <t xml:space="preserve">GRÜNDUNG DREI MONATE VOR T0 (Nr. 97, 27.09.2026): Die GmbH entsteht vor T0, damit sie in der geschlossenen Testphase datenschutzrechtlich Verantwortliche ist und nicht zwei Privatpersonen. Kosten: rund 1.000 € je Monat an Pflichtpositionen (Zeile 94, Spalte 0 MAU), also etwa 3.000 € VOR Monat 1. DAS MODELL BEGINNT MIT MONAT 1 UND ENTHÄLT DIESE 3.000 € NICHT. Bei der nächsten Fortschreibung (R-02) als drei Vormonate einzurechnen; bis dahin benannter Posten außerhalb der Rechnung. Gegenwert: keine persönliche Haftung zweier Menschen für die Datenverarbeitung von 200 Testnutzern.</t>
  </si>
  <si>
    <t xml:space="preserve">HOSTING (27.09.2026): Der Produktionsserver ist hosttech (gemietet, vorhanden); Standort und Auftragsverarbeitungsvertrag sind offen (Nr. 99). Bau, Prüfläufe und Staging laufen auf einem eigenen Server und kosten nichts. Die Werte der Zeile 87 stammen aus Handbuch B und sind vor dem ersten Förderantrag mit einem echten Angebot gegenzurechnen — Hostingpreise sind 2026 gestiegen (Hetzner CCX13 von 19,03 € auf 51,16 € zum 15.06.2026, abgerufen 26.09.2026).</t>
  </si>
  <si>
    <t xml:space="preserve">HASH-ABGLEICH (27.09.2026, Nr. 98): Der Zugang wird später beantragt; gebaut wird ein Steckplatz. Das ändert an den Kosten dieses Modells nichts — in der Kostenstaffel steht der Hash-Abgleich gemeinsam mit der Moderations-KI in Zeile 86 und beginnt dort ohnehin erst ab 5.000 MAU.</t>
  </si>
  <si>
    <t xml:space="preserve">Szenario A — Pessimistisch</t>
  </si>
  <si>
    <t xml:space="preserve">36 Monate ab T0 — dem Start in der CSD-Saison; geplant wird ein Jahr nach dem Bestfall Sommer 2028 (Nr. 45). Alles rechnet sich aus dem Blatt „Annahmen“. Kein Gründergehalt in keinem Monat.</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</si>
  <si>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</si>
  <si>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</si>
  <si>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</si>
  <si>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</si>
  <si>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</si>
  <si>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</si>
  <si>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</si>
  <si>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</si>
  <si>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</si>
  <si>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</si>
  <si>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</si>
  <si>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</si>
  <si>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</si>
  <si>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</si>
  <si>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</si>
  <si>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</si>
  <si>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</si>
  <si>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</si>
  <si>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M19</t>
  </si>
  <si>
    <t xml:space="preserve">M20</t>
  </si>
  <si>
    <t xml:space="preserve">M21</t>
  </si>
  <si>
    <t xml:space="preserve">M22</t>
  </si>
  <si>
    <t xml:space="preserve">M23</t>
  </si>
  <si>
    <t xml:space="preserve">M24</t>
  </si>
  <si>
    <t xml:space="preserve">M25</t>
  </si>
  <si>
    <t xml:space="preserve">M26</t>
  </si>
  <si>
    <t xml:space="preserve">M27</t>
  </si>
  <si>
    <t xml:space="preserve">M28</t>
  </si>
  <si>
    <t xml:space="preserve">M29</t>
  </si>
  <si>
    <t xml:space="preserve">M30</t>
  </si>
  <si>
    <t xml:space="preserve">M31</t>
  </si>
  <si>
    <t xml:space="preserve">M32</t>
  </si>
  <si>
    <t xml:space="preserve">M33</t>
  </si>
  <si>
    <t xml:space="preserve">M34</t>
  </si>
  <si>
    <t xml:space="preserve">M35</t>
  </si>
  <si>
    <t xml:space="preserve">M36</t>
  </si>
  <si>
    <t xml:space="preserve">Jahr</t>
  </si>
  <si>
    <t xml:space="preserve">Aktive Nutzer im Monat (MAU)</t>
  </si>
  <si>
    <t xml:space="preserve">Städte</t>
  </si>
  <si>
    <t xml:space="preserve">Neuregistrierungen (Treiber der Prüfkosten)</t>
  </si>
  <si>
    <t xml:space="preserve">Konversion zu Zahlern</t>
  </si>
  <si>
    <t xml:space="preserve">Zahlende Nutzer</t>
  </si>
  <si>
    <t xml:space="preserve">Staffel-Stützstelle (Hilfsgröße)</t>
  </si>
  <si>
    <t xml:space="preserve">ERLÖSE — fünf Quellen (Handbuch B, nach Nr. 65 und 74 neu geschnitten)</t>
  </si>
  <si>
    <t xml:space="preserve">Abonnements</t>
  </si>
  <si>
    <t xml:space="preserve">Werkzeugabo für Orte und Veranstalter</t>
  </si>
  <si>
    <t xml:space="preserve">Veranstaltungen: Anteil an Tickets</t>
  </si>
  <si>
    <t xml:space="preserve">Unterstützerbeiträge</t>
  </si>
  <si>
    <t xml:space="preserve">Gesundheitspartnerschaft</t>
  </si>
  <si>
    <t xml:space="preserve">Erlöse gesamt</t>
  </si>
  <si>
    <t xml:space="preserve">KOSTEN</t>
  </si>
  <si>
    <t xml:space="preserve">Pflichtpositionen (nicht kürzbar)</t>
  </si>
  <si>
    <t xml:space="preserve">Betrieb (ohne Altersprüfung)</t>
  </si>
  <si>
    <t xml:space="preserve">Altersprüfung (Stufe 1 + Stufe 2)  ⟵ Schalter</t>
  </si>
  <si>
    <t xml:space="preserve">SMS-Versand (Z-10)</t>
  </si>
  <si>
    <t xml:space="preserve">Personal: Moderation</t>
  </si>
  <si>
    <t xml:space="preserve">Marketing (Barmittel)</t>
  </si>
  <si>
    <t xml:space="preserve">Eigene Veranstaltungen (Nr. 74)</t>
  </si>
  <si>
    <t xml:space="preserve">CSD-Auftritte (zum Start und Folgejahre)</t>
  </si>
  <si>
    <t xml:space="preserve">Einmalkosten</t>
  </si>
  <si>
    <t xml:space="preserve">Kosten gesamt</t>
  </si>
  <si>
    <t xml:space="preserve">Ergebnis je Monat</t>
  </si>
  <si>
    <t xml:space="preserve">Kumulierte Liquidität</t>
  </si>
  <si>
    <t xml:space="preserve">nachrichtlich: Krankenversicherung privat, kumuliert</t>
  </si>
  <si>
    <t xml:space="preserve">nachrichtlich: Lebenshaltung beider Gründer, kumuliert</t>
  </si>
  <si>
    <t xml:space="preserve">Jahressummen (rechnen sich)</t>
  </si>
  <si>
    <t xml:space="preserve">Jahr 1</t>
  </si>
  <si>
    <t xml:space="preserve">Jahr 2</t>
  </si>
  <si>
    <t xml:space="preserve">Jahr 3</t>
  </si>
  <si>
    <t xml:space="preserve">36 Monate</t>
  </si>
  <si>
    <t xml:space="preserve">MAU im Jahresmittel</t>
  </si>
  <si>
    <t xml:space="preserve">Zahlende Nutzer im Mittel</t>
  </si>
  <si>
    <t xml:space="preserve">Ergebnis</t>
  </si>
  <si>
    <t xml:space="preserve">Szenario B — Realistisch</t>
  </si>
  <si>
    <t xml:space="preserve">Szenario C — Optimistisch</t>
  </si>
  <si>
    <t xml:space="preserve">Kennzahlen und Abgleich gegen Handbuch B</t>
  </si>
  <si>
    <t xml:space="preserve">Alles auf diesem Blatt rechnet sich. Die Abweichungsspalten sind die Selbstkontrolle des Modells.</t>
  </si>
  <si>
    <t xml:space="preserve">1 · Die drei Zahlen, auf die es ankommt</t>
  </si>
  <si>
    <t xml:space="preserve">Kennzahl</t>
  </si>
  <si>
    <t xml:space="preserve">Tiefpunkt der Liquiditätskurve</t>
  </si>
  <si>
    <t xml:space="preserve">Der tiefste Punkt der kumulierten Kasse. Diese Summe muss finanziert sein, bevor überhaupt etwas zurückfließt.</t>
  </si>
  <si>
    <t xml:space="preserve">… erreicht in Monat</t>
  </si>
  <si>
    <t xml:space="preserve">gezählt ab T0 — dem Start in der CSD-Saison (Nr. 45)</t>
  </si>
  <si>
    <t xml:space="preserve">Break-even (erster Monat mit positivem Monatsergebnis)</t>
  </si>
  <si>
    <t xml:space="preserve">0 bedeutet: kein Break-even innerhalb von 36 Monaten. Gemeint ist das MONATSergebnis, nicht der Ausgleich der aufgelaufenen Verluste.</t>
  </si>
  <si>
    <t xml:space="preserve">Monat, in dem die aufgelaufenen Verluste ausgeglichen sind</t>
  </si>
  <si>
    <t xml:space="preserve">Die härtere Kennzahl. Bis dahin ist jeder Euro Fremdgeld noch im Spiel.</t>
  </si>
  <si>
    <t xml:space="preserve">2 · Kapitalbedarf</t>
  </si>
  <si>
    <t xml:space="preserve">Finanzierungsbedarf am Tiefpunkt</t>
  </si>
  <si>
    <t xml:space="preserve">Betrag ohne Vorzeichen</t>
  </si>
  <si>
    <t xml:space="preserve">Handbuch B</t>
  </si>
  <si>
    <t xml:space="preserve">Sicherheitspuffer</t>
  </si>
  <si>
    <t xml:space="preserve">KAPITALBEDARF DER FIRMA</t>
  </si>
  <si>
    <t xml:space="preserve">Die Zahl, die in einen Businessplan gehört.</t>
  </si>
  <si>
    <t xml:space="preserve">nachrichtlich: Krankenversicherung beider Gründer bis Break-even</t>
  </si>
  <si>
    <t xml:space="preserve">Fällt PRIVAT an, nicht in der Firma — steht deshalb in keiner Kostentabelle und muss trotzdem bezahlt werden.</t>
  </si>
  <si>
    <t xml:space="preserve">Kapitalbedarf einschließlich privater Krankenversicherung</t>
  </si>
  <si>
    <t xml:space="preserve">Firmenbedarf plus Krankenversicherung. Die Lebenshaltung folgt in der nächsten Zeile.</t>
  </si>
  <si>
    <t xml:space="preserve">nachrichtlich: Lebenshaltung beider Gründer bis Break-even</t>
  </si>
  <si>
    <t xml:space="preserve">Fällt PRIVAT an. ANNAHME 1.100 € je Person und Monat (Blatt „Annahmen“, Zeile 156), bis zum ersten Monat mit positivem Ergebnis — danach kann die Firma zumindest einen Teil tragen.</t>
  </si>
  <si>
    <t xml:space="preserve">GESAMTBEDARF — Firma, Krankenversicherung und Lebenshaltung (Nr. 38)</t>
  </si>
  <si>
    <t xml:space="preserve">Die Zahl, gegen die seit dem 19.09.2026 geplant wird (Nr. 38): der Bedarf der Firma und der beiden Menschen, die sie tragen. Gleich der Gesamtlücke auf dem Blatt „Finanzierungswege“.</t>
  </si>
  <si>
    <t xml:space="preserve">3 · Abgleich gegen Handbuch B — die Selbstkontrolle</t>
  </si>
  <si>
    <t xml:space="preserve">WICHTIG VOR DEM LESEN DER ABWEICHUNGEN — Stand 21.09.2026 (A-52). Die Abweichungen unten haben zwei Ursachen, die man auseinanderhalten muss. ERSTENS der JMStV-Schalter: Er steht auf 2 (eID, 1,00 € je Prüfung), Handbuch B rechnet mit einer reinen Altersschätzung zu rund 0,22 €; das sind im realistischen Fall rund 36.000 € mehr Prüfaufwand über 36 Monate. ZWEITENS die Beschlüsse vom 19. und 21.09.2026, die Handbuch B nicht kennt: Code-Prüfung (Nr. 73), CSD zum Start (Nr. 45, 80), eigene Veranstaltungen (Nr. 74), SMS (Nr. 46), Werkzeugabo und Ticketanteil statt bezahlter Sichtbarkeit (Nr. 65, A-55), die berichtigten CSD-Monate und die neue Erlöskette (Nr. 67, A-53). Zusammen vertiefen sie den Tiefpunkt im realistischen Fall von −82.790 € auf −126.877 €.
DIE RECHENMECHANIK IST DAVON UNBERÜHRT: Mit Schalter 0 und ohne die Beschlussposten lag der Tiefpunkt am 27.07.2026 bei rund −73.500 € gegen die genannten −71.000 €, also 3,6 % Abweichung. Nachgeprüft am 21.09.2026: Nimmt man alle Änderungen aus A-52 wieder heraus, ergibt sich der alte Kapitalbedarf von 107.349 € auf 19 € genau (Rundung der Erlöskette). Die Zeilen zu Nutzern und Zahlern stimmen weiter auf wenige Prozent mit Handbuch B überein; die großen Abweichungen bei Tiefpunkt, Erlösen und Kosten sind Beschlüsse, keine Rechenfehler. Einzelwirkung jedes Beschlusses: Blatt „Herkunft &amp; Widersprüche“, Abschnitt 5.</t>
  </si>
  <si>
    <t xml:space="preserve">Eckwert</t>
  </si>
  <si>
    <t xml:space="preserve">Erklärung, wo die Abweichung über 10 % liegt</t>
  </si>
  <si>
    <t xml:space="preserve">MAU im Jahresmittel, Jahr 1</t>
  </si>
  <si>
    <t xml:space="preserve">   … Handbuch B nennt / Abweichung</t>
  </si>
  <si>
    <t xml:space="preserve">MAU im Jahresmittel, Jahr 2</t>
  </si>
  <si>
    <t xml:space="preserve">MAU im Jahresmittel, Jahr 3</t>
  </si>
  <si>
    <t xml:space="preserve">Zahlende Nutzer im Mittel, Jahr 2</t>
  </si>
  <si>
    <t xml:space="preserve">Zahlende Nutzer im Mittel, Jahr 3</t>
  </si>
  <si>
    <t xml:space="preserve">Seit A-52 in allen drei Fällen deutlich tiefer — Grund sind die Beschlüsse (Kasten oben), nicht die Rechnung. Der Widerspruch in Handbuch B bleibt: Pessimistisch nennt es 105.000 €, obwohl das eigene 36-Monats-Ergebnis nur −90.400 € beträgt; die Differenz entspricht fast genau der privaten Krankenversicherung (14.400 €). Siehe Widerspruch 2.</t>
  </si>
  <si>
    <t xml:space="preserve">Erlöse gesamt über 36 Monate</t>
  </si>
  <si>
    <t xml:space="preserve">Seit A-52: Werkzeugabo und Ticketanteil statt Ortspartnerschaften und Ticketing (Nr. 65, A-55) — deutlich weniger als in Handbuch B; dafür bringt die Erlöskette je Zahler rund 2,4 % mehr (Web-Anteil 60 %). Die Reichweitenschwellen aus Handbuch B (8.000 und 20.000 MAU) gelten weiter, deshalb bleibt der pessimistische Fall nahe am Handbuchwert.</t>
  </si>
  <si>
    <t xml:space="preserve">Kosten gesamt über 36 Monate</t>
  </si>
  <si>
    <t xml:space="preserve">Das Modell rechnet Position für Position aus der Kostenstaffel. Handbuch B nennt in den Szenariotabellen abweichende Summen (Widerspruch 3). Seit A-52 kommen hinzu: Code-Prüfung, Testgeräte, CSD zum Start, eigene Veranstaltungen und SMS.</t>
  </si>
  <si>
    <t xml:space="preserve">4 · Was der JMStV-Schalter kostet</t>
  </si>
  <si>
    <t xml:space="preserve">Altersprüfungen über 36 Monate</t>
  </si>
  <si>
    <t xml:space="preserve">entspricht den Neuregistrierungen — jede Registrierung wird genau einmal geprüft</t>
  </si>
  <si>
    <t xml:space="preserve">davon Stufe 2 (volle Identifizierung nach AVS-Raster)</t>
  </si>
  <si>
    <t xml:space="preserve">nur wer den privaten expliziten Bereich betritt — Anteil im Blatt „Annahmen“ einstellbar</t>
  </si>
  <si>
    <t xml:space="preserve">Prüfkosten gesamt bei der aktuellen Schalterstellung</t>
  </si>
  <si>
    <t xml:space="preserve">Stufe 1 für alle plus Stufe 2 für den eingestellten Anteil</t>
  </si>
  <si>
    <t xml:space="preserve">Vergleich der vier Wege — Prüfkosten über 36 Monate, realistisches Szenario</t>
  </si>
  <si>
    <t xml:space="preserve">Weg für Stufe 2</t>
  </si>
  <si>
    <t xml:space="preserve">Prüfkosten über 36 Monate</t>
  </si>
  <si>
    <t xml:space="preserve">Kapitalbedarf der Firma (realistisch) — NÄHERUNG, siehe Zeile 54</t>
  </si>
  <si>
    <t xml:space="preserve">Einordnung</t>
  </si>
  <si>
    <t xml:space="preserve">0 — nicht erforderlich (Rechtsfrage fällt zu unseren Gunsten aus)</t>
  </si>
  <si>
    <t xml:space="preserve">0</t>
  </si>
  <si>
    <t xml:space="preserve">Nur Stufe 1 für alle. Die günstigste Möglichkeit, und sie hängt an einer einzigen Rechtsfrage: Gilt § 4 Abs. 2 JMStV auch für den beidseitig freigegebenen privaten Austausch zwischen zwei erwachsenen Nutzern, oder nur für das, was der Anbieter selbst zugänglich macht? Gehört als erste Frage in den Anwaltstermin.</t>
  </si>
  <si>
    <t xml:space="preserve">1 — EUDI-Wallet („d-you“)</t>
  </si>
  <si>
    <t xml:space="preserve">Ab 02.01.2027 kostenlos für alle in Deutschland, mit Altersnachweis; der Dienst erfährt nur „Altersgrenze erfüllt“ (A-53). Zum geplanten Start (Nr. 45) rund zweieinhalb Jahre im Feld. Der Preis ist geschätzt; die Richtung ist belegt.</t>
  </si>
  <si>
    <t xml:space="preserve">2 — eID des Personalausweises</t>
  </si>
  <si>
    <t xml:space="preserve">Vom AVS-Raster der KJM ausdrücklich als Weg der persönlichen Identifizierung genannt. Vollautomatisch, in Sekunden, ohne Videokonferenz. VOREINGESTELLT.</t>
  </si>
  <si>
    <t xml:space="preserve">3 — VideoIdent / AutoIdent</t>
  </si>
  <si>
    <t xml:space="preserve">Der teuerste Weg. Belegt: Banken zahlen derzeit 7–8 € je Vorgang, erwartet wird ein Rückgang auf etwa 2 €. Nur nötig, wenn Anwalt oder KJM die günstigeren Wege ausschließen.</t>
  </si>
  <si>
    <t xml:space="preserve">NACHRECHNUNG 21.09.2026 (A-52) — ersetzt die vom 16.09.2026 (A-39): Die Spalte „Kapitalbedarf der Firma“ oben ist eine NÄHERUNG. Sie rechnet die Prüfkosten nur bis zum Tiefpunkt der AKTUELLEN Schalterstellung um; verschiebt ein anderer Weg den Tiefpunkt, weicht sie ab. Vollständig nachgerechnet — Schalter umgestellt, alles neu berechnet, mit allen Beschlüssen vom September: Weg 0 = 143.397 € · Weg 1 = 145.888 € · Weg 2 = 160.253 € · Weg 3 = 245.841 €; erster Monat mit Überschuss 26 · 26 · 28 · keiner innerhalb von 36 Monaten. Stand 16.09.2026 war: 95.258 · 97.003 · 107.349 · 166.548 €. Die Spanne zwischen Weg 0 und Weg 3 wächst auf rund 102.000 €, und mit Weg 3 trägt sich die Firma im realistischen Fall in drei Jahren nicht. Für genaue Werte den Schalter im Blatt „Annahmen“ (Zeile 109) umstellen und oben Zeile 16 ablesen.</t>
  </si>
  <si>
    <t xml:space="preserve">LESEHILFE ZU PUNKT 4: Handbuch B enthält diese Frage überhaupt nicht. Seine Kostenstaffel setzt eine Altersprüfung an, die zurückgerechnet 0,22 € je Vorgang kostet — das ist eine automatisierte Altersschätzung. Zwischen dem teuersten und dem günstigsten der vier Wege liegen im realistischen Szenario rund 126.000 € Prüfkosten über 36 Monate. Vier Dinge entschärfen die Zahl, und alle vier sind belegt: ERSTENS ist die Identifizierung nach dem AVS-Raster EINMALIG je Person — Rückkehrer kosten nichts, nur echte Neuzugänge. ZWEITENS nennt das Raster mehrere zulässige Wege, darunter die eID des Personalausweises; es verlangt nicht das teuerste Verfahren. DRITTENS gibt es die staatliche Brieftasche „d-you“ mit Altersnachweis ab 02.01.2027 kostenlos, rund zweieinhalb Jahre vor dem geplanten Start (Nr. 45). VIERTENS erkennt die KJM nach A-53 die Altersschätzung per Gesicht als Identifizierungsmodul an. Hinzu kommt der Architekturhebel: Nach der Zonenlogik aus A-37 braucht nur die volle Identifizierung, wer den privaten expliziten Bereich betritt.</t>
  </si>
  <si>
    <t xml:space="preserve">5 · Empfindlichkeit — welcher Hebel wie stark wirkt</t>
  </si>
  <si>
    <t xml:space="preserve">Hebel</t>
  </si>
  <si>
    <t xml:space="preserve">Wirkung laut Handbuch B</t>
  </si>
  <si>
    <t xml:space="preserve">Wie man es hier selbst prüft</t>
  </si>
  <si>
    <t xml:space="preserve">Preis 20 % höher</t>
  </si>
  <si>
    <t xml:space="preserve">Break-even zwei Monate früher. Wirkung gering, Risiko für die Positionierung hoch.</t>
  </si>
  <si>
    <t xml:space="preserve">Annahmen, Abschnitt 2a: die acht Preise in den Zeilen 31 bis 34 um 20 % erhöhen. Nachgerechnet 21.09.2026: Break-even in Monat 26 statt 28, Kapitalbedarf der Firma −9.100 € (realistisch) — deckt sich mit Handbuch B.</t>
  </si>
  <si>
    <t xml:space="preserve">Konversion 1,5 statt 2,8 %</t>
  </si>
  <si>
    <t xml:space="preserve">Break-even sieben Monate später, Kapitalbedarf +30.000 €.</t>
  </si>
  <si>
    <t xml:space="preserve">Annahmen, Zeile „Zielkonversion Jahr 3“ senken.</t>
  </si>
  <si>
    <t xml:space="preserve">Nutzerwachstum halbiert</t>
  </si>
  <si>
    <t xml:space="preserve">Break-even zwölf bis fünfzehn Monate später, Kapitalbedarf +60.000 €.</t>
  </si>
  <si>
    <t xml:space="preserve">Annahmen, die drei MAU-Zeilen halbieren.</t>
  </si>
  <si>
    <t xml:space="preserve">Fixkosten 25 % niedriger</t>
  </si>
  <si>
    <t xml:space="preserve">Break-even drei Monate früher — aber die Pflichtpositionen sind nicht kürzbar.</t>
  </si>
  <si>
    <t xml:space="preserve">Annahmen, Kostenstaffel. Der Block „Pflichtpositionen“ ist per Definition nicht kürzbar.</t>
  </si>
  <si>
    <t xml:space="preserve">Altersprüfung im Identverfahren</t>
  </si>
  <si>
    <t xml:space="preserve">in Handbuch B nicht betrachtet</t>
  </si>
  <si>
    <t xml:space="preserve">Annahmen, Zeile 109 (Schalter). Voreingestellt ist 2 (eID). Siehe Punkt 4 — der größte Hebel im Modell: Weg 3 statt 2 kostet rund 85.600 € mehr Kapitalbedarf der Firma.</t>
  </si>
  <si>
    <t xml:space="preserve">Anteil PRO 20 statt 30 %</t>
  </si>
  <si>
    <t xml:space="preserve">in Handbuch B nicht betrachtet — seit Nr. 48 und 67 die unsicherste Erlösannahme</t>
  </si>
  <si>
    <t xml:space="preserve">Annahmen, Zeile 36. Nachgerechnet: Kapitalbedarf der Firma +4.700 €, Break-even Monat 30 statt 28 (realistisch). Bei 10 % PRO: +10.900 €, Monat 32.</t>
  </si>
  <si>
    <t xml:space="preserve">Web-Anteil 40 statt 60 %</t>
  </si>
  <si>
    <t xml:space="preserve">Handbuch B: die Verschiebung von 40 auf 70 % Web bringt bei 1.000 Abonnenten rund 3.300 € im Jahr</t>
  </si>
  <si>
    <t xml:space="preserve">Annahmen, Zeile 41. Nachgerechnet: +1.400 € Kapitalbedarf; 80 % statt 60 %: −1.300 €. Wirkt über den Nettoerlös je Zahler.</t>
  </si>
  <si>
    <t xml:space="preserve">Code-Prüfung am Rand der Spanne</t>
  </si>
  <si>
    <t xml:space="preserve">in Handbuch B nicht enthalten (Nr. 73)</t>
  </si>
  <si>
    <t xml:space="preserve">Annahmen, Zeile 128. Untergrenze 11.880 €: −8.400 €; Obergrenze 25.920 €: +8.400 € Kapitalbedarf.</t>
  </si>
  <si>
    <t xml:space="preserve">Eigene Veranstaltungen insgesamt statt je Stadt</t>
  </si>
  <si>
    <t xml:space="preserve">in Handbuch B nicht enthalten (Nr. 74)</t>
  </si>
  <si>
    <t xml:space="preserve">Nur über die Formel prüfbar: Zeile 28 der Szenarioblätter ohne den Faktor „Städte“. Nachgerechnet: −3.200 € Kapitalbedarf.</t>
  </si>
  <si>
    <t xml:space="preserve">6 · Wie viele Zahler es braucht (A-52)</t>
  </si>
  <si>
    <t xml:space="preserve">Ausbaustand</t>
  </si>
  <si>
    <t xml:space="preserve">Laufende Kosten je Monat (Staffel)</t>
  </si>
  <si>
    <t xml:space="preserve">Nötige Zahler</t>
  </si>
  <si>
    <t xml:space="preserve">Zahler bei Zielkonversion (realistisch)</t>
  </si>
  <si>
    <t xml:space="preserve">Handbuch B nennt</t>
  </si>
  <si>
    <t xml:space="preserve">—</t>
  </si>
  <si>
    <t xml:space="preserve">„253 Abonnenten decken die Fixkosten“ — bei 7,38 € sind das 1.867 € im Monat. Welche Kosten gemeint sind, sagt Handbuch B nicht; keine Spalte der Staffel ergibt diesen Betrag. Hier deshalb die ganze Staffelsumme je Ausbaustand, geteilt durch den Nettoerlös je Zahler — ohne Einmalkosten, CSD und eigene Veranstaltungen.</t>
  </si>
  <si>
    <t xml:space="preserve">WIE MAN DAS LIEST: Die Zahl der Zahler steigt mit jedem Ausbaustand, weil die Kosten mitwachsen. Entscheidend ist der Abstand zur rechten Spalte: Erst ab rund 12.000 aktiven Nutzern tragen die Abos allein die laufenden Kosten, und bei 20.000 kippt es kurz zurück, weil dort die Moderationskraft beginnt. Die übrigen vier Erlösquellen sind in dieser Tabelle bewusst nicht enthalten — sie sind die Reserve, nicht die Grundlage.</t>
  </si>
  <si>
    <t xml:space="preserve">Sechs Wege, die Lücke zu schließen</t>
  </si>
  <si>
    <t xml:space="preserve">Vorgabe Henry, 27.07.2026. Dieses Blatt EMPFIEHLT NICHTS. Es stellt gegenüber — auch das, was ein Weg mit den Gründern macht. Fortgeschrieben am 26.09.2026 (Nr. 90): Abschnitt 7 nennt die Reserve, auf die die Finanzierungsfolge auslegen muss.</t>
  </si>
  <si>
    <t xml:space="preserve">1 · Die Lücke, um die es geht</t>
  </si>
  <si>
    <t xml:space="preserve">Kapitalbedarf der Firma</t>
  </si>
  <si>
    <t xml:space="preserve">Blatt „Kennzahlen“, Punkt 2</t>
  </si>
  <si>
    <t xml:space="preserve">rechnet sich seit A-52 aus dem Blatt „Annahmen“, Zeile 156 (dort der Stellhebel). 1.100 € entspricht dem Gründungsstipendium Niedersachsen; KfW-Studienkredit deckt höchstens 650 €, EXIST für Studierende 1.000 €.</t>
  </si>
  <si>
    <t xml:space="preserve">Monate ohne Gehalt (bis Break-even)</t>
  </si>
  <si>
    <t xml:space="preserve">rechnet sich aus dem jeweiligen Szenario</t>
  </si>
  <si>
    <t xml:space="preserve">Lebenshaltung beider Gründer bis Break-even</t>
  </si>
  <si>
    <t xml:space="preserve">Diese Zahl fehlt in Handbuch B vollständig — dort steht „nicht beziffert“.</t>
  </si>
  <si>
    <t xml:space="preserve">Krankenversicherung beider Gründer bis Break-even</t>
  </si>
  <si>
    <t xml:space="preserve">Handbuch B, 200 € je Person</t>
  </si>
  <si>
    <t xml:space="preserve">GESAMTLÜCKE (Firma + Leben + Krankenversicherung)</t>
  </si>
  <si>
    <t xml:space="preserve">Das ist die ehrliche Zahl. Handbuch B nennt nur den Firmenteil. — Beschluss Nr. 90 (26.09.2026): Diese Zahl (realistisch) gilt nach außen; der Abstand zum pessimistischen Fall steht als benannte Reserve in Abschnitt 7.</t>
  </si>
  <si>
    <t xml:space="preserve">WARUM DIESE ZEILE WICHTIGER IST ALS ALLES DARÜBER: Handbuch B rechnet den Kapitalbedarf der Firma aus und schreibt bei der Lebenshaltung beider Gründer ausdrücklich „nicht beziffert“. Das war der größte blinde Fleck des Plans. Zwei Menschen können zwei Jahre lang kein Gehalt beziehen — aber sie können nicht zwei Jahre lang nicht essen. Wer nur den Firmenbedarf finanziert, hat rund zwei Drittel des Problems gelöst. Seit dem 19.09.2026 wird gegen die ganze Zahl geplant (Nr. 38); seit A-52 steht sie auch auf dem Blatt „Kennzahlen“, Zeile 20.</t>
  </si>
  <si>
    <t xml:space="preserve">2 · Die sechs Wege im Vergleich</t>
  </si>
  <si>
    <t xml:space="preserve">Was er einbringt</t>
  </si>
  <si>
    <t xml:space="preserve">Wofür er verwendbar ist</t>
  </si>
  <si>
    <t xml:space="preserve">Was er kostet — in Geld</t>
  </si>
  <si>
    <t xml:space="preserve">Was er kostet — an Freiheit</t>
  </si>
  <si>
    <t xml:space="preserve">Was passiert, wenn wir abbrechen</t>
  </si>
  <si>
    <t xml:space="preserve">(a) Ganz ohne Förderung</t>
  </si>
  <si>
    <t xml:space="preserve">Nur Eigenmittel und Erlöse. Nichts von außen.</t>
  </si>
  <si>
    <t xml:space="preserve">alles, ohne Auflagen</t>
  </si>
  <si>
    <t xml:space="preserve">Nichts. Vollständige Entscheidungsfreiheit, keine Berichte, keine Fristen, kein fremder Blick auf die Bücher.</t>
  </si>
  <si>
    <t xml:space="preserve">Nichts bleibt zurück außer der eigenen Zeit. Das ist der einzige Weg ohne Nachspiel — und für viele Gründungen der Grund, ihn trotz allem zu wählen.</t>
  </si>
  <si>
    <t xml:space="preserve">(b) Gründungsstipendium Niedersachsen</t>
  </si>
  <si>
    <t xml:space="preserve">1.100 € je Person und Monat, bis zu 10 Monate. Bei zwei Gründern rund 22.000 €.</t>
  </si>
  <si>
    <t xml:space="preserve">AUSSCHLIESSLICH Lebensunterhalt. Kein Firmenbudget, keine Sachmittel.</t>
  </si>
  <si>
    <t xml:space="preserve">Nichts. Zuschuss, keine Rückzahlung, keine Anteile.</t>
  </si>
  <si>
    <t xml:space="preserve">Wohnsitz UND Unternehmenssitz müssen während der gesamten Förderdauer in Niedersachsen liegen — für jede antragstellende Person. Beide ziehen an den Sitz (Nr. 33 und 37, entschieden 19.09.2026; Sitz Niedersachsen oder NRW nach Förderlage). Antrag vor Vorhabenbeginn, Frist nach heutigem Stand 31.03.2027 — für einen Start 2029 braucht es ein Nachfolgeprogramm (R-01 beobachtet das). Begleitung durch eine niedersächsische Einrichtung nötig. Berichtspflichten.</t>
  </si>
  <si>
    <t xml:space="preserve">Nichts bleibt zurück. Ein Zuschuss, der zweckentsprechend verwendet wurde, wird nicht zurückgefordert. Das ist der entscheidende Unterschied zu jedem Kredit.</t>
  </si>
  <si>
    <t xml:space="preserve">(c) EXIST-Gründungsstipendium</t>
  </si>
  <si>
    <t xml:space="preserve">Für Studierende 1.000 € je Person und Monat, dazu Sachmittel und Coaching-Budget.</t>
  </si>
  <si>
    <t xml:space="preserve">Lebensunterhalt plus Sachmittel — also mehr als (b).</t>
  </si>
  <si>
    <t xml:space="preserve">Nichts. Zuschuss.</t>
  </si>
  <si>
    <t xml:space="preserve">SETZT EINE HOCHSCHULEINSCHREIBUNG VORAUS und verlangt, dass zum Förderbeginn noch KEINE Gesellschaft besteht. Das kollidiert direkt mit dem Beschluss, zu T0 zu gründen (Nr. 34: Weg A oder B bleibt bis 2028 offen). Schließt das Landesstipendium (b) aus — beide finanzieren Lebenshaltung. Antrag über eine Hochschule, mehrmonatiges Verfahren.</t>
  </si>
  <si>
    <t xml:space="preserve">Nichts bleibt zurück. Aber: Die Gründung wurde dafür um ein bis zwei Jahre verschoben. Diese Zeit kommt nicht wieder.</t>
  </si>
  <si>
    <t xml:space="preserve">(d) KfW-Studienkredit</t>
  </si>
  <si>
    <t xml:space="preserve">100 bis 650 € je Person und Monat, höchstens 54.600 € über 14 Semester.</t>
  </si>
  <si>
    <t xml:space="preserve">PRIVATER Lebensunterhalt. Kein Firmengeld. Das Geld gehört der Person, nicht der GmbH.</t>
  </si>
  <si>
    <t xml:space="preserve">6,53 % effektiver Jahreszins, Stand 01.04.2026, variabel auf Basis des Sechs-Monats-Euribor und halbjährlich neu festgesetzt. Bei 650 € über 24 Monate je Person entstehen rund 15.600 € Schuld — plus Zinsen, die während des Studiums bereits laufen.</t>
  </si>
  <si>
    <t xml:space="preserve">Der Zinssatz ist nicht festgeschrieben. Rückzahlung bis zu 25 Jahre, Raten ab 20 € im Monat. Setzt eine Immatrikulation voraus. Wirkt auf die Krankenversicherung und kann auf Stipendienansprüche angerechnet werden — vor der Aufnahme prüfen.</t>
  </si>
  <si>
    <t xml:space="preserve">DIE SCHULD BLEIBT. Vollständig, persönlich, unabhängig davon, ob das Vorhaben je Erlöse hatte. Bei zwei Gründern über 24 Monate sind das rund 31.000 € gemeinsame Privatschuld — bei einem Vorhaben, das an Tor 1 enden kann.</t>
  </si>
  <si>
    <t xml:space="preserve">(e) Eigenkapital der Gründer</t>
  </si>
  <si>
    <t xml:space="preserve">0 bis 100.000 €, je nach Familienlage. Einzelheiten in Abschnitt 3.</t>
  </si>
  <si>
    <t xml:space="preserve">alles — Stammeinlage, Firmenbudget, Lebenshaltung</t>
  </si>
  <si>
    <t xml:space="preserve">Nichts an Zinsen. Aber es ist Geld, das weg sein kann.</t>
  </si>
  <si>
    <t xml:space="preserve">Nichts an Auflagen. Dafür entsteht innerhalb der Familie eine Erwartung, die nirgends steht und trotzdem wirkt. Wer Geld von Eltern nimmt, sollte die Bedingungen aufschreiben — auch und gerade dann, wenn niemand danach fragt.</t>
  </si>
  <si>
    <t xml:space="preserve">Das Geld ist weg. Bei Familienmitteln ist der Verlust nicht nur finanziell. Diese Frage gehört vor die Zusage, nicht danach.</t>
  </si>
  <si>
    <t xml:space="preserve">(f) Business Angel / Pre-Seed</t>
  </si>
  <si>
    <t xml:space="preserve">Nach Marktlage 2026 je Angel 25.000 bis 200.000 €; Runden meist 3 bis 8 Angels, gesamt 50.000 bis 500.000 €.</t>
  </si>
  <si>
    <t xml:space="preserve">alles — aber gebunden an einen Wachstumsplan</t>
  </si>
  <si>
    <t xml:space="preserve">Kein Zins, dafür Anteile: typisch 5 bis 15 % Verwässerung je Angel-Runde. Bei 100.000 € auf eine Frühphasenbewertung wären das grob 10 bis 20 % der Gesellschaft.</t>
  </si>
  <si>
    <t xml:space="preserve">Berichtspflichten, meist quartalsweise. Mitsprache bei größeren Entscheidungen. Vor allem aber: eine Erwartung von Wachstum und irgendwann Ausstieg.</t>
  </si>
  <si>
    <t xml:space="preserve">Der Angel verliert sein Geld — das ist einkalkuliert. Zurück bleibt eine Gesellschafterstruktur, die eine Fortführung in kleinerem Rahmen erschweren kann.</t>
  </si>
  <si>
    <t xml:space="preserve">ZUR EHRLICHKEIT BEI (f): Ein Angel erwartet Wachstum und einen Ausstieg. Cruizy ist so entworfen, dass es Erlöse bewusst begrenzt — kein Werbe-Tracking, kein Datenverkauf, eine Streichliste mit dreizehn dauerhaft abgelehnten Funktionen, Preise glatt statt auf 99 Cent. Das sind keine Übergangsentscheidungen, sondern die Positionierung selbst. Ein Investor, der 10 bis 20 % hält, wird genau diese Punkte irgendwann zur Sprache bringen — nicht aus Bosheit, sondern weil sein Geschäft darin besteht. Handbuch B setzt Angel-Kapital nicht ohne Grund erst ab Monat 24 und nur bei ausdrücklichem Skalierungswunsch an. Wer früher zugreift, verkauft Anteile zum niedrigsten Preis, den das Vorhaben je haben wird — und zugleich die Freiheit, Nein zu sagen.</t>
  </si>
  <si>
    <t xml:space="preserve">3 · Eigenkapitalstufen — was jede Stufe tatsächlich kauft</t>
  </si>
  <si>
    <t xml:space="preserve">Die Verbrennungsrate unten rechnet sich aus dem realistischen Szenario: der Fehlbetrag am Tiefpunkt, geteilt durch die Zahl der Monate bis dorthin, zuzüglich Lebenshaltung und Krankenversicherung beider Gründer. Sie ist die einzige ehrliche Umrechnung von Euro in Zeit — und sie fällt deutlich höher aus als der Firmenbedarf allein vermuten lässt, weil zwei Menschen mitfinanziert werden müssen.</t>
  </si>
  <si>
    <t xml:space="preserve">Monatliche Gesamtverbrennung (realistisch, inkl. Leben)</t>
  </si>
  <si>
    <t xml:space="preserve">Eigenkapital</t>
  </si>
  <si>
    <t xml:space="preserve">Startbahn in Monaten</t>
  </si>
  <si>
    <t xml:space="preserve">Stammeinlage GmbH gedeckt?</t>
  </si>
  <si>
    <t xml:space="preserve">Fremdkapital noch nötig? (realistisch)</t>
  </si>
  <si>
    <t xml:space="preserve">Was sich am persönlichen Risiko ändert</t>
  </si>
  <si>
    <t xml:space="preserve">Praktische Einordnung</t>
  </si>
  <si>
    <t xml:space="preserve">Ohne einen Euro Eigenkapital ist die GmbH nicht gründbar — 12.500 € Mindesteinzahlung sind Gesetz, nicht Verhandlungssache.</t>
  </si>
  <si>
    <t xml:space="preserve">Kein eigenes Geld im Risiko. Dafür hängt alles an Zusagen Dritter, und jede davon kann ausbleiben.</t>
  </si>
  <si>
    <t xml:space="preserve">Rechnerisch kein Start. Realistisch nur denkbar in Verbindung mit (b) oder (c) plus Preisgeldern — und selbst dann sehr eng.</t>
  </si>
  <si>
    <t xml:space="preserve">Ja — 25.000 € decken die volle Stammeinlage, davon 12.500 € sofort einzuzahlen.</t>
  </si>
  <si>
    <t xml:space="preserve">25.000 € im Risiko. Bei Familienmitteln: 25.000 €, die im Zweifel nicht zurückkommen.</t>
  </si>
  <si>
    <t xml:space="preserve">Die Schwelle, ab der eine GmbH überhaupt entsteht. Für den Betrieb bleibt danach fast nichts übrig — die Startbahn ist kurz.</t>
  </si>
  <si>
    <t xml:space="preserve">Ja, mit Reserve.</t>
  </si>
  <si>
    <t xml:space="preserve">Ja, deutlich.</t>
  </si>
  <si>
    <t xml:space="preserve">100.000 € im Risiko — der mit Abstand größte Einzelposten in dieser Übersicht.</t>
  </si>
  <si>
    <t xml:space="preserve">4 · Kombinationen, die sich ausschließen oder aneinander stoßen</t>
  </si>
  <si>
    <t xml:space="preserve">Kombination</t>
  </si>
  <si>
    <t xml:space="preserve">Was kollidiert</t>
  </si>
  <si>
    <t xml:space="preserve">Wo es geregelt ist</t>
  </si>
  <si>
    <t xml:space="preserve">(b) und (c) gleichzeitig</t>
  </si>
  <si>
    <t xml:space="preserve">Landesstipendium und EXIST finanzieren beide den Lebensunterhalt. Doppelbezug ist ausgeschlossen.</t>
  </si>
  <si>
    <t xml:space="preserve">A-10, offene Entscheidung Nr. 34</t>
  </si>
  <si>
    <t xml:space="preserve">(c) und Gründung zu T0</t>
  </si>
  <si>
    <t xml:space="preserve">EXIST verlangt, dass zum Förderbeginn noch keine Gesellschaft besteht. Der Beschluss vom 26.07.2026 sieht die Gründung zu T0 vor.</t>
  </si>
  <si>
    <t xml:space="preserve">offene Entscheidung Nr. 22 gegen Nr. 34</t>
  </si>
  <si>
    <t xml:space="preserve">(b) und der Wohnsitz von Nicolas</t>
  </si>
  <si>
    <t xml:space="preserve">Das Gründungsstipendium verlangt Wohnsitz und Sitz in Niedersachsen — für jede antragstellende Person.</t>
  </si>
  <si>
    <t xml:space="preserve">entschieden 19.09.2026: Beide ziehen an den Sitz (Nr. 33, 37)</t>
  </si>
  <si>
    <t xml:space="preserve">Wettbewerbspreise und Social Impact Award</t>
  </si>
  <si>
    <t xml:space="preserve">Der Social Impact Award schließt Projekte mit externen Zuschüssen über 6.000 € aus. Ein einziger Gewinn bei STARTUP TEENS (10.000 €) überschreitet das.</t>
  </si>
  <si>
    <t xml:space="preserve">A-12, Blatt „Zeitachse &amp; Reihenfolge“</t>
  </si>
  <si>
    <t xml:space="preserve">(d) und (b)</t>
  </si>
  <si>
    <t xml:space="preserve">Ein Studienkredit kann auf Stipendienansprüche angerechnet werden und wirkt auf den Krankenversicherungsstatus. Vor der Aufnahme klären.</t>
  </si>
  <si>
    <t xml:space="preserve">Anwaltsakte B13, offene Entscheidung Nr. 25</t>
  </si>
  <si>
    <t xml:space="preserve">(f) und die Streichliste</t>
  </si>
  <si>
    <t xml:space="preserve">Ein Angel erwartet Wachstum; die Positionierung begrenzt Erlöse bewusst. Das ist kein Rechtsproblem, sondern ein Zielkonflikt.</t>
  </si>
  <si>
    <t xml:space="preserve">Handbuch A, Streichliste · Handbuch B, Kapitalfahrplan</t>
  </si>
  <si>
    <t xml:space="preserve">5 · Weitere Geldquellen jenseits der sechs Wege</t>
  </si>
  <si>
    <t xml:space="preserve">Nachtrag vom 27.07.2026. Diese Quellen stehen weder in Handbuch B noch in A-09 oder A-12. Sie sind kein Ersatz für die sechs Wege oben, sondern Ergänzungen — teils erst nach der Gründung nutzbar, teils vorher.</t>
  </si>
  <si>
    <t xml:space="preserve">Quelle</t>
  </si>
  <si>
    <t xml:space="preserve">Größenordnung</t>
  </si>
  <si>
    <t xml:space="preserve">Konditionen und Voraussetzungen</t>
  </si>
  <si>
    <t xml:space="preserve">Wann nutzbar</t>
  </si>
  <si>
    <t xml:space="preserve">Warum sie hier steht</t>
  </si>
  <si>
    <t xml:space="preserve">Haken</t>
  </si>
  <si>
    <t xml:space="preserve">Mikromezzaninfonds Deutschland</t>
  </si>
  <si>
    <t xml:space="preserve">bis 100.000 €, für Zielgruppen bis 150.000 €</t>
  </si>
  <si>
    <t xml:space="preserve">Stille Beteiligung über die mittelständische Beteiligungsgesellschaft des Sitzlandes. Laufzeit 10 Jahre, vierteljährliche ergebnisunabhängige Vergütung von 11 % p. a. mit 3 % Zinszuschuss, Tilgung erst ab Jahr 7 in drei gleichen Raten. Keine Sicherheiten nötig.</t>
  </si>
  <si>
    <t xml:space="preserve">nach der Gründung, ab T0</t>
  </si>
  <si>
    <t xml:space="preserve">DIE INTERESSANTESTE ERGÄNZUNG. Sie wirkt bilanziell wie Eigenkapital, verlangt keine Sicherheiten, gibt keine Stimmrechte ab und tilgt erst ab Jahr 7 — also weit nach dem Break-even. Zu den ausdrücklich angesprochenen Zielgruppen gehören gemeinwohlorientierte Unternehmen.</t>
  </si>
  <si>
    <t xml:space="preserve">11 % Vergütung sind teuer, und sie fallen ergebnisunabhängig an — auch in Verlustjahren. Über 10 Jahre auf 100.000 € summiert sich das erheblich.</t>
  </si>
  <si>
    <t xml:space="preserve">ERP-Förderkredit Gründung und Nachfolge (077)</t>
  </si>
  <si>
    <t xml:space="preserve">abhängig vom Vorhaben</t>
  </si>
  <si>
    <t xml:space="preserve">Seit 01.11.2024 Nachfolger der älteren Programme. Wird ohne eigene Besicherung vergeben — mit Ausnahme einer Garantie der Bürgschaftsbank. Der Nachrang der Vorgängerprogramme entfällt.</t>
  </si>
  <si>
    <t xml:space="preserve">ab Gründung</t>
  </si>
  <si>
    <t xml:space="preserve">Der Standardweg für Fremdkapital ohne Sicherheiten. Ersetzt in der Praxis das früher oft genannte ERP-Kapital für Gründung (058).</t>
  </si>
  <si>
    <t xml:space="preserve">Die HAUSBANK entscheidet, nicht die KfW. Ohne Umsatz und ohne Sicherheiten ist die Zusage unwahrscheinlich — Handbuch B sagt dasselbe über das StartGeld.</t>
  </si>
  <si>
    <t xml:space="preserve">Bürgschaftsbank Niedersachsen — Classic-Bürgschaft</t>
  </si>
  <si>
    <t xml:space="preserve">mindestens 12.000 €, bis 2,0 Mio. € je Kreditnehmereinheit</t>
  </si>
  <si>
    <t xml:space="preserve">Ausfallbürgschaft für bis zu 80 % des Kreditbetrags. Antrag NICHT direkt, sondern über die Hausbank.</t>
  </si>
  <si>
    <t xml:space="preserve">Das fehlende Stück zwischen „die Bank will Sicherheiten“ und „wir haben keine“. Ohne Bürgschaft scheitern Gründungskredite meist genau hier.</t>
  </si>
  <si>
    <t xml:space="preserve">Läuft über die Hausbank, also über dieselbe Instanz, die ohnehin skeptisch ist. Kostet Provision. Und sie sichert die Bank ab, nicht euch.</t>
  </si>
  <si>
    <t xml:space="preserve">INVEST — Zuschuss für Wagniskapital (BAFA)</t>
  </si>
  <si>
    <t xml:space="preserve">15 % Erwerbszuschuss auf die Investition des Angels; 25 % Exitzuschuss auf den Veräußerungsgewinn</t>
  </si>
  <si>
    <t xml:space="preserve">Der Zuschuss geht an den INVESTOR, nicht an uns. Wir müssen vorab als förderfähiges Unternehmen anerkannt werden; der Angel stellt seinen Antrag VOR Vertragsschluss. Vollständig digital über das BAFA-Portal.</t>
  </si>
  <si>
    <t xml:space="preserve">nur mit Angel (Weg f)</t>
  </si>
  <si>
    <t xml:space="preserve">Macht uns für Angels attraktiver, ohne dass wir mehr abgeben — der Staat zahlt einen Teil des Tickets. Der Satz lag 2023 bei 25 % und liegt 2026 bei 15 %.</t>
  </si>
  <si>
    <t xml:space="preserve">ACHTUNG: Das Programm ist bis zum 31.12.2026 verlängert. Unser Start liegt frühestens im Sommer 2028, geplant wird ein Jahr später (Nr. 45). Ob es dann noch existiert, ist offen — vor jeder Planung neu prüfen.</t>
  </si>
  <si>
    <t xml:space="preserve">Vorverkauf von Jahresabos an die Warteliste</t>
  </si>
  <si>
    <t xml:space="preserve">rechnerisch: 500 Jahresabos à 70 € = 35.000 € brutto</t>
  </si>
  <si>
    <t xml:space="preserve">Kein Kredit, keine Anteile, keine Zinsen. Geld von genau den Menschen, für die gebaut wird. Nach Nr. 60 als befristete Codes, eingelöst auf der Webseite.</t>
  </si>
  <si>
    <t xml:space="preserve">V4, kurz vor T0</t>
  </si>
  <si>
    <t xml:space="preserve">Die einzige Quelle in dieser Übersicht, die zugleich Marktforschung ist: Wer vorab zahlt, hat den Bedarf bewiesen. Und sie passt zur Positionierung besser als jede andere.</t>
  </si>
  <si>
    <t xml:space="preserve">RECHTLICH NICHT TRIVIAL. Vorkasse für eine noch nicht existierende Leistung, Widerrufsrecht, Insolvenzrisiko der Käufer, umsatzsteuerliche Behandlung der Anzahlung. Vor jedem Verkauf anwaltlich klären — gehört auf die Anwaltsliste — dort steht es seit dem 22.09.2026 als Frage R16 (Nachtrag 04 zur Anwaltsakte).</t>
  </si>
  <si>
    <t xml:space="preserve">Werkzeugabo-Jahresverträge im Voraus (Nr. 65)</t>
  </si>
  <si>
    <t xml:space="preserve">bei 10 Werkzeugabos à 29 € (zwei Städte zu je fünf) und Jahreszahlung: rund 2.800 € netto</t>
  </si>
  <si>
    <t xml:space="preserve">Handbuch B sieht für Jahresverträge 20 % Nachlass vor; das gilt sinngemäß für das Werkzeugabo. Vorauszahlung statt monatlicher Abbuchung kostet nichts zusätzlich. Nach Nr. 65 ohne Sichtbarkeit.</t>
  </si>
  <si>
    <t xml:space="preserve">ab dem zweiten Jahr, wenn das Veranstalterportal steht (F39) und die Reichweite trägt</t>
  </si>
  <si>
    <t xml:space="preserve">Verwandelt planbaren Umsatz in sofortige Liquidität — genau in der Phase, in der die Kurve am tiefsten liegt.</t>
  </si>
  <si>
    <t xml:space="preserve">Bindet die Partner ein Jahr an ein Produkt, das sich noch beweisen muss. Wer enttäuscht wird, kommt nicht wieder und erzählt es weiter.</t>
  </si>
  <si>
    <t xml:space="preserve">Preisgelder aus Wettbewerben</t>
  </si>
  <si>
    <t xml:space="preserve">JUGEND GRÜNDET, STARTUP TEENS 7 × 10.000 €, start2grow bis 40.000 €, Startup-Impuls 4 × 25.000 €</t>
  </si>
  <si>
    <t xml:space="preserve">Zuschuss ohne Gegenleistung, ohne Rückzahlung, ohne Anteile.</t>
  </si>
  <si>
    <t xml:space="preserve">ab sofort — JUGEND GRÜNDET startet am 01.09.2026</t>
  </si>
  <si>
    <t xml:space="preserve">Die günstigste Form von Kapital überhaupt. Vollständige Übersicht in `wettbewerbe.xlsx` (A-12).</t>
  </si>
  <si>
    <t xml:space="preserve">Aufwand in Arbeitsstunden statt in Geld. Und: Der Social Impact Award schließt bei über 6.000 € externen Zuschüssen aus — die Reihenfolge zählt.</t>
  </si>
  <si>
    <t xml:space="preserve">Crowdfunding</t>
  </si>
  <si>
    <t xml:space="preserve">in Handbuch B als Baustein des Kapitalfahrplans M6–10 geführt</t>
  </si>
  <si>
    <t xml:space="preserve">Vorverkauf oder Unterstützung, je nach Modell.</t>
  </si>
  <si>
    <t xml:space="preserve">erst ab 1.000 Wartelisten-Einträgen</t>
  </si>
  <si>
    <t xml:space="preserve">Steht bereits als Aufgabe A-21 im Plan.</t>
  </si>
  <si>
    <t xml:space="preserve">Blockiert, bis die Warteliste trägt. Eine gescheiterte Kampagne ist öffentlich und schadet mehr, als das Geld genützt hätte.</t>
  </si>
  <si>
    <t xml:space="preserve">6 · Was dieses Blatt nicht entscheidet</t>
  </si>
  <si>
    <t xml:space="preserve">Welcher Weg der richtige ist, hängt an drei Fragen, die keine Tabelle beantwortet: Wie viel Risiko trägt jeder von euch persönlich? Was passiert mit dem Verhältnis zu den Eltern, wenn das Geld weg ist? Und wollt ihr ein Unternehmen bauen, das euch gehört, oder eines, das wächst? Die Zahlen oben sind der Rahmen für dieses Gespräch, nicht sein Ergebnis.
Eine Beobachtung sei erlaubt: Die Wege (b), (c) und Preisgelder sind die einzigen, bei denen nach einem Abbruch nichts zurückbleibt. Bei einem Vorhaben mit einem Weiter-oder-Stopp-Tor nach 90 Tagen ist das kein Nebenaspekt.</t>
  </si>
  <si>
    <t xml:space="preserve">7 · Die Reserve nach Beschluss Nr. 90 (26.09.2026)</t>
  </si>
  <si>
    <t xml:space="preserve">BESCHLUSS NR. 90 VOM 26.09.2026 — Weg (C): Nach außen wird der realistische Gesamtbedarf genannt. Der Abstand zum pessimistischen Fall wird nicht in die Hauptzahl gerechnet, aber ausdrücklich als Reserve benannt. Dazu der Grundsatz aus der Antwort: „immer lieber etwas zu viel Geld als zu wenig planen" — wo das Modell eine Spanne nennt, muss die Finanzierungsfolge den oberen Rand tragen können, auch wenn geplant wird mit der Mitte.</t>
  </si>
  <si>
    <t xml:space="preserve">Was damit gemeint ist</t>
  </si>
  <si>
    <t xml:space="preserve">Zielgröße nach außen (realistisch)</t>
  </si>
  <si>
    <t xml:space="preserve">Die Zahl in Businessplan, Pitchdeck und Förderpräsentation. Seit Nr. 38 der Gesamtbedarf, nicht der Firmenbedarf.</t>
  </si>
  <si>
    <t xml:space="preserve">Pessimistischer Gesamtbedarf</t>
  </si>
  <si>
    <t xml:space="preserve">Handbuch B verlangt, gegen dieses Szenario zu planen — es hat mit 40 % die höchste Einzelwahrscheinlichkeit.</t>
  </si>
  <si>
    <t xml:space="preserve">BENANNTE RESERVE</t>
  </si>
  <si>
    <t xml:space="preserve">Der Abstand. Er wird nicht eingesammelt und dann liegen gelassen, sondern in der Finanzierungsfolge als erreichbare Stufe geführt: Zusagen, Kreditlinien oder Eigenmittel, die abrufbar sind, wenn der pessimistische Fall eintritt.</t>
  </si>
  <si>
    <t xml:space="preserve">Reserve in Prozent der Zielgröße</t>
  </si>
  <si>
    <t xml:space="preserve">Zur Einordnung gegenüber Geldgebern.</t>
  </si>
  <si>
    <t xml:space="preserve">WAS DIE RESERVE NICHT IST: kein zweiter Kapitalbedarf und keine Erhöhung der Zahl nach außen. Weg (B) — pessimistisch als Hauptzahl — wurde ausdrücklich nicht gewählt. Die Reserve ist die Antwort auf die Frage, die ein Förderprüfer stellt, der Handbuch B gelesen hat: „Ihr rechnet realistisch, euer eigenes Handbuch verlangt pessimistisch — was passiert, wenn es so kommt?"</t>
  </si>
  <si>
    <t xml:space="preserve">GEPRÜFT AM 26.09.2026 (Teil 3, Nr. 67): Der schlechteste geprüfte Fall des Bezahlstufen-Zuschnitts — PRO-Anteil 15 % statt 30 % und Unterstützerertrag 0,008 statt 0,015 € je MAU — ergibt einen Gesamtbedarf von 254.188 €, also 21.135 € über der Zielgröße. Das liegt innerhalb dieser Reserve. Der Zuschnitt ist damit finanziert, auch wenn er schlechter läuft als angenommen.</t>
  </si>
  <si>
    <t xml:space="preserve">Ist-Werte — ab dem ersten realen Monat auszufüllen</t>
  </si>
  <si>
    <t xml:space="preserve">Gelb = eintragen. Weiß = rechnet sich. Zuständig: wiederkehrende Aufgabe R-02, monatlich.</t>
  </si>
  <si>
    <t xml:space="preserve">SO WIRD DIESES BLATT BENUTZT: Am Monatsende die gelben Zeilen ausfüllen. Die weißen Zeilen vergleichen automatisch mit dem realistischen Szenario. Ab drei Monaten in Folge mit mehr als 25 % Abweichung ist nicht das Ist falsch, sondern der Plan — dann werden die Annahmen angepasst und nicht die Erwartung.</t>
  </si>
  <si>
    <t xml:space="preserve">Neuregistrierungen</t>
  </si>
  <si>
    <t xml:space="preserve">Plan-MAU (realistisch)</t>
  </si>
  <si>
    <t xml:space="preserve">Abweichung MAU</t>
  </si>
  <si>
    <t xml:space="preserve">Plan-Erlöse (realistisch)</t>
  </si>
  <si>
    <t xml:space="preserve">Abweichung Erlöse</t>
  </si>
  <si>
    <t xml:space="preserve">Plan-Ergebnis (realistisch)</t>
  </si>
  <si>
    <t xml:space="preserve">Ist-Ergebnis</t>
  </si>
  <si>
    <t xml:space="preserve">Kumulierte Liquidität (Ist)</t>
  </si>
  <si>
    <t xml:space="preserve">Ampel</t>
  </si>
  <si>
    <t xml:space="preserve">Herkunft jeder Zahl — und fünf Widersprüche in Handbuch B</t>
  </si>
  <si>
    <t xml:space="preserve">Vor jeder Verwendung nach außen lesen. Handbuch B ist die Wahrheitsquelle; wo es sich selbst widerspricht, steht das hier statt einer stillen Korrektur.</t>
  </si>
  <si>
    <t xml:space="preserve">1 · Die fünf Widersprüche</t>
  </si>
  <si>
    <t xml:space="preserve">Alle fünf sind beim Nachrechnen von Handbuch B aufgefallen. Keiner wurde im Modell stillschweigend aufgelöst. Sie stehen hier, weil sie vor dem ersten Förderantrag und vor dem ersten Investorengespräch geklärt sein sollten — dort wird nachgerechnet.</t>
  </si>
  <si>
    <t xml:space="preserve">Widerspruch</t>
  </si>
  <si>
    <t xml:space="preserve">Was in Handbuch B steht</t>
  </si>
  <si>
    <t xml:space="preserve">Was beim Nachrechnen herauskommt</t>
  </si>
  <si>
    <t xml:space="preserve">Wie das Modell damit umgeht</t>
  </si>
  <si>
    <t xml:space="preserve">1 · Kostenstaffel bei 50.000 MAU</t>
  </si>
  <si>
    <t xml:space="preserve">Die Spalte „50.000 MAU“ wird mit 12.150 € je Monat summiert.</t>
  </si>
  <si>
    <t xml:space="preserve">Die Einzelpositionen derselben Spalte ergeben 10.750 €. Es fehlen 1.400 €. Die vier anderen Spalten stimmen auf den Euro genau.</t>
  </si>
  <si>
    <t xml:space="preserve">Das Modell rechnet mit den Einzelpositionen. Die Differenz wird auf dem Blatt „Annahmen“ als eigene Zeile ausgewiesen. Naheliegende Erklärung: eine zweite Moderationskraft (3.400 € statt 4.800 €), die bei 50.000 MAU ohnehin plausibel wäre — A-37 rechnet bei 40.000 MAU bereits mit 37 bis 73 Bildern täglich in der menschlichen Warteschlange.</t>
  </si>
  <si>
    <t xml:space="preserve">2 · Tiefpunkt im pessimistischen Fall</t>
  </si>
  <si>
    <t xml:space="preserve">Tiefpunkt 105.000 €, zugleich 36-Monats-Ergebnis −90.400 €.</t>
  </si>
  <si>
    <t xml:space="preserve">Wenn jedes der drei Jahre negativ ist, kann die Kurve nicht tiefer liegen als ihr Endpunkt. Die Differenz von 14.600 € entspricht fast genau der privaten Krankenversicherung über 36 Monate (14.400 €).</t>
  </si>
  <si>
    <t xml:space="preserve">Das Modell weist Firmenbedarf und private Krankenversicherung getrennt aus — so, wie es der Text von Handbuch B selbst verlangt („fällt privat an, nicht in der Firma“). Auf dem Blatt „Kennzahlen“ stehen beide Zahlen untereinander.</t>
  </si>
  <si>
    <t xml:space="preserve">3 · Szenariotabellen gegen Kostenstaffel</t>
  </si>
  <si>
    <t xml:space="preserve">Die Szenariotabellen nennen Jahressummen für laufende Kosten und Marketing.</t>
  </si>
  <si>
    <t xml:space="preserve">Diese Summen lassen sich aus der eigenen Kostenstaffel nicht herleiten: Das Marketing im pessimistischen Fall liegt über 50 % höher als die Staffel hergibt, die laufenden Kosten im realistischen Jahr 3 rund 12 % darunter. Die beiden Teile von Handbuch B sind offenbar unabhängig voneinander geschätzt worden.</t>
  </si>
  <si>
    <t xml:space="preserve">Das Modell rechnet ausschließlich aus der Staffel — sie ist die detailliertere und damit überprüfbare Quelle. Die Abweichung zu den Szenariotabellen steht auf dem Blatt „Kennzahlen“ offen ausgewiesen.</t>
  </si>
  <si>
    <t xml:space="preserve">5 · Startzeitpunkt der App gegen die MAU-Zahlen</t>
  </si>
  <si>
    <t xml:space="preserve">Handbuch A stellt die App erst in Monat 10 öffentlich (Phase 2); Monat 8–9 ist eine geschlossene Beta mit 150 Testnutzern. Handbuch B nennt für das erste Jahr im realistischen Fall einen MAU-Jahresmittelwert von 3.200.</t>
  </si>
  <si>
    <t xml:space="preserve">Beides zusammen geht nicht auf. Startet die App in Monat 10 und erreicht Ende Monat 12 die genannten 7.500 MAU, liegt der Jahresmittelwert bei etwa 900 statt bei 3.200 — eine Abweichung von rund 72 %. Aufgefallen am 27.07.2026 beim Übereinanderlegen der beiden Zeitrechnungen (A-23).</t>
  </si>
  <si>
    <t xml:space="preserve">Das Modell folgt Handbuch B, weil von dort sämtliche Finanzzahlen stammen; der kalibrierte Startmonat ist 2. Der Startmonat steht auf dem Blatt „Annahmen“ als blaues Feld und kann auf 10 gesetzt werden, um die andere Lesart zu sehen. Die Abweichung ist erheblich und gehört vor dem ersten Förderantrag geklärt. Herleitung: `01-steuerung/tor-1-zeitachse-analyse.md` Abschnitt 8. Stand 21.09.2026: Mit Nr. 73 (gebaut wird vor T0) und Nr. 45 (Start in der CSD-Saison) spricht die Beschlusslage für die Lesart des Modells. Aufgelöst ist der Widerspruch erst mit Nr. 88 — der Reihenfolge von Gründung, Prüfungen und Start. Ein Start in Monat 5 oder 10 ändert den Kapitalbedarf im Modell kaum (−1.590 € bzw. −4.232 €), weil die Nutzerzahl zum Jahresende festgehalten ist.</t>
  </si>
  <si>
    <t xml:space="preserve">4 · Zahlende Nutzer im ersten Jahr</t>
  </si>
  <si>
    <t xml:space="preserve">Realistisches Szenario: 12 Zahler im Jahresmittel bei Monetarisierungsstart in Monat 14.</t>
  </si>
  <si>
    <t xml:space="preserve">Vor Monat 14 kann es keine Zahler geben. Rechnerisch muss das erste Jahr null sein. Es geht um 1.100 € von 227.900 € Gesamterlös — sachlich unerheblich, aber ein Hinweis darauf, dass die Tabellen nicht durchgerechnet, sondern geschätzt sind.</t>
  </si>
  <si>
    <t xml:space="preserve">Das Modell setzt vor dem Monetarisierungsstart konsequent null. Dieselbe Beobachtung gilt für das optimistische Szenario, wo das erste Jahr eine höhere Konversion voraussetzen würde als das dritte.</t>
  </si>
  <si>
    <t xml:space="preserve">2 · Herkunft der Annahmen</t>
  </si>
  <si>
    <t xml:space="preserve">Gruppe</t>
  </si>
  <si>
    <t xml:space="preserve">Was direkt aus Handbuch B stammt</t>
  </si>
  <si>
    <t xml:space="preserve">Was abgeleitet oder kalibriert wurde</t>
  </si>
  <si>
    <t xml:space="preserve">Was frei angenommen ist</t>
  </si>
  <si>
    <t xml:space="preserve">Nutzerentwicklung</t>
  </si>
  <si>
    <t xml:space="preserve">MAU-Anker für Ende Jahr 1, 2 und 3 je Szenario; Städtezahl Ende Jahr 3; 30-Tage-Wiederkehr; Eintrittswahrscheinlichkeiten.</t>
  </si>
  <si>
    <t xml:space="preserve">Startmonat und die beiden Rampenexponenten sind so KALIBRIERT, dass die Jahresmittel aus Handbuch B getroffen werden — Abweichung höchstens 2,3 %.</t>
  </si>
  <si>
    <t xml:space="preserve">Die monatliche Nutzerabwanderung (10 / 8 / 7 %) ist eine Annahme. Sie steht in Handbuch B nicht und bestimmt die Zahl der Neuregistrierungen und damit die Prüfkosten.</t>
  </si>
  <si>
    <t xml:space="preserve">Monetarisierung</t>
  </si>
  <si>
    <t xml:space="preserve">Monetarisierungsstart je Szenario, Zielkonversion Jahr 3; die Preise, die Laufzeitanteile und der Anteil PRO (30 %) der Erlöskette. Bis zum 21.09.2026 stand hier auch der Nettoerlös von 7,38 € je Zahler als feste Zahl.</t>
  </si>
  <si>
    <t xml:space="preserve">Anfangsanteil und Rampendauer der Konversion sind KALIBRIERT auf die Zahler-Jahresmittel der Jahre 2 und 3 — Abweichung höchstens 2,2 %. Seit A-52 rechnet sich der Nettoerlös je Zahler (7,56 €) aus der Kette im Blatt „Annahmen“, Abschnitt 2a.</t>
  </si>
  <si>
    <t xml:space="preserve">Seit A-52: der Anteil der Zahlungen über das Web (60 %; Handbuch B rechnet mit 40 %) und die Gebühr des Web-Zahlungsdienstes nach A-53.</t>
  </si>
  <si>
    <t xml:space="preserve">Weitere Erlösquellen</t>
  </si>
  <si>
    <t xml:space="preserve">Auslösemonate und Schwellen aller vier Nebenquellen; der Erlösmix im Reifezustand (drei Städte, 40.000 MAU, 14.546 € im Monat).</t>
  </si>
  <si>
    <t xml:space="preserve">Die Umrechnung in Erlös je MAU beziehungsweise je Partner ist ABGELEITET aus diesem Reifezustand — Handbuch B nennt nur Endwerte, keine Formeln. Seit A-52 rechnen Werkzeugabo und Ticketanteil je Stadt nach dem Veranstaltungskonzept (A-55); die Reichweitenschwellen aus Handbuch B gelten weiter.</t>
  </si>
  <si>
    <t xml:space="preserve">Dass die Nebenquellen linear mit der Nutzerzahl mitwachsen. Realistisch wachsen sie sprunghaft, weil jeder Partner einzeln gewonnen wird. Seit A-52 ersetzt: Ortspartnerschaften mit Hervorhebung (Nr. 65 schließt sie aus) durch ein Werkzeugabo, das Ticketing zu 6 % durch einen Anteil von 3 % — beides Annahmen aus A-55.</t>
  </si>
  <si>
    <t xml:space="preserve">Kosten</t>
  </si>
  <si>
    <t xml:space="preserve">Alle 35.800 € Einmalkosten mit Position und Monat; die vollständige Kostenstaffel mit 13 Positionen über 5 Stützstellen; CSD-Beträge.</t>
  </si>
  <si>
    <t xml:space="preserve">Zwischen den Stützstellen wird linear interpoliert; oberhalb von 50.000 MAU wird das letzte Segment fortgeschrieben.</t>
  </si>
  <si>
    <t xml:space="preserve">Die Monatszuordnung der CSD-Auftritte ist eine Annahme — Handbuch B nennt nur „Jahr 2“ und „Jahr 3“. Bis 21.09.2026 stand sie auf Monat 19 und 31; das war falsch, weil T0 selbst in der CSD-Saison liegt. Jetzt Monat 13 und 25, dazu der CSD zum Start in Monat 1. Frei angenommen sind außerdem die Beträge der Beschlussposten (Abschnitt 5).</t>
  </si>
  <si>
    <t xml:space="preserve">Altersprüfung</t>
  </si>
  <si>
    <t xml:space="preserve">Die Staffelzeile „Altersprüfung“ (0 / 300 / 520 / 780 / 1.600 € je Monat).</t>
  </si>
  <si>
    <t xml:space="preserve">Daraus RÜCKGERECHNET: rund 0,22 € je Prüfung. Bemerkenswert nah an der einzigen öffentlichen Preisangabe aus A-07 (Didit: 0,20 $ White-Label-Verifizierung, Marketingangabe).</t>
  </si>
  <si>
    <t xml:space="preserve">Die Spanne 2 bis 5 € für ein KJM-konformes Identverfahren stammt aus der Marktbeobachtung. KEIN Anbieter in A-07 nennt öffentliche Preise. Diese Zahl ist im Gespräch zu bestätigen, bevor irgendetwas darauf gebaut wird.</t>
  </si>
  <si>
    <t xml:space="preserve">Kapital und Leben</t>
  </si>
  <si>
    <t xml:space="preserve">Rücklage Rechtsvorfall 8.000 €, Puffer 20 %, Krankenversicherung 200 € je Person und Monat.</t>
  </si>
  <si>
    <t xml:space="preserve">Der Kapitalbedarf rechnet sich aus dem jeweiligen Tiefpunkt statt aus einer festen Zahl.</t>
  </si>
  <si>
    <t xml:space="preserve">Die Lebenshaltung von 1.100 € je Person und Monat ist eine ANNAHME dieses Modells. Handbuch B schreibt an dieser Stelle ausdrücklich „nicht beziffert“. Der Wert entspricht dem Gründungsstipendium Niedersachsen, das genau diesen Zweck hat. Seit A-52 steht sie als Stellhebel im Blatt „Annahmen“ (Zeile 156) und in der Gesamtsicht auf dem Blatt „Kennzahlen“ (Zeile 20).</t>
  </si>
  <si>
    <t xml:space="preserve">3 · Externe Quellen, die nicht aus Handbuch B stammen</t>
  </si>
  <si>
    <t xml:space="preserve">Angabe</t>
  </si>
  <si>
    <t xml:space="preserve">Stand</t>
  </si>
  <si>
    <t xml:space="preserve">KfW-Studienkredit — Zinssatz</t>
  </si>
  <si>
    <t xml:space="preserve">6,34 % Sollzins, 6,53 % effektiver Jahreszins; variabel auf Basis des Sechs-Monats-Euribor, Anpassung jeweils zum 1. April und 1. Oktober</t>
  </si>
  <si>
    <t xml:space="preserve">kfw.de, Informationen zu den Zinsen des KfW-Studienkredits</t>
  </si>
  <si>
    <t xml:space="preserve">per 01.04.2026, abgerufen 27.07.2026</t>
  </si>
  <si>
    <t xml:space="preserve">KfW-Studienkredit — Rahmen</t>
  </si>
  <si>
    <t xml:space="preserve">100 bis 650 € monatlich, höchstens 14 Semester, damit maximal 54.600 €; Rückzahlung bis zu 25 Jahre, Raten ab 20 €</t>
  </si>
  <si>
    <t xml:space="preserve">kfw.de, KfW-Studienkredit (174)</t>
  </si>
  <si>
    <t xml:space="preserve">abgerufen 27.07.2026</t>
  </si>
  <si>
    <t xml:space="preserve">Business Angel — Ticketgröße</t>
  </si>
  <si>
    <t xml:space="preserve">25.000 bis 200.000 € je Angel; Runden meist 3 bis 8 Angels; Pre-Seed-Runden gesamt 50.000 bis 500.000 €</t>
  </si>
  <si>
    <t xml:space="preserve">Marktübersichten Pre-Seed-Finanzierung Deutschland 2026</t>
  </si>
  <si>
    <t xml:space="preserve">Business Angel — Verwässerung</t>
  </si>
  <si>
    <t xml:space="preserve">5 bis 15 % je Angel-Runde</t>
  </si>
  <si>
    <t xml:space="preserve">dieselben Übersichten</t>
  </si>
  <si>
    <t xml:space="preserve">Gründungsstipendium Niedersachsen</t>
  </si>
  <si>
    <t xml:space="preserve">1.100 € je Person und Monat, bis zu 10 Monate; Wohnsitz und Sitz in Niedersachsen</t>
  </si>
  <si>
    <t xml:space="preserve">A-09, `foerdermittel-uebersicht.xlsx`</t>
  </si>
  <si>
    <t xml:space="preserve">27.07.2026</t>
  </si>
  <si>
    <t xml:space="preserve">EXIST für Studierende</t>
  </si>
  <si>
    <t xml:space="preserve">1.000 € je Person und Monat, dazu Sachmittel und Coaching; keine bestehende Gesellschaft zum Förderbeginn</t>
  </si>
  <si>
    <t xml:space="preserve">A-10, `exist-voraussetzungen.md`</t>
  </si>
  <si>
    <t xml:space="preserve">Preis je Altersprüfung, Anbieterlage</t>
  </si>
  <si>
    <t xml:space="preserve">Kein Anbieter mit öffentlicher Preisliste; einzige Angabe: 0,10 $ Altersschätzung / 0,20 $ White-Label-Verifizierung (Marketingangabe eines Anbieters)</t>
  </si>
  <si>
    <t xml:space="preserve">A-07, `verifizierungsanbieter-vergleich.xlsx`</t>
  </si>
  <si>
    <t xml:space="preserve">Mengengerüst Moderation</t>
  </si>
  <si>
    <t xml:space="preserve">Bei 40.000 MAU 37 bis 73 Bilder täglich in der menschlichen Warteschlange</t>
  </si>
  <si>
    <t xml:space="preserve">A-37, `moderationsarchitektur.md`</t>
  </si>
  <si>
    <t xml:space="preserve">Web-Zahlungsdienst (Mollie)</t>
  </si>
  <si>
    <t xml:space="preserve">1,80 % + 0,25 € je Zahlung mit EWR-Karte, keine Monatsgebühr</t>
  </si>
  <si>
    <t xml:space="preserve">A-53, `eu-alternativen-stack.md` (StackPatrol, Vergleich europäischer Zahlungsdienste)</t>
  </si>
  <si>
    <t xml:space="preserve">abgerufen 20.09.2026</t>
  </si>
  <si>
    <t xml:space="preserve">Apple, Richtlinie 3.1.3(b)</t>
  </si>
  <si>
    <t xml:space="preserve">Auf der Webseite erworbene Abos darf die App anerkennen, sofern sie dort auch als In-App-Kauf angeboten werden; eigene Freischaltmechanismen in der App sind nach 3.1.1 verboten</t>
  </si>
  <si>
    <t xml:space="preserve">developer.apple.com, App Review Guidelines</t>
  </si>
  <si>
    <t xml:space="preserve">abgerufen 21.09.2026</t>
  </si>
  <si>
    <t xml:space="preserve">SMS-Versand (Sweego)</t>
  </si>
  <si>
    <t xml:space="preserve">Deutschland 0,078 €, Österreich 0,035 €, Schweiz 0,068 € je SMS, zuzüglich Steuer; E-Mail kostenlos bis 100 am Tag, 10 € im Monat für 20.000 bis 50.000</t>
  </si>
  <si>
    <t xml:space="preserve">sweego.io, „Worldwide SMS pricing“ und „Pricing“</t>
  </si>
  <si>
    <t xml:space="preserve">Paradewagen zum CSD</t>
  </si>
  <si>
    <t xml:space="preserve">2.500 bis 10.000 € netto für 25 bis 100 Personen; Anmeldung 20 € bis vierstellig; Mitfahrkarten 20 bis 70 €</t>
  </si>
  <si>
    <t xml:space="preserve">csd-termine.de, „CSD-Wagen mieten“</t>
  </si>
  <si>
    <t xml:space="preserve">Ticketgebühren am Markt</t>
  </si>
  <si>
    <t xml:space="preserve">Eventbrite Deutschland 5,5 % (Essentials), 5,5 % + 0,99 € je Ticket (Professional); pretix 2,5 %, höchstens 15 € je Ticket, selbst betreibbar</t>
  </si>
  <si>
    <t xml:space="preserve">eventbrite.de, Hilfe „Was kostet Eventbrite“; pretix.eu, Preise</t>
  </si>
  <si>
    <t xml:space="preserve">Stundensatz für die Code-Prüfung</t>
  </si>
  <si>
    <t xml:space="preserve">Median 90 € je Stunde für Software- und Webentwicklung (95 € über alle IT-Disziplinen)</t>
  </si>
  <si>
    <t xml:space="preserve">Freelancer-Kompass 2026, freelancermap.de; A-46, `entwicklungsmodelle.md`</t>
  </si>
  <si>
    <t xml:space="preserve">veröffentlicht 02.07.2026, abgerufen 19.09.2026</t>
  </si>
  <si>
    <t xml:space="preserve">4 · Was dieses Modell nicht kann</t>
  </si>
  <si>
    <t xml:space="preserve">Es rechnet keine Steuern. Körperschaft- und Gewerbesteuer fallen erst bei Gewinn an, also im realistischen Fall frühestens im dritten Jahr; die Umsatzsteuer ist im Nettoerlös je Zahler bereits abgezogen (Blatt „Annahmen“, Abschnitt 2a). Für einen Businessplan reicht das; für eine Liquiditätsplanung ab dem ersten Gewinnjahr nicht.
Es rechnet keine Zahlungsziele. Erlöse und Kosten fallen im selben Monat an, in dem sie entstehen. In Wirklichkeit zahlen Stores mit 30 bis 60 Tagen Verzug, Web-Zahlungen kommen schneller — das verschiebt die Liquiditätskurve um ein bis zwei Monate nach hinten, ändert aber nichts am Tiefpunkt.
Es rechnet kein Gründergehalt. Handbuch B tut das im optimistischen Fall ab Monat 16. Hier bleibt es bewusst außen vor, weil ein Gehalt eine Entscheidung ist. Wer es einplanen will, trägt es als eigene Kostenzeile ein.
Und es kennt die Zukunft nicht. Der Start liegt frühestens im Sommer 2028, geplant wird ein Jahr später (Nr. 45). Bis dahin ändern sich Preise, Anbieter, Provisionen und Recht. Der Wert dieses Modells liegt nicht in seinen Zahlen, sondern darin, dass sichtbar wird, welche Größe das Ergebnis bewegt — und das ist in dieser Reihenfolge: die Nutzerzahl, die Rechtsfrage zur Altersprüfung, und erst danach alles andere.</t>
  </si>
  <si>
    <t xml:space="preserve">5 · Fortschreibung A-52 vom 21.09.2026 — was sich geändert hat und was es bewirkt</t>
  </si>
  <si>
    <t xml:space="preserve">Neun Änderungen aus den Beschlüssen vom 19. und 21.09.2026 und den Aufgaben A-51 bis A-55. Die Wirkung ist nacheinander nachgerechnet, in der Reihenfolge der Tabelle: jede Zeile zeigt, um wie viel der Kapitalbedarf der Firma im realistischen Fall steigt, wenn diese Änderung zu den darüber stehenden hinzukommt. Der Kapitalbedarf enthält den Sicherheitspuffer von 20 %; deshalb wirkt ein Einmalbetrag vor dem Tiefpunkt mit dem 1,2-Fachen. Probe: Nimmt man alle Änderungen zurück, ergibt sich der alte Stand von 107.349 € auf 19 € genau (Rundung der Erlöskette).</t>
  </si>
  <si>
    <t xml:space="preserve">Änderung</t>
  </si>
  <si>
    <t xml:space="preserve">Grundlage und Wert im Modell</t>
  </si>
  <si>
    <t xml:space="preserve">Wo</t>
  </si>
  <si>
    <t xml:space="preserve">Wirkung auf den Kapitalbedarf der Firma, realistisch</t>
  </si>
  <si>
    <t xml:space="preserve">1 · Nebenerlöse neu geschnitten</t>
  </si>
  <si>
    <t xml:space="preserve">Nr. 65, 74, A-55: Werkzeugabo 5 Konten zu 29 € je Stadt statt Ortspartnerschaften mit Hervorhebung; Ticketanteil 3 % statt 6 %; Reichweitenschwellen aus Handbuch B bleiben</t>
  </si>
  <si>
    <t xml:space="preserve">Annahmen 62–71 · Szenarien 15–16</t>
  </si>
  <si>
    <t xml:space="preserve">+3.799 €</t>
  </si>
  <si>
    <t xml:space="preserve">2 · Erlöskette je Zahler</t>
  </si>
  <si>
    <t xml:space="preserve">Nr. 67, A-51, A-53: 60 % der Zahlungen über das Web, dort 1,80 % + 0,25 € statt pauschal 4 %; Nettoerlös 7,56 € statt 7,38 €</t>
  </si>
  <si>
    <t xml:space="preserve">Annahmen 2a und 26</t>
  </si>
  <si>
    <t xml:space="preserve">−1.387 €</t>
  </si>
  <si>
    <t xml:space="preserve">3 · SMS-Versand</t>
  </si>
  <si>
    <t xml:space="preserve">Nr. 46, Z-10: 30 % der Neuregistrierungen mit Mobilnummer, 2 SMS je Person, 0,078 € je SMS</t>
  </si>
  <si>
    <t xml:space="preserve">Annahmen 146–148 · Szenarien 25</t>
  </si>
  <si>
    <t xml:space="preserve">+2.763 €</t>
  </si>
  <si>
    <t xml:space="preserve">4 · Eigene Veranstaltungen</t>
  </si>
  <si>
    <t xml:space="preserve">Nr. 74: 2.000 € je Stadt und Jahr ab Monat 1 (Veranstaltungskonzept, Abschnitt 5)</t>
  </si>
  <si>
    <t xml:space="preserve">Annahmen 144–145 · Szenarien 28</t>
  </si>
  <si>
    <t xml:space="preserve">+12.800 €</t>
  </si>
  <si>
    <t xml:space="preserve">5 · CSD-Monate berichtigt</t>
  </si>
  <si>
    <t xml:space="preserve">Nr. 45: Monat 13 und 25 statt 19 und 31 — der Auftritt im dritten Jahr fällt damit vor den Tiefpunkt</t>
  </si>
  <si>
    <t xml:space="preserve">Annahmen 138 und 140</t>
  </si>
  <si>
    <t xml:space="preserve">+3.590 €</t>
  </si>
  <si>
    <t xml:space="preserve">6 · CSD zum Start</t>
  </si>
  <si>
    <t xml:space="preserve">Nr. 45, 80: 10.000 / 6.000 / 3.500 € in Monat 1</t>
  </si>
  <si>
    <t xml:space="preserve">Annahmen 135–136 · Szenarien 29</t>
  </si>
  <si>
    <t xml:space="preserve">+7.200 €</t>
  </si>
  <si>
    <t xml:space="preserve">7 · Testgeräte zweite Plattform</t>
  </si>
  <si>
    <t xml:space="preserve">A-51: 1.200 € in Monat 1</t>
  </si>
  <si>
    <t xml:space="preserve">Annahmen 129</t>
  </si>
  <si>
    <t xml:space="preserve">+1.440 €</t>
  </si>
  <si>
    <t xml:space="preserve">8 · Code-Prüfung vollständig</t>
  </si>
  <si>
    <t xml:space="preserve">Nr. 73, A-46, A-51: 18.900 € in Monat 1 (Spanne 11.880 bis 25.920 €)</t>
  </si>
  <si>
    <t xml:space="preserve">Annahmen 128</t>
  </si>
  <si>
    <t xml:space="preserve">+22.680 €</t>
  </si>
  <si>
    <t xml:space="preserve">9 · Lebenshaltung und Gesamtbedarf</t>
  </si>
  <si>
    <t xml:space="preserve">Nr. 38: 1.100 € je Person und Monat bis zum Break-even; eigener Stellhebel und Gesamtbedarf</t>
  </si>
  <si>
    <t xml:space="preserve">Annahmen 156 · Kennzahlen 19–20</t>
  </si>
  <si>
    <t xml:space="preserve">keine auf die Firma — Gesamtbedarf siehe unten</t>
  </si>
  <si>
    <t xml:space="preserve">Zusammen</t>
  </si>
  <si>
    <t xml:space="preserve">Kapitalbedarf der Firma, realistisch: 107.349 € → 160.253 €</t>
  </si>
  <si>
    <t xml:space="preserve">Kennzahlen 16</t>
  </si>
  <si>
    <t xml:space="preserve">+52.904 € (davon 19 € Rundung)</t>
  </si>
  <si>
    <t xml:space="preserve">Kennzahl, vorher → nachher</t>
  </si>
  <si>
    <t xml:space="preserve">−93.879 € → −145.217 €</t>
  </si>
  <si>
    <t xml:space="preserve">−82.790 € → −126.877 €</t>
  </si>
  <si>
    <t xml:space="preserve">−77.959 € → −112.675 €</t>
  </si>
  <si>
    <t xml:space="preserve">36 → 36</t>
  </si>
  <si>
    <t xml:space="preserve">23 → 27</t>
  </si>
  <si>
    <t xml:space="preserve">19 → 20</t>
  </si>
  <si>
    <t xml:space="preserve">Break-even (erster Monat mit Überschuss)</t>
  </si>
  <si>
    <t xml:space="preserve">keiner → keiner</t>
  </si>
  <si>
    <t xml:space="preserve">24 → 28</t>
  </si>
  <si>
    <t xml:space="preserve">18 → 21</t>
  </si>
  <si>
    <t xml:space="preserve">Verluste ausgeglichen in Monat</t>
  </si>
  <si>
    <t xml:space="preserve">29 → 35</t>
  </si>
  <si>
    <t xml:space="preserve">120.655 € → 182.261 €</t>
  </si>
  <si>
    <t xml:space="preserve">107.349 € → 160.253 €</t>
  </si>
  <si>
    <t xml:space="preserve">101.551 € → 143.210 €</t>
  </si>
  <si>
    <t xml:space="preserve">GESAMTBEDARF mit Krankenversicherung und Lebenshaltung (Nr. 38)</t>
  </si>
  <si>
    <t xml:space="preserve">214.255 € → 275.861 €</t>
  </si>
  <si>
    <t xml:space="preserve">169.749 € → 233.053 €</t>
  </si>
  <si>
    <t xml:space="preserve">148.351 € → 197.810 €</t>
  </si>
  <si>
    <t xml:space="preserve">NICHT EINGERECHNET, weil klein oder nicht schätzbar: Apple-Entwicklerkonto (99 $ im Jahr) und Google Play (25 $ einmalig) — ob die Staffelzeile „Werkzeuge, Entwicklerzugänge“ sie enthält, sagt Handbuch B nicht · E-Mail-Versand (Sweego: kostenlos bis 100 Mails am Tag, 10 € im Monat für 20.000 bis 50.000) · das Postfach hinter dem Kontaktservice (A-58) · der Selbstbetrieb von listmonk: Zeit statt Geld, geschätzt ein bis zwei Tage Einrichtung, danach zwei bis vier Stunden im Monat für Pflege und Zustellüberwachung; der Server läuft im Posten „Hosting“ mit · die Nachprüfung der Korrekturen nach der Code-Prüfung · Codes für Streamer, Unterstützer und Kampagne (Nr. 60), die einen kleinen Teil der Aboerlöse ersetzen · die Sonderbedingungen der Stores in der EU nach dem Digital Markets Act.</t>
  </si>
  <si>
    <t xml:space="preserve">WAS OFFEN BLEIBT: Nr. 40 (Altersprüfung, Stufe 2) kann den Kapitalbedarf um rund 14.000 bis 17.000 € senken, wenn Weg 1 oder 0 gilt, und um rund 86.000 € erhöhen, wenn nur Weg 3 bleibt. Nr. 85 (Travel-Paket) und die Stufeninhalte (Nr. 67, Feinschnitt) bestimmen den Anteil PRO — die unsicherste Erlösannahme. Nr. 88 klärt, ob die Prüfungen vor oder nach der Gründung liegen. Nichts davon ist heute entscheidbar, alles davon ist hier einstellbar.</t>
  </si>
</sst>
</file>

<file path=xl/styles.xml><?xml version="1.0" encoding="utf-8"?>
<styleSheet xmlns="http://schemas.openxmlformats.org/spreadsheetml/2006/main">
  <numFmts count="12">
    <numFmt numFmtId="164" formatCode="General"/>
    <numFmt numFmtId="165" formatCode="#,##0"/>
    <numFmt numFmtId="166" formatCode="#,##0.00"/>
    <numFmt numFmtId="167" formatCode="0.0%"/>
    <numFmt numFmtId="168" formatCode="#,##0.00&quot; €&quot;"/>
    <numFmt numFmtId="169" formatCode="0\ %"/>
    <numFmt numFmtId="170" formatCode="0%&quot; Web&quot;"/>
    <numFmt numFmtId="171" formatCode="0%&quot; PRO&quot;"/>
    <numFmt numFmtId="172" formatCode="#,##0&quot; €&quot;;[RED]\-#,##0&quot; €&quot;"/>
    <numFmt numFmtId="173" formatCode="#,##0.000&quot; €&quot;"/>
    <numFmt numFmtId="174" formatCode="00&quot; Mon.&quot;"/>
    <numFmt numFmtId="175" formatCode="\+00%;\-00%"/>
  </numFmts>
  <fonts count="29">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i val="true"/>
      <sz val="9"/>
      <color rgb="FF595959"/>
      <name val="Arial"/>
      <family val="0"/>
      <charset val="1"/>
    </font>
    <font>
      <b val="true"/>
      <sz val="11"/>
      <color rgb="FF000000"/>
      <name val="Arial"/>
      <family val="0"/>
      <charset val="1"/>
    </font>
    <font>
      <b val="true"/>
      <sz val="13"/>
      <color rgb="FF1F3A5F"/>
      <name val="Arial"/>
      <family val="0"/>
      <charset val="1"/>
    </font>
    <font>
      <sz val="10"/>
      <name val="Arial"/>
      <family val="0"/>
      <charset val="1"/>
    </font>
    <font>
      <b val="true"/>
      <sz val="10"/>
      <color rgb="FFFFFFFF"/>
      <name val="Arial"/>
      <family val="0"/>
      <charset val="1"/>
    </font>
    <font>
      <b val="true"/>
      <sz val="9"/>
      <name val="Arial"/>
      <family val="0"/>
      <charset val="1"/>
    </font>
    <font>
      <sz val="9"/>
      <name val="Arial"/>
      <family val="0"/>
      <charset val="1"/>
    </font>
    <font>
      <sz val="10"/>
      <color rgb="FF000000"/>
      <name val="Arial"/>
      <family val="0"/>
      <charset val="1"/>
    </font>
    <font>
      <b val="true"/>
      <sz val="10"/>
      <name val="Arial"/>
      <family val="0"/>
      <charset val="1"/>
    </font>
    <font>
      <sz val="8"/>
      <color rgb="FF595959"/>
      <name val="Arial"/>
      <family val="0"/>
      <charset val="1"/>
    </font>
    <font>
      <b val="true"/>
      <sz val="11"/>
      <name val="Arial"/>
      <family val="0"/>
      <charset val="1"/>
    </font>
    <font>
      <i val="true"/>
      <sz val="9"/>
      <name val="Arial"/>
      <family val="0"/>
      <charset val="1"/>
    </font>
    <font>
      <b val="true"/>
      <sz val="10"/>
      <color rgb="FFAA3333"/>
      <name val="Arial"/>
      <family val="0"/>
      <charset val="1"/>
    </font>
    <font>
      <b val="true"/>
      <sz val="12"/>
      <name val="Arial"/>
      <family val="0"/>
      <charset val="1"/>
    </font>
    <font>
      <sz val="8"/>
      <color rgb="FFAA3333"/>
      <name val="Arial"/>
      <family val="0"/>
      <charset val="1"/>
    </font>
    <font>
      <b val="true"/>
      <sz val="10"/>
      <color rgb="FF000000"/>
      <name val="Arial"/>
      <family val="0"/>
      <charset val="1"/>
    </font>
    <font>
      <i val="true"/>
      <sz val="8"/>
      <color rgb="FF595959"/>
      <name val="Arial"/>
      <family val="0"/>
      <charset val="1"/>
    </font>
    <font>
      <sz val="8"/>
      <name val="Arial"/>
      <family val="0"/>
      <charset val="1"/>
    </font>
    <font>
      <b val="true"/>
      <sz val="11"/>
      <color rgb="FFFFFFFF"/>
      <name val="Arial"/>
      <family val="0"/>
      <charset val="1"/>
    </font>
    <font>
      <b val="true"/>
      <sz val="8"/>
      <name val="Arial"/>
      <family val="0"/>
      <charset val="1"/>
    </font>
    <font>
      <b val="true"/>
      <sz val="12"/>
      <color rgb="FF1F3A5F"/>
      <name val="Arial"/>
      <family val="0"/>
      <charset val="1"/>
    </font>
    <font>
      <i val="true"/>
      <sz val="8"/>
      <color rgb="FF808080"/>
      <name val="Arial"/>
      <family val="0"/>
      <charset val="1"/>
    </font>
    <font>
      <b val="true"/>
      <sz val="11"/>
      <color rgb="FF1F3A5F"/>
      <name val="Arial"/>
      <family val="0"/>
      <charset val="1"/>
    </font>
    <font>
      <b val="true"/>
      <sz val="8"/>
      <color rgb="FFAA3333"/>
      <name val="Arial"/>
      <family val="0"/>
      <charset val="1"/>
    </font>
  </fonts>
  <fills count="11">
    <fill>
      <patternFill patternType="none"/>
    </fill>
    <fill>
      <patternFill patternType="gray125"/>
    </fill>
    <fill>
      <patternFill patternType="solid">
        <fgColor rgb="FFFDF3E7"/>
        <bgColor rgb="FFF2F2F2"/>
      </patternFill>
    </fill>
    <fill>
      <patternFill patternType="solid">
        <fgColor rgb="FFDCE6F1"/>
        <bgColor rgb="FFE6F4EA"/>
      </patternFill>
    </fill>
    <fill>
      <patternFill patternType="solid">
        <fgColor rgb="FFFFFF00"/>
        <bgColor rgb="FFFFFF00"/>
      </patternFill>
    </fill>
    <fill>
      <patternFill patternType="solid">
        <fgColor rgb="FFFFFFFF"/>
        <bgColor rgb="FFFDF3E7"/>
      </patternFill>
    </fill>
    <fill>
      <patternFill patternType="solid">
        <fgColor rgb="FF1F3A5F"/>
        <bgColor rgb="FF333333"/>
      </patternFill>
    </fill>
    <fill>
      <patternFill patternType="solid">
        <fgColor rgb="FFEDF2F8"/>
        <bgColor rgb="FFF2F2F2"/>
      </patternFill>
    </fill>
    <fill>
      <patternFill patternType="solid">
        <fgColor rgb="FFF2F2F2"/>
        <bgColor rgb="FFEDF2F8"/>
      </patternFill>
    </fill>
    <fill>
      <patternFill patternType="solid">
        <fgColor rgb="FFE6F4EA"/>
        <bgColor rgb="FFEDF2F8"/>
      </patternFill>
    </fill>
    <fill>
      <patternFill patternType="solid">
        <fgColor rgb="FFFCE4E4"/>
        <bgColor rgb="FFFDF3E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7" borderId="0"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13" fillId="3" borderId="1" xfId="0" applyFont="true" applyBorder="true" applyAlignment="true" applyProtection="false">
      <alignment horizontal="center" vertical="bottom"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6" fontId="13" fillId="3" borderId="1" xfId="0" applyFont="true" applyBorder="true" applyAlignment="true" applyProtection="false">
      <alignment horizontal="center" vertical="bottom" textRotation="0" wrapText="false" indent="0" shrinkToFit="false"/>
      <protection locked="true" hidden="false"/>
    </xf>
    <xf numFmtId="167" fontId="13" fillId="3" borderId="1" xfId="0" applyFont="true" applyBorder="true" applyAlignment="true" applyProtection="false">
      <alignment horizontal="center" vertical="bottom" textRotation="0" wrapText="false" indent="0" shrinkToFit="false"/>
      <protection locked="true" hidden="false"/>
    </xf>
    <xf numFmtId="167" fontId="13" fillId="0" borderId="1" xfId="0" applyFont="true" applyBorder="true" applyAlignment="true" applyProtection="false">
      <alignment horizontal="center" vertical="bottom" textRotation="0" wrapText="false" indent="0" shrinkToFit="false"/>
      <protection locked="true" hidden="false"/>
    </xf>
    <xf numFmtId="168" fontId="13" fillId="0" borderId="1" xfId="0" applyFont="true" applyBorder="true" applyAlignment="true" applyProtection="false">
      <alignment horizontal="center" vertical="bottom" textRotation="0" wrapText="false" indent="0" shrinkToFit="false"/>
      <protection locked="true" hidden="false"/>
    </xf>
    <xf numFmtId="164" fontId="12" fillId="2" borderId="0" xfId="0" applyFont="true" applyBorder="true" applyAlignment="true" applyProtection="false">
      <alignment horizontal="general" vertical="top" textRotation="0" wrapText="true" indent="0" shrinkToFit="false"/>
      <protection locked="true" hidden="false"/>
    </xf>
    <xf numFmtId="168" fontId="13" fillId="3" borderId="1" xfId="0" applyFont="true" applyBorder="true" applyAlignment="true" applyProtection="false">
      <alignment horizontal="center" vertical="bottom" textRotation="0" wrapText="false" indent="0" shrinkToFit="false"/>
      <protection locked="true" hidden="false"/>
    </xf>
    <xf numFmtId="169" fontId="13" fillId="3" borderId="1" xfId="0" applyFont="true" applyBorder="true" applyAlignment="true" applyProtection="false">
      <alignment horizontal="center" vertical="bottom" textRotation="0" wrapText="false" indent="0" shrinkToFit="false"/>
      <protection locked="true" hidden="false"/>
    </xf>
    <xf numFmtId="165" fontId="8" fillId="8"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6" fontId="13" fillId="0" borderId="1" xfId="0" applyFont="tru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8" fontId="15" fillId="9" borderId="1" xfId="0" applyFont="true" applyBorder="true" applyAlignment="true" applyProtection="false">
      <alignment horizontal="center" vertical="bottom" textRotation="0" wrapText="false" indent="0" shrinkToFit="false"/>
      <protection locked="true" hidden="false"/>
    </xf>
    <xf numFmtId="168" fontId="13" fillId="8" borderId="1" xfId="0" applyFont="true" applyBorder="true" applyAlignment="true" applyProtection="false">
      <alignment horizontal="center" vertical="bottom" textRotation="0" wrapText="false" indent="0" shrinkToFit="false"/>
      <protection locked="true" hidden="false"/>
    </xf>
    <xf numFmtId="170" fontId="9" fillId="6" borderId="1" xfId="0" applyFont="true" applyBorder="true" applyAlignment="true" applyProtection="false">
      <alignment horizontal="center" vertical="center" textRotation="0" wrapText="false" indent="0" shrinkToFit="false"/>
      <protection locked="true" hidden="false"/>
    </xf>
    <xf numFmtId="171" fontId="13" fillId="0" borderId="1" xfId="0" applyFont="true" applyBorder="true" applyAlignment="true" applyProtection="false">
      <alignment horizontal="general" vertical="top" textRotation="0" wrapText="true" indent="0" shrinkToFit="false"/>
      <protection locked="true" hidden="false"/>
    </xf>
    <xf numFmtId="168" fontId="8" fillId="0" borderId="1" xfId="0" applyFont="true" applyBorder="true" applyAlignment="true" applyProtection="false">
      <alignment horizontal="center" vertical="bottom" textRotation="0" wrapText="false" indent="0" shrinkToFit="false"/>
      <protection locked="true" hidden="false"/>
    </xf>
    <xf numFmtId="168" fontId="13" fillId="9" borderId="1" xfId="0" applyFont="true" applyBorder="true" applyAlignment="true" applyProtection="false">
      <alignment horizontal="center" vertical="bottom" textRotation="0" wrapText="false" indent="0" shrinkToFit="false"/>
      <protection locked="true" hidden="false"/>
    </xf>
    <xf numFmtId="172" fontId="13" fillId="3" borderId="1" xfId="0" applyFont="tru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65" fontId="13" fillId="8" borderId="1" xfId="0" applyFont="true" applyBorder="true" applyAlignment="true" applyProtection="false">
      <alignment horizontal="center" vertical="bottom" textRotation="0" wrapText="false" indent="0" shrinkToFit="false"/>
      <protection locked="true" hidden="false"/>
    </xf>
    <xf numFmtId="172" fontId="11" fillId="3" borderId="1" xfId="0" applyFont="true" applyBorder="true" applyAlignment="true" applyProtection="false">
      <alignment horizontal="center" vertical="bottom" textRotation="0" wrapText="fals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72" fontId="11" fillId="8" borderId="1" xfId="0" applyFont="true" applyBorder="true" applyAlignment="true" applyProtection="false">
      <alignment horizontal="center" vertical="bottom" textRotation="0" wrapText="false" indent="0" shrinkToFit="false"/>
      <protection locked="true" hidden="false"/>
    </xf>
    <xf numFmtId="172" fontId="13" fillId="8" borderId="1" xfId="0" applyFont="true" applyBorder="true" applyAlignment="true" applyProtection="false">
      <alignment horizontal="center" vertical="bottom" textRotation="0" wrapText="false" indent="0" shrinkToFit="false"/>
      <protection locked="true" hidden="false"/>
    </xf>
    <xf numFmtId="172" fontId="13" fillId="7"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72" fontId="8" fillId="0" borderId="1" xfId="0" applyFont="true" applyBorder="true" applyAlignment="true" applyProtection="false">
      <alignment horizontal="center" vertical="bottom" textRotation="0" wrapText="false" indent="0" shrinkToFit="false"/>
      <protection locked="true" hidden="false"/>
    </xf>
    <xf numFmtId="164" fontId="17" fillId="0" borderId="1" xfId="0" applyFont="true" applyBorder="true" applyAlignment="true" applyProtection="false">
      <alignment horizontal="general" vertical="bottom" textRotation="0" wrapText="false" indent="0" shrinkToFit="false"/>
      <protection locked="true" hidden="false"/>
    </xf>
    <xf numFmtId="172" fontId="17" fillId="2" borderId="1" xfId="0" applyFont="true" applyBorder="true" applyAlignment="true" applyProtection="false">
      <alignment horizontal="center" vertical="bottom" textRotation="0" wrapText="false" indent="0" shrinkToFit="false"/>
      <protection locked="true" hidden="false"/>
    </xf>
    <xf numFmtId="168" fontId="15" fillId="3" borderId="1" xfId="0" applyFont="true" applyBorder="true" applyAlignment="true" applyProtection="false">
      <alignment horizontal="center" vertical="bottom" textRotation="0" wrapText="false" indent="0" shrinkToFit="false"/>
      <protection locked="true" hidden="false"/>
    </xf>
    <xf numFmtId="164" fontId="18" fillId="4"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7" fontId="15" fillId="3" borderId="1" xfId="0" applyFont="true" applyBorder="true" applyAlignment="true" applyProtection="false">
      <alignment horizontal="center" vertical="bottom" textRotation="0" wrapText="false" indent="0" shrinkToFit="false"/>
      <protection locked="true" hidden="false"/>
    </xf>
    <xf numFmtId="168" fontId="15" fillId="0" borderId="1" xfId="0" applyFont="true" applyBorder="true" applyAlignment="true" applyProtection="false">
      <alignment horizontal="center" vertical="bottom" textRotation="0" wrapText="false" indent="0" shrinkToFit="false"/>
      <protection locked="true" hidden="false"/>
    </xf>
    <xf numFmtId="164" fontId="20" fillId="2" borderId="0" xfId="0" applyFont="true" applyBorder="true" applyAlignment="true" applyProtection="false">
      <alignment horizontal="general" vertical="top" textRotation="0" wrapText="true" indent="0" shrinkToFit="false"/>
      <protection locked="true" hidden="false"/>
    </xf>
    <xf numFmtId="172" fontId="10" fillId="3" borderId="1" xfId="0" applyFont="true" applyBorder="true" applyAlignment="true" applyProtection="false">
      <alignment horizontal="general" vertical="bottom" textRotation="0" wrapText="false" indent="0" shrinkToFit="false"/>
      <protection locked="true" hidden="false"/>
    </xf>
    <xf numFmtId="165" fontId="10" fillId="3" borderId="1" xfId="0" applyFont="true" applyBorder="true" applyAlignment="true" applyProtection="false">
      <alignment horizontal="center" vertical="bottom" textRotation="0" wrapText="false" indent="0" shrinkToFit="false"/>
      <protection locked="true" hidden="false"/>
    </xf>
    <xf numFmtId="172" fontId="13" fillId="7" borderId="1" xfId="0" applyFont="true" applyBorder="tru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73" fontId="13" fillId="3"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12" fillId="10" borderId="0" xfId="0" applyFont="true" applyBorder="true" applyAlignment="true" applyProtection="false">
      <alignment horizontal="general" vertical="top" textRotation="0" wrapText="true" indent="0" shrinkToFit="false"/>
      <protection locked="true" hidden="false"/>
    </xf>
    <xf numFmtId="164" fontId="22" fillId="0" borderId="0" xfId="0" applyFont="true" applyBorder="false" applyAlignment="true" applyProtection="false">
      <alignment horizontal="center" vertical="bottom" textRotation="0" wrapText="false" indent="0" shrinkToFit="false"/>
      <protection locked="true" hidden="false"/>
    </xf>
    <xf numFmtId="165" fontId="22" fillId="0" borderId="0" xfId="0" applyFont="true" applyBorder="false" applyAlignment="true" applyProtection="false">
      <alignment horizontal="general" vertical="bottom" textRotation="0" wrapText="false" indent="0" shrinkToFit="false"/>
      <protection locked="true" hidden="false"/>
    </xf>
    <xf numFmtId="167" fontId="22" fillId="0" borderId="0" xfId="0" applyFont="true" applyBorder="false" applyAlignment="true" applyProtection="false">
      <alignment horizontal="general" vertical="bottom" textRotation="0" wrapText="false" indent="0" shrinkToFit="false"/>
      <protection locked="true" hidden="false"/>
    </xf>
    <xf numFmtId="164" fontId="23" fillId="6" borderId="0" xfId="0" applyFont="true" applyBorder="false" applyAlignment="true" applyProtection="false">
      <alignment horizontal="general" vertical="bottom" textRotation="0" wrapText="false" indent="0" shrinkToFit="false"/>
      <protection locked="true" hidden="false"/>
    </xf>
    <xf numFmtId="164" fontId="0" fillId="6" borderId="0" xfId="0" applyFont="false" applyBorder="false" applyAlignment="true" applyProtection="false">
      <alignment horizontal="general" vertical="bottom" textRotation="0" wrapText="false" indent="0" shrinkToFit="false"/>
      <protection locked="true" hidden="false"/>
    </xf>
    <xf numFmtId="172" fontId="22" fillId="0" borderId="0" xfId="0" applyFont="true" applyBorder="false" applyAlignment="true" applyProtection="false">
      <alignment horizontal="general" vertical="bottom" textRotation="0" wrapText="false" indent="0" shrinkToFit="false"/>
      <protection locked="true" hidden="false"/>
    </xf>
    <xf numFmtId="172" fontId="24" fillId="8" borderId="0" xfId="0" applyFont="true" applyBorder="false" applyAlignment="true" applyProtection="false">
      <alignment horizontal="general" vertical="bottom" textRotation="0" wrapText="false" indent="0" shrinkToFit="false"/>
      <protection locked="true" hidden="false"/>
    </xf>
    <xf numFmtId="172" fontId="22" fillId="2" borderId="0" xfId="0" applyFont="true" applyBorder="false" applyAlignment="true" applyProtection="false">
      <alignment horizontal="general" vertical="bottom" textRotation="0" wrapText="false" indent="0" shrinkToFit="false"/>
      <protection locked="true" hidden="false"/>
    </xf>
    <xf numFmtId="172" fontId="24" fillId="7" borderId="0" xfId="0" applyFont="true" applyBorder="false" applyAlignment="true" applyProtection="false">
      <alignment horizontal="general" vertical="bottom" textRotation="0" wrapText="false" indent="0" shrinkToFit="false"/>
      <protection locked="true" hidden="false"/>
    </xf>
    <xf numFmtId="172" fontId="24" fillId="3" borderId="0" xfId="0" applyFont="true" applyBorder="fals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5" fontId="13" fillId="7" borderId="1" xfId="0" applyFont="true" applyBorder="true" applyAlignment="true" applyProtection="false">
      <alignment horizontal="general" vertical="bottom" textRotation="0" wrapText="false" indent="0" shrinkToFit="false"/>
      <protection locked="true" hidden="false"/>
    </xf>
    <xf numFmtId="172" fontId="8"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72" fontId="13" fillId="9" borderId="1" xfId="0" applyFont="true" applyBorder="true" applyAlignment="true" applyProtection="false">
      <alignment horizontal="center" vertical="bottom" textRotation="0" wrapText="false" indent="0" shrinkToFit="false"/>
      <protection locked="true" hidden="false"/>
    </xf>
    <xf numFmtId="172" fontId="8" fillId="2" borderId="1" xfId="0" applyFont="true" applyBorder="true" applyAlignment="true" applyProtection="false">
      <alignment horizontal="center" vertical="bottom" textRotation="0" wrapText="false" indent="0" shrinkToFit="false"/>
      <protection locked="true" hidden="false"/>
    </xf>
    <xf numFmtId="172" fontId="13" fillId="2" borderId="1" xfId="0" applyFont="true" applyBorder="true" applyAlignment="true" applyProtection="false">
      <alignment horizontal="center" vertical="bottom" textRotation="0" wrapText="false" indent="0" shrinkToFit="false"/>
      <protection locked="true" hidden="false"/>
    </xf>
    <xf numFmtId="165" fontId="11" fillId="0" borderId="1"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general" vertical="bottom" textRotation="0" wrapText="false" indent="0" shrinkToFit="false"/>
      <protection locked="true" hidden="false"/>
    </xf>
    <xf numFmtId="164" fontId="26" fillId="8" borderId="1" xfId="0" applyFont="true" applyBorder="true" applyAlignment="true" applyProtection="false">
      <alignment horizontal="center" vertical="bottom" textRotation="0" wrapText="false" indent="0" shrinkToFit="false"/>
      <protection locked="true" hidden="false"/>
    </xf>
    <xf numFmtId="172" fontId="11" fillId="0" borderId="1" xfId="0" applyFont="true" applyBorder="true" applyAlignment="true" applyProtection="false">
      <alignment horizontal="center"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8" fontId="11" fillId="0" borderId="1" xfId="0" applyFont="true" applyBorder="true" applyAlignment="true" applyProtection="false">
      <alignment horizontal="center" vertical="bottom" textRotation="0" wrapText="false" indent="0" shrinkToFit="false"/>
      <protection locked="true" hidden="false"/>
    </xf>
    <xf numFmtId="172" fontId="10" fillId="0" borderId="1" xfId="0" applyFont="true" applyBorder="true" applyAlignment="true" applyProtection="false">
      <alignment horizontal="center" vertical="bottom" textRotation="0" wrapText="false" indent="0" shrinkToFit="false"/>
      <protection locked="true" hidden="false"/>
    </xf>
    <xf numFmtId="172" fontId="10" fillId="9" borderId="1" xfId="0" applyFont="true" applyBorder="true" applyAlignment="true" applyProtection="false">
      <alignment horizontal="center" vertical="bottom" textRotation="0" wrapText="false" indent="0" shrinkToFit="false"/>
      <protection locked="true" hidden="false"/>
    </xf>
    <xf numFmtId="172" fontId="10" fillId="10" borderId="1" xfId="0" applyFont="true" applyBorder="true" applyAlignment="true" applyProtection="false">
      <alignment horizontal="center" vertical="bottom" textRotation="0" wrapText="false" indent="0" shrinkToFit="false"/>
      <protection locked="true" hidden="false"/>
    </xf>
    <xf numFmtId="165" fontId="13" fillId="9"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72" fontId="13" fillId="0" borderId="1" xfId="0" applyFont="true" applyBorder="true" applyAlignment="true" applyProtection="false">
      <alignment horizontal="center" vertical="bottom" textRotation="0" wrapText="false" indent="0" shrinkToFit="false"/>
      <protection locked="true" hidden="false"/>
    </xf>
    <xf numFmtId="165" fontId="13" fillId="0" borderId="1" xfId="0" applyFont="true" applyBorder="true" applyAlignment="true" applyProtection="false">
      <alignment horizontal="center" vertical="bottom" textRotation="0" wrapText="false" indent="0" shrinkToFit="false"/>
      <protection locked="true" hidden="false"/>
    </xf>
    <xf numFmtId="164" fontId="15" fillId="0" borderId="1" xfId="0" applyFont="true" applyBorder="true" applyAlignment="true" applyProtection="false">
      <alignment horizontal="general" vertical="bottom" textRotation="0" wrapText="false" indent="0" shrinkToFit="false"/>
      <protection locked="true" hidden="false"/>
    </xf>
    <xf numFmtId="172" fontId="15" fillId="10" borderId="1" xfId="0" applyFont="true" applyBorder="true" applyAlignment="true" applyProtection="false">
      <alignment horizontal="center" vertical="bottom" textRotation="0" wrapText="false" indent="0" shrinkToFit="false"/>
      <protection locked="true" hidden="false"/>
    </xf>
    <xf numFmtId="164" fontId="28" fillId="0" borderId="1" xfId="0" applyFont="true" applyBorder="true" applyAlignment="true" applyProtection="false">
      <alignment horizontal="general" vertical="top" textRotation="0" wrapText="true" indent="0" shrinkToFit="false"/>
      <protection locked="true" hidden="false"/>
    </xf>
    <xf numFmtId="164" fontId="13" fillId="2" borderId="0" xfId="0" applyFont="true" applyBorder="true" applyAlignment="true" applyProtection="false">
      <alignment horizontal="general" vertical="top" textRotation="0" wrapText="true" indent="0" shrinkToFit="false"/>
      <protection locked="true" hidden="false"/>
    </xf>
    <xf numFmtId="164" fontId="10" fillId="8" borderId="1" xfId="0" applyFont="true" applyBorder="true" applyAlignment="true" applyProtection="false">
      <alignment horizontal="general" vertical="top" textRotation="0" wrapText="true" indent="0" shrinkToFit="false"/>
      <protection locked="true" hidden="false"/>
    </xf>
    <xf numFmtId="164" fontId="11" fillId="8" borderId="1" xfId="0" applyFont="true" applyBorder="true" applyAlignment="true" applyProtection="false">
      <alignment horizontal="general" vertical="top" textRotation="0" wrapText="true" indent="0" shrinkToFit="false"/>
      <protection locked="true" hidden="false"/>
    </xf>
    <xf numFmtId="164" fontId="8" fillId="7" borderId="0" xfId="0" applyFont="true" applyBorder="true" applyAlignment="true" applyProtection="false">
      <alignment horizontal="general" vertical="top" textRotation="0" wrapText="true" indent="0" shrinkToFit="false"/>
      <protection locked="true" hidden="false"/>
    </xf>
    <xf numFmtId="172" fontId="15" fillId="8" borderId="1" xfId="0" applyFont="true" applyBorder="true" applyAlignment="true" applyProtection="false">
      <alignment horizontal="general" vertical="bottom" textRotation="0" wrapText="false" indent="0" shrinkToFit="false"/>
      <protection locked="true" hidden="false"/>
    </xf>
    <xf numFmtId="172" fontId="15" fillId="3" borderId="1" xfId="0" applyFont="true" applyBorder="true" applyAlignment="true" applyProtection="false">
      <alignment horizontal="center" vertical="center" textRotation="0" wrapText="false" indent="0" shrinkToFit="false"/>
      <protection locked="true" hidden="false"/>
    </xf>
    <xf numFmtId="174" fontId="15" fillId="0"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9" fontId="13" fillId="0" borderId="1" xfId="0" applyFont="true" applyBorder="true" applyAlignment="true" applyProtection="false">
      <alignment horizontal="center" vertical="bottom" textRotation="0" wrapText="false" indent="0" shrinkToFit="false"/>
      <protection locked="true" hidden="false"/>
    </xf>
    <xf numFmtId="164" fontId="12" fillId="9" borderId="0" xfId="0" applyFont="true" applyBorder="true" applyAlignment="true" applyProtection="false">
      <alignment horizontal="general" vertical="top" textRotation="0" wrapText="true" indent="0" shrinkToFit="false"/>
      <protection locked="true" hidden="false"/>
    </xf>
    <xf numFmtId="165" fontId="22" fillId="4" borderId="1" xfId="0" applyFont="true" applyBorder="true" applyAlignment="true" applyProtection="false">
      <alignment horizontal="general" vertical="bottom" textRotation="0" wrapText="false" indent="0" shrinkToFit="false"/>
      <protection locked="true" hidden="false"/>
    </xf>
    <xf numFmtId="172" fontId="22" fillId="4" borderId="1" xfId="0" applyFont="true" applyBorder="true" applyAlignment="true" applyProtection="false">
      <alignment horizontal="general" vertical="bottom" textRotation="0" wrapText="false" indent="0" shrinkToFit="false"/>
      <protection locked="true" hidden="false"/>
    </xf>
    <xf numFmtId="165" fontId="22" fillId="0" borderId="1" xfId="0" applyFont="true" applyBorder="true" applyAlignment="true" applyProtection="false">
      <alignment horizontal="general" vertical="bottom" textRotation="0" wrapText="false" indent="0" shrinkToFit="false"/>
      <protection locked="true" hidden="false"/>
    </xf>
    <xf numFmtId="175" fontId="22" fillId="0" borderId="1" xfId="0" applyFont="true" applyBorder="true" applyAlignment="true" applyProtection="false">
      <alignment horizontal="general" vertical="bottom" textRotation="0" wrapText="false" indent="0" shrinkToFit="false"/>
      <protection locked="true" hidden="false"/>
    </xf>
    <xf numFmtId="172" fontId="22" fillId="0" borderId="1" xfId="0" applyFont="true" applyBorder="true" applyAlignment="true" applyProtection="false">
      <alignment horizontal="general" vertical="bottom" textRotation="0" wrapText="false" indent="0" shrinkToFit="false"/>
      <protection locked="true" hidden="false"/>
    </xf>
    <xf numFmtId="164" fontId="22"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AA3333"/>
      <rgbColor rgb="FFFDF3E7"/>
      <rgbColor rgb="FFE6F4EA"/>
      <rgbColor rgb="FF660066"/>
      <rgbColor rgb="FFFF8080"/>
      <rgbColor rgb="FF0066CC"/>
      <rgbColor rgb="FFDCE6F1"/>
      <rgbColor rgb="FF000080"/>
      <rgbColor rgb="FFFF00FF"/>
      <rgbColor rgb="FFFFFF00"/>
      <rgbColor rgb="FF00FFFF"/>
      <rgbColor rgb="FF800080"/>
      <rgbColor rgb="FF800000"/>
      <rgbColor rgb="FF008080"/>
      <rgbColor rgb="FF0000FF"/>
      <rgbColor rgb="FF00CCFF"/>
      <rgbColor rgb="FFEDF2F8"/>
      <rgbColor rgb="FFF2F2F2"/>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0"/>
    <col collapsed="false" customWidth="true" hidden="false" outlineLevel="0" max="4" min="2" style="1" width="26"/>
    <col collapsed="false" customWidth="true" hidden="false" outlineLevel="0" max="5" min="5" style="1" width="40"/>
  </cols>
  <sheetData>
    <row r="1" customFormat="false" ht="19.5" hidden="false" customHeight="true" outlineLevel="0" collapsed="false">
      <c r="A1" s="2" t="s">
        <v>0</v>
      </c>
    </row>
    <row r="2" customFormat="false" ht="25.5" hidden="false" customHeight="true" outlineLevel="0" collapsed="false">
      <c r="A2" s="3" t="s">
        <v>1</v>
      </c>
    </row>
    <row r="4" customFormat="false" ht="51.75" hidden="false" customHeight="true" outlineLevel="0" collapsed="false">
      <c r="A4" s="4" t="s">
        <v>2</v>
      </c>
      <c r="B4" s="4"/>
      <c r="C4" s="4"/>
      <c r="D4" s="4"/>
      <c r="E4" s="4"/>
    </row>
    <row r="6" customFormat="false" ht="15.75" hidden="false" customHeight="true" outlineLevel="0" collapsed="false">
      <c r="A6" s="5" t="s">
        <v>3</v>
      </c>
    </row>
    <row r="7" customFormat="false" ht="19.5" hidden="false" customHeight="true" outlineLevel="0" collapsed="false">
      <c r="A7" s="6" t="s">
        <v>4</v>
      </c>
      <c r="B7" s="6"/>
      <c r="C7" s="6"/>
      <c r="D7" s="6"/>
      <c r="E7" s="6"/>
    </row>
    <row r="8" customFormat="false" ht="19.5" hidden="false" customHeight="true" outlineLevel="0" collapsed="false">
      <c r="A8" s="7" t="s">
        <v>5</v>
      </c>
      <c r="B8" s="7"/>
      <c r="C8" s="7"/>
      <c r="D8" s="7"/>
      <c r="E8" s="7"/>
    </row>
    <row r="9" customFormat="false" ht="19.5" hidden="false" customHeight="true" outlineLevel="0" collapsed="false">
      <c r="A9" s="8" t="s">
        <v>6</v>
      </c>
      <c r="B9" s="8"/>
      <c r="C9" s="8"/>
      <c r="D9" s="8"/>
      <c r="E9" s="8"/>
    </row>
    <row r="10" customFormat="false" ht="19.5" hidden="false" customHeight="true" outlineLevel="0" collapsed="false">
      <c r="A10" s="9" t="s">
        <v>7</v>
      </c>
      <c r="B10" s="9"/>
      <c r="C10" s="9"/>
      <c r="D10" s="9"/>
      <c r="E10" s="9"/>
    </row>
    <row r="12" customFormat="false" ht="15.75" hidden="false" customHeight="true" outlineLevel="0" collapsed="false">
      <c r="A12" s="5" t="s">
        <v>8</v>
      </c>
    </row>
    <row r="13" customFormat="false" ht="25.5" hidden="false" customHeight="true" outlineLevel="0" collapsed="false">
      <c r="A13" s="10" t="s">
        <v>9</v>
      </c>
      <c r="B13" s="10" t="s">
        <v>10</v>
      </c>
      <c r="C13" s="10" t="s">
        <v>11</v>
      </c>
    </row>
    <row r="14" customFormat="false" ht="45.75" hidden="false" customHeight="true" outlineLevel="0" collapsed="false">
      <c r="A14" s="11" t="s">
        <v>12</v>
      </c>
      <c r="B14" s="12" t="s">
        <v>13</v>
      </c>
      <c r="C14" s="12"/>
      <c r="D14" s="12"/>
    </row>
    <row r="15" customFormat="false" ht="45.75" hidden="false" customHeight="true" outlineLevel="0" collapsed="false">
      <c r="A15" s="11" t="s">
        <v>14</v>
      </c>
      <c r="B15" s="12" t="s">
        <v>15</v>
      </c>
      <c r="C15" s="12"/>
      <c r="D15" s="12"/>
    </row>
    <row r="16" customFormat="false" ht="45.75" hidden="false" customHeight="true" outlineLevel="0" collapsed="false">
      <c r="A16" s="11" t="s">
        <v>16</v>
      </c>
      <c r="B16" s="12" t="s">
        <v>17</v>
      </c>
      <c r="C16" s="12"/>
      <c r="D16" s="12"/>
    </row>
    <row r="17" customFormat="false" ht="45.75" hidden="false" customHeight="true" outlineLevel="0" collapsed="false">
      <c r="A17" s="11" t="s">
        <v>18</v>
      </c>
      <c r="B17" s="12" t="s">
        <v>19</v>
      </c>
      <c r="C17" s="12"/>
      <c r="D17" s="12"/>
    </row>
    <row r="18" customFormat="false" ht="45.75" hidden="false" customHeight="true" outlineLevel="0" collapsed="false">
      <c r="A18" s="11" t="s">
        <v>20</v>
      </c>
      <c r="B18" s="12" t="s">
        <v>21</v>
      </c>
      <c r="C18" s="12"/>
      <c r="D18" s="12"/>
    </row>
    <row r="19" customFormat="false" ht="45.75" hidden="false" customHeight="true" outlineLevel="0" collapsed="false">
      <c r="A19" s="11" t="s">
        <v>22</v>
      </c>
      <c r="B19" s="12" t="s">
        <v>23</v>
      </c>
      <c r="C19" s="12"/>
      <c r="D19" s="12"/>
    </row>
    <row r="21" customFormat="false" ht="15.75" hidden="false" customHeight="true" outlineLevel="0" collapsed="false">
      <c r="A21" s="5" t="s">
        <v>24</v>
      </c>
    </row>
    <row r="22" customFormat="false" ht="127.5" hidden="false" customHeight="true" outlineLevel="0" collapsed="false">
      <c r="A22" s="13" t="s">
        <v>25</v>
      </c>
      <c r="B22" s="13"/>
      <c r="C22" s="13"/>
      <c r="D22" s="13"/>
      <c r="E22" s="13"/>
    </row>
  </sheetData>
  <mergeCells count="12">
    <mergeCell ref="A4:E4"/>
    <mergeCell ref="A7:E7"/>
    <mergeCell ref="A8:E8"/>
    <mergeCell ref="A9:E9"/>
    <mergeCell ref="A10:E10"/>
    <mergeCell ref="B14:D14"/>
    <mergeCell ref="B15:D15"/>
    <mergeCell ref="B16:D16"/>
    <mergeCell ref="B17:D17"/>
    <mergeCell ref="B18:D18"/>
    <mergeCell ref="B19:D19"/>
    <mergeCell ref="A22:E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5" min="2" style="1" width="15"/>
    <col collapsed="false" customWidth="true" hidden="false" outlineLevel="0" max="6" min="6" style="1" width="86"/>
  </cols>
  <sheetData>
    <row r="1" customFormat="false" ht="19.5" hidden="false" customHeight="true" outlineLevel="0" collapsed="false">
      <c r="A1" s="2" t="s">
        <v>26</v>
      </c>
    </row>
    <row r="2" customFormat="false" ht="25.5" hidden="false" customHeight="true" outlineLevel="0" collapsed="false">
      <c r="A2" s="3" t="s">
        <v>27</v>
      </c>
    </row>
    <row r="4" customFormat="false" ht="15.75" hidden="false" customHeight="true" outlineLevel="0" collapsed="false">
      <c r="A4" s="5" t="s">
        <v>28</v>
      </c>
    </row>
    <row r="5" customFormat="false" ht="25.5" hidden="false" customHeight="true" outlineLevel="0" collapsed="false">
      <c r="A5" s="10" t="s">
        <v>29</v>
      </c>
      <c r="B5" s="10" t="s">
        <v>30</v>
      </c>
      <c r="C5" s="10" t="s">
        <v>31</v>
      </c>
      <c r="D5" s="10" t="s">
        <v>32</v>
      </c>
      <c r="E5" s="10"/>
      <c r="F5" s="10" t="s">
        <v>33</v>
      </c>
    </row>
    <row r="6" customFormat="false" ht="30" hidden="false" customHeight="true" outlineLevel="0" collapsed="false">
      <c r="A6" s="14" t="s">
        <v>34</v>
      </c>
      <c r="B6" s="15" t="n">
        <v>4000</v>
      </c>
      <c r="C6" s="15" t="n">
        <v>7500</v>
      </c>
      <c r="D6" s="15" t="n">
        <v>14000</v>
      </c>
      <c r="F6" s="16" t="s">
        <v>35</v>
      </c>
    </row>
    <row r="7" customFormat="false" ht="30" hidden="false" customHeight="true" outlineLevel="0" collapsed="false">
      <c r="A7" s="14" t="s">
        <v>36</v>
      </c>
      <c r="B7" s="15" t="n">
        <v>14000</v>
      </c>
      <c r="C7" s="15" t="n">
        <v>24000</v>
      </c>
      <c r="D7" s="15" t="n">
        <v>60000</v>
      </c>
      <c r="F7" s="16" t="s">
        <v>35</v>
      </c>
    </row>
    <row r="8" customFormat="false" ht="30" hidden="false" customHeight="true" outlineLevel="0" collapsed="false">
      <c r="A8" s="14" t="s">
        <v>37</v>
      </c>
      <c r="B8" s="15" t="n">
        <v>30000</v>
      </c>
      <c r="C8" s="15" t="n">
        <v>62000</v>
      </c>
      <c r="D8" s="15" t="n">
        <v>150000</v>
      </c>
      <c r="F8" s="16" t="s">
        <v>35</v>
      </c>
    </row>
    <row r="9" customFormat="false" ht="30" hidden="false" customHeight="true" outlineLevel="0" collapsed="false">
      <c r="A9" s="14" t="s">
        <v>38</v>
      </c>
      <c r="B9" s="15" t="n">
        <v>2</v>
      </c>
      <c r="C9" s="15" t="n">
        <v>2</v>
      </c>
      <c r="D9" s="15" t="n">
        <v>2</v>
      </c>
      <c r="F9" s="16" t="s">
        <v>39</v>
      </c>
    </row>
    <row r="10" customFormat="false" ht="30" hidden="false" customHeight="true" outlineLevel="0" collapsed="false">
      <c r="A10" s="14" t="s">
        <v>40</v>
      </c>
      <c r="B10" s="17" t="n">
        <v>1.2</v>
      </c>
      <c r="C10" s="17" t="n">
        <v>1.38</v>
      </c>
      <c r="D10" s="17" t="n">
        <v>1.34</v>
      </c>
      <c r="F10" s="16" t="s">
        <v>41</v>
      </c>
    </row>
    <row r="11" customFormat="false" ht="30" hidden="false" customHeight="true" outlineLevel="0" collapsed="false">
      <c r="A11" s="14" t="s">
        <v>42</v>
      </c>
      <c r="B11" s="17" t="n">
        <v>1.34</v>
      </c>
      <c r="C11" s="17" t="n">
        <v>1.28</v>
      </c>
      <c r="D11" s="17" t="n">
        <v>1.26</v>
      </c>
      <c r="F11" s="16" t="s">
        <v>43</v>
      </c>
    </row>
    <row r="12" customFormat="false" ht="30" hidden="false" customHeight="true" outlineLevel="0" collapsed="false">
      <c r="A12" s="14" t="s">
        <v>44</v>
      </c>
      <c r="B12" s="15" t="n">
        <v>1</v>
      </c>
      <c r="C12" s="15" t="n">
        <v>1</v>
      </c>
      <c r="D12" s="15" t="n">
        <v>1</v>
      </c>
      <c r="F12" s="16" t="s">
        <v>45</v>
      </c>
    </row>
    <row r="13" customFormat="false" ht="30" hidden="false" customHeight="true" outlineLevel="0" collapsed="false">
      <c r="A13" s="14" t="s">
        <v>46</v>
      </c>
      <c r="B13" s="15" t="n">
        <v>2</v>
      </c>
      <c r="C13" s="15" t="n">
        <v>2</v>
      </c>
      <c r="D13" s="15" t="n">
        <v>3</v>
      </c>
      <c r="F13" s="16" t="s">
        <v>47</v>
      </c>
    </row>
    <row r="14" customFormat="false" ht="30" hidden="false" customHeight="true" outlineLevel="0" collapsed="false">
      <c r="A14" s="14" t="s">
        <v>48</v>
      </c>
      <c r="B14" s="15" t="n">
        <v>2</v>
      </c>
      <c r="C14" s="15" t="n">
        <v>4</v>
      </c>
      <c r="D14" s="15" t="n">
        <v>6</v>
      </c>
      <c r="F14" s="16" t="s">
        <v>35</v>
      </c>
    </row>
    <row r="15" customFormat="false" ht="30" hidden="false" customHeight="true" outlineLevel="0" collapsed="false">
      <c r="A15" s="14" t="s">
        <v>49</v>
      </c>
      <c r="B15" s="18" t="n">
        <v>0.1</v>
      </c>
      <c r="C15" s="18" t="n">
        <v>0.08</v>
      </c>
      <c r="D15" s="18" t="n">
        <v>0.07</v>
      </c>
      <c r="F15" s="16" t="s">
        <v>50</v>
      </c>
    </row>
    <row r="16" customFormat="false" ht="30" hidden="false" customHeight="true" outlineLevel="0" collapsed="false">
      <c r="A16" s="14" t="s">
        <v>51</v>
      </c>
      <c r="B16" s="18" t="n">
        <v>0.3</v>
      </c>
      <c r="C16" s="18" t="n">
        <v>0.3</v>
      </c>
      <c r="D16" s="18" t="n">
        <v>0.3</v>
      </c>
      <c r="F16" s="16" t="s">
        <v>52</v>
      </c>
    </row>
    <row r="17" customFormat="false" ht="30" hidden="false" customHeight="true" outlineLevel="0" collapsed="false">
      <c r="A17" s="14" t="s">
        <v>53</v>
      </c>
      <c r="B17" s="19" t="n">
        <v>0.15</v>
      </c>
      <c r="C17" s="19" t="n">
        <v>0.24</v>
      </c>
      <c r="D17" s="19" t="n">
        <v>0.3</v>
      </c>
      <c r="F17" s="16" t="s">
        <v>54</v>
      </c>
    </row>
    <row r="18" customFormat="false" ht="30" hidden="false" customHeight="true" outlineLevel="0" collapsed="false">
      <c r="A18" s="14" t="s">
        <v>55</v>
      </c>
      <c r="B18" s="19" t="n">
        <v>0.4</v>
      </c>
      <c r="C18" s="19" t="n">
        <v>0.35</v>
      </c>
      <c r="D18" s="19" t="n">
        <v>0.1</v>
      </c>
      <c r="F18" s="16" t="s">
        <v>56</v>
      </c>
    </row>
    <row r="20" customFormat="false" ht="15.75" hidden="false" customHeight="true" outlineLevel="0" collapsed="false">
      <c r="A20" s="5" t="s">
        <v>57</v>
      </c>
    </row>
    <row r="21" customFormat="false" ht="25.5" hidden="false" customHeight="true" outlineLevel="0" collapsed="false">
      <c r="A21" s="10" t="s">
        <v>29</v>
      </c>
      <c r="B21" s="10" t="s">
        <v>30</v>
      </c>
      <c r="C21" s="10" t="s">
        <v>31</v>
      </c>
      <c r="D21" s="10" t="s">
        <v>32</v>
      </c>
      <c r="E21" s="10"/>
      <c r="F21" s="10" t="s">
        <v>33</v>
      </c>
    </row>
    <row r="22" customFormat="false" ht="30" hidden="false" customHeight="true" outlineLevel="0" collapsed="false">
      <c r="A22" s="14" t="s">
        <v>58</v>
      </c>
      <c r="B22" s="15" t="n">
        <v>18</v>
      </c>
      <c r="C22" s="15" t="n">
        <v>14</v>
      </c>
      <c r="D22" s="15" t="n">
        <v>11</v>
      </c>
      <c r="F22" s="16" t="s">
        <v>35</v>
      </c>
    </row>
    <row r="23" customFormat="false" ht="30" hidden="false" customHeight="true" outlineLevel="0" collapsed="false">
      <c r="A23" s="14" t="s">
        <v>59</v>
      </c>
      <c r="B23" s="18" t="n">
        <v>0.022</v>
      </c>
      <c r="C23" s="18" t="n">
        <v>0.036</v>
      </c>
      <c r="D23" s="18" t="n">
        <v>0.042</v>
      </c>
      <c r="F23" s="16" t="s">
        <v>35</v>
      </c>
    </row>
    <row r="24" customFormat="false" ht="30" hidden="false" customHeight="true" outlineLevel="0" collapsed="false">
      <c r="A24" s="14" t="s">
        <v>60</v>
      </c>
      <c r="B24" s="18" t="n">
        <v>0.05</v>
      </c>
      <c r="C24" s="18" t="n">
        <v>0.48</v>
      </c>
      <c r="D24" s="18" t="n">
        <v>0.52</v>
      </c>
      <c r="F24" s="16" t="s">
        <v>61</v>
      </c>
    </row>
    <row r="25" customFormat="false" ht="30" hidden="false" customHeight="true" outlineLevel="0" collapsed="false">
      <c r="A25" s="14" t="s">
        <v>62</v>
      </c>
      <c r="B25" s="15" t="n">
        <v>3</v>
      </c>
      <c r="C25" s="15" t="n">
        <v>22</v>
      </c>
      <c r="D25" s="15" t="n">
        <v>22</v>
      </c>
      <c r="F25" s="16" t="s">
        <v>63</v>
      </c>
    </row>
    <row r="26" customFormat="false" ht="30" hidden="false" customHeight="true" outlineLevel="0" collapsed="false">
      <c r="A26" s="14" t="s">
        <v>64</v>
      </c>
      <c r="B26" s="20" t="n">
        <f aca="false">$B$51</f>
        <v>7.5593776302521</v>
      </c>
      <c r="C26" s="20" t="n">
        <f aca="false">$B$51</f>
        <v>7.5593776302521</v>
      </c>
      <c r="D26" s="20" t="n">
        <f aca="false">$B$51</f>
        <v>7.5593776302521</v>
      </c>
      <c r="F26" s="16" t="s">
        <v>65</v>
      </c>
    </row>
    <row r="28" customFormat="false" ht="15.75" hidden="false" customHeight="true" outlineLevel="0" collapsed="false">
      <c r="A28" s="5" t="s">
        <v>66</v>
      </c>
    </row>
    <row r="29" customFormat="false" ht="66" hidden="false" customHeight="true" outlineLevel="0" collapsed="false">
      <c r="A29" s="21" t="s">
        <v>67</v>
      </c>
      <c r="B29" s="21"/>
      <c r="C29" s="21"/>
      <c r="D29" s="21"/>
      <c r="E29" s="21"/>
      <c r="F29" s="21"/>
    </row>
    <row r="30" customFormat="false" ht="25.5" hidden="false" customHeight="true" outlineLevel="0" collapsed="false">
      <c r="A30" s="10" t="s">
        <v>68</v>
      </c>
      <c r="B30" s="10" t="s">
        <v>69</v>
      </c>
      <c r="C30" s="10" t="s">
        <v>70</v>
      </c>
      <c r="D30" s="10" t="s">
        <v>71</v>
      </c>
      <c r="E30" s="10" t="s">
        <v>72</v>
      </c>
      <c r="F30" s="10" t="s">
        <v>33</v>
      </c>
    </row>
    <row r="31" customFormat="false" ht="30" hidden="false" customHeight="true" outlineLevel="0" collapsed="false">
      <c r="A31" s="14" t="s">
        <v>73</v>
      </c>
      <c r="B31" s="22" t="n">
        <v>9</v>
      </c>
      <c r="C31" s="22" t="n">
        <v>17</v>
      </c>
      <c r="D31" s="23" t="n">
        <v>0.45</v>
      </c>
      <c r="E31" s="24" t="n">
        <v>1</v>
      </c>
      <c r="F31" s="16" t="s">
        <v>74</v>
      </c>
    </row>
    <row r="32" customFormat="false" ht="30" hidden="false" customHeight="true" outlineLevel="0" collapsed="false">
      <c r="A32" s="14" t="s">
        <v>75</v>
      </c>
      <c r="B32" s="22" t="n">
        <v>23</v>
      </c>
      <c r="C32" s="22" t="n">
        <v>43</v>
      </c>
      <c r="D32" s="23" t="n">
        <v>0.2</v>
      </c>
      <c r="E32" s="24" t="n">
        <v>3</v>
      </c>
      <c r="F32" s="16" t="s">
        <v>76</v>
      </c>
    </row>
    <row r="33" customFormat="false" ht="30" hidden="false" customHeight="true" outlineLevel="0" collapsed="false">
      <c r="A33" s="14" t="s">
        <v>77</v>
      </c>
      <c r="B33" s="22" t="n">
        <v>40</v>
      </c>
      <c r="C33" s="22" t="n">
        <v>76</v>
      </c>
      <c r="D33" s="23" t="n">
        <v>0.15</v>
      </c>
      <c r="E33" s="24" t="n">
        <v>6</v>
      </c>
      <c r="F33" s="16" t="s">
        <v>78</v>
      </c>
    </row>
    <row r="34" customFormat="false" ht="42" hidden="false" customHeight="true" outlineLevel="0" collapsed="false">
      <c r="A34" s="14" t="s">
        <v>79</v>
      </c>
      <c r="B34" s="22" t="n">
        <v>70</v>
      </c>
      <c r="C34" s="22" t="n">
        <v>132</v>
      </c>
      <c r="D34" s="23" t="n">
        <v>0.2</v>
      </c>
      <c r="E34" s="24" t="n">
        <v>12</v>
      </c>
      <c r="F34" s="16" t="s">
        <v>80</v>
      </c>
    </row>
    <row r="35" customFormat="false" ht="25.5" hidden="false" customHeight="true" outlineLevel="0" collapsed="false">
      <c r="A35" s="10" t="s">
        <v>29</v>
      </c>
      <c r="B35" s="10" t="s">
        <v>81</v>
      </c>
      <c r="C35" s="10"/>
      <c r="D35" s="10"/>
      <c r="E35" s="10"/>
      <c r="F35" s="10" t="s">
        <v>33</v>
      </c>
    </row>
    <row r="36" customFormat="false" ht="54" hidden="false" customHeight="true" outlineLevel="0" collapsed="false">
      <c r="A36" s="14" t="s">
        <v>82</v>
      </c>
      <c r="B36" s="23" t="n">
        <v>0.3</v>
      </c>
      <c r="C36" s="25"/>
      <c r="D36" s="25"/>
      <c r="E36" s="25"/>
      <c r="F36" s="16" t="s">
        <v>83</v>
      </c>
    </row>
    <row r="37" customFormat="false" ht="30" hidden="false" customHeight="true" outlineLevel="0" collapsed="false">
      <c r="A37" s="14" t="s">
        <v>84</v>
      </c>
      <c r="B37" s="23" t="n">
        <v>0.19</v>
      </c>
      <c r="C37" s="25"/>
      <c r="D37" s="25"/>
      <c r="E37" s="25"/>
      <c r="F37" s="16" t="s">
        <v>85</v>
      </c>
    </row>
    <row r="38" customFormat="false" ht="30" hidden="false" customHeight="true" outlineLevel="0" collapsed="false">
      <c r="A38" s="14" t="s">
        <v>86</v>
      </c>
      <c r="B38" s="23" t="n">
        <v>0.15</v>
      </c>
      <c r="C38" s="25"/>
      <c r="D38" s="25"/>
      <c r="E38" s="25"/>
      <c r="F38" s="16" t="s">
        <v>87</v>
      </c>
    </row>
    <row r="39" customFormat="false" ht="42" hidden="false" customHeight="true" outlineLevel="0" collapsed="false">
      <c r="A39" s="14" t="s">
        <v>88</v>
      </c>
      <c r="B39" s="18" t="n">
        <v>0.018</v>
      </c>
      <c r="C39" s="25"/>
      <c r="D39" s="25"/>
      <c r="E39" s="25"/>
      <c r="F39" s="16" t="s">
        <v>89</v>
      </c>
    </row>
    <row r="40" customFormat="false" ht="30" hidden="false" customHeight="true" outlineLevel="0" collapsed="false">
      <c r="A40" s="14" t="s">
        <v>90</v>
      </c>
      <c r="B40" s="22" t="n">
        <v>0.25</v>
      </c>
      <c r="C40" s="25"/>
      <c r="D40" s="25"/>
      <c r="E40" s="25"/>
      <c r="F40" s="16" t="s">
        <v>91</v>
      </c>
    </row>
    <row r="41" customFormat="false" ht="54" hidden="false" customHeight="true" outlineLevel="0" collapsed="false">
      <c r="A41" s="14" t="s">
        <v>92</v>
      </c>
      <c r="B41" s="23" t="n">
        <v>0.6</v>
      </c>
      <c r="C41" s="25"/>
      <c r="D41" s="25"/>
      <c r="E41" s="25"/>
      <c r="F41" s="16" t="s">
        <v>93</v>
      </c>
    </row>
    <row r="42" customFormat="false" ht="25.5" hidden="false" customHeight="true" outlineLevel="0" collapsed="false">
      <c r="A42" s="10" t="s">
        <v>94</v>
      </c>
      <c r="B42" s="10" t="s">
        <v>95</v>
      </c>
      <c r="C42" s="10"/>
      <c r="D42" s="10"/>
      <c r="E42" s="10"/>
      <c r="F42" s="10" t="s">
        <v>96</v>
      </c>
    </row>
    <row r="43" customFormat="false" ht="19.5" hidden="false" customHeight="true" outlineLevel="0" collapsed="false">
      <c r="A43" s="14" t="s">
        <v>97</v>
      </c>
      <c r="B43" s="20" t="n">
        <f aca="false">SUMPRODUCT($D$31:$D$34,$B$31:$B$34/$E$31:$E$34)</f>
        <v>7.75</v>
      </c>
      <c r="C43" s="25"/>
      <c r="D43" s="25"/>
      <c r="E43" s="25"/>
      <c r="F43" s="16" t="s">
        <v>98</v>
      </c>
    </row>
    <row r="44" customFormat="false" ht="19.5" hidden="false" customHeight="true" outlineLevel="0" collapsed="false">
      <c r="A44" s="14" t="s">
        <v>99</v>
      </c>
      <c r="B44" s="20" t="n">
        <f aca="false">SUMPRODUCT($D$31:$D$34,$C$31:$C$34/$E$31:$E$34)</f>
        <v>14.6166666666667</v>
      </c>
      <c r="C44" s="25"/>
      <c r="D44" s="25"/>
      <c r="E44" s="25"/>
      <c r="F44" s="16" t="s">
        <v>98</v>
      </c>
    </row>
    <row r="45" customFormat="false" ht="19.5" hidden="false" customHeight="true" outlineLevel="0" collapsed="false">
      <c r="A45" s="14" t="s">
        <v>100</v>
      </c>
      <c r="B45" s="20" t="n">
        <f aca="false">(1-$B$36)*$B$43+$B$36*$B$44</f>
        <v>9.81</v>
      </c>
      <c r="C45" s="25"/>
      <c r="D45" s="25"/>
      <c r="E45" s="25"/>
      <c r="F45" s="16" t="s">
        <v>101</v>
      </c>
    </row>
    <row r="46" customFormat="false" ht="19.5" hidden="false" customHeight="true" outlineLevel="0" collapsed="false">
      <c r="A46" s="14" t="s">
        <v>102</v>
      </c>
      <c r="B46" s="20" t="n">
        <f aca="false">$B$45/(1+$B$37)</f>
        <v>8.2436974789916</v>
      </c>
      <c r="C46" s="25"/>
      <c r="D46" s="25"/>
      <c r="E46" s="25"/>
      <c r="F46" s="16" t="s">
        <v>103</v>
      </c>
    </row>
    <row r="47" customFormat="false" ht="30" hidden="false" customHeight="true" outlineLevel="0" collapsed="false">
      <c r="A47" s="14" t="s">
        <v>104</v>
      </c>
      <c r="B47" s="26" t="n">
        <f aca="false">SUMPRODUCT($D$31:$D$34,1/$E$31:$E$34)</f>
        <v>0.558333333333333</v>
      </c>
      <c r="C47" s="25"/>
      <c r="D47" s="25"/>
      <c r="E47" s="25"/>
      <c r="F47" s="16" t="s">
        <v>105</v>
      </c>
    </row>
    <row r="48" customFormat="false" ht="30" hidden="false" customHeight="true" outlineLevel="0" collapsed="false">
      <c r="A48" s="14" t="s">
        <v>106</v>
      </c>
      <c r="B48" s="20" t="n">
        <f aca="false">$B$39*$B$45+$B$40*$B$47</f>
        <v>0.316163333333333</v>
      </c>
      <c r="C48" s="25"/>
      <c r="D48" s="25"/>
      <c r="E48" s="25"/>
      <c r="F48" s="16" t="s">
        <v>107</v>
      </c>
    </row>
    <row r="49" customFormat="false" ht="19.5" hidden="false" customHeight="true" outlineLevel="0" collapsed="false">
      <c r="A49" s="14" t="s">
        <v>108</v>
      </c>
      <c r="B49" s="20" t="n">
        <f aca="false">$B$46-$B$48</f>
        <v>7.92753414565826</v>
      </c>
      <c r="C49" s="25"/>
      <c r="D49" s="25"/>
      <c r="E49" s="25"/>
      <c r="F49" s="16" t="s">
        <v>109</v>
      </c>
    </row>
    <row r="50" customFormat="false" ht="19.5" hidden="false" customHeight="true" outlineLevel="0" collapsed="false">
      <c r="A50" s="14" t="s">
        <v>110</v>
      </c>
      <c r="B50" s="20" t="n">
        <f aca="false">$B$46*(1-$B$38)</f>
        <v>7.00714285714286</v>
      </c>
      <c r="C50" s="25"/>
      <c r="D50" s="25"/>
      <c r="E50" s="25"/>
      <c r="F50" s="16" t="s">
        <v>111</v>
      </c>
    </row>
    <row r="51" customFormat="false" ht="19.5" hidden="false" customHeight="true" outlineLevel="0" collapsed="false">
      <c r="A51" s="27" t="s">
        <v>112</v>
      </c>
      <c r="B51" s="28" t="n">
        <f aca="false">$B$41*$B$49+(1-$B$41)*$B$50</f>
        <v>7.5593776302521</v>
      </c>
      <c r="C51" s="25"/>
      <c r="D51" s="25"/>
      <c r="E51" s="25"/>
      <c r="F51" s="16" t="s">
        <v>113</v>
      </c>
    </row>
    <row r="52" customFormat="false" ht="30" hidden="false" customHeight="true" outlineLevel="0" collapsed="false">
      <c r="A52" s="14" t="s">
        <v>114</v>
      </c>
      <c r="B52" s="29" t="n">
        <f aca="false">0.4*((0.7*$B$43+0.3*$B$44)/(1+$B$37)-($B$39*(0.7*$B$43+0.3*$B$44)+$B$40*$B$47))+0.6*(0.7*$B$43+0.3*$B$44)/(1+$B$37)*(1-$B$38)</f>
        <v>7.37529937254902</v>
      </c>
      <c r="C52" s="25"/>
      <c r="D52" s="25"/>
      <c r="E52" s="25"/>
      <c r="F52" s="16" t="s">
        <v>115</v>
      </c>
    </row>
    <row r="54" customFormat="false" ht="30" hidden="false" customHeight="true" outlineLevel="0" collapsed="false">
      <c r="A54" s="10" t="s">
        <v>116</v>
      </c>
      <c r="B54" s="30" t="n">
        <v>0.4</v>
      </c>
      <c r="C54" s="30" t="n">
        <v>0.6</v>
      </c>
      <c r="D54" s="30" t="n">
        <v>0.8</v>
      </c>
      <c r="E54" s="25"/>
      <c r="F54" s="10" t="s">
        <v>117</v>
      </c>
    </row>
    <row r="55" customFormat="false" ht="19.5" hidden="false" customHeight="true" outlineLevel="0" collapsed="false">
      <c r="A55" s="31" t="n">
        <v>0.1</v>
      </c>
      <c r="B55" s="32" t="n">
        <f aca="false">B$54*(((1-$A55)*$B$43+$A55*$B$44)/(1+$B$37)-($B$39*((1-$A55)*$B$43+$A55*$B$44)+$B$40*$B$47))+(1-B$54)*((1-$A55)*$B$43+$A55*$B$44)/(1+$B$37)*(1-$B$38)</f>
        <v>6.33499129411765</v>
      </c>
      <c r="C55" s="32" t="n">
        <f aca="false">C$54*(((1-$A55)*$B$43+$A55*$B$44)/(1+$B$37)-($B$39*((1-$A55)*$B$43+$A55*$B$44)+$B$40*$B$47))+(1-C$54)*((1-$A55)*$B$43+$A55*$B$44)/(1+$B$37)*(1-$B$38)</f>
        <v>6.48939170308123</v>
      </c>
      <c r="D55" s="32" t="n">
        <f aca="false">D$54*(((1-$A55)*$B$43+$A55*$B$44)/(1+$B$37)-($B$39*((1-$A55)*$B$43+$A55*$B$44)+$B$40*$B$47))+(1-D$54)*((1-$A55)*$B$43+$A55*$B$44)/(1+$B$37)*(1-$B$38)</f>
        <v>6.64379211204482</v>
      </c>
      <c r="E55" s="25"/>
      <c r="F55" s="16" t="s">
        <v>118</v>
      </c>
    </row>
    <row r="56" customFormat="false" ht="19.5" hidden="false" customHeight="true" outlineLevel="0" collapsed="false">
      <c r="A56" s="31" t="n">
        <v>0.2</v>
      </c>
      <c r="B56" s="32" t="n">
        <f aca="false">B$54*(((1-$A56)*$B$43+$A56*$B$44)/(1+$B$37)-($B$39*((1-$A56)*$B$43+$A56*$B$44)+$B$40*$B$47))+(1-B$54)*((1-$A56)*$B$43+$A56*$B$44)/(1+$B$37)*(1-$B$38)</f>
        <v>6.85514533333333</v>
      </c>
      <c r="C56" s="32" t="n">
        <f aca="false">C$54*(((1-$A56)*$B$43+$A56*$B$44)/(1+$B$37)-($B$39*((1-$A56)*$B$43+$A56*$B$44)+$B$40*$B$47))+(1-C$54)*((1-$A56)*$B$43+$A56*$B$44)/(1+$B$37)*(1-$B$38)</f>
        <v>7.02438466666667</v>
      </c>
      <c r="D56" s="32" t="n">
        <f aca="false">D$54*(((1-$A56)*$B$43+$A56*$B$44)/(1+$B$37)-($B$39*((1-$A56)*$B$43+$A56*$B$44)+$B$40*$B$47))+(1-D$54)*((1-$A56)*$B$43+$A56*$B$44)/(1+$B$37)*(1-$B$38)</f>
        <v>7.193624</v>
      </c>
      <c r="E56" s="25"/>
      <c r="F56" s="16"/>
    </row>
    <row r="57" customFormat="false" ht="19.5" hidden="false" customHeight="true" outlineLevel="0" collapsed="false">
      <c r="A57" s="31" t="n">
        <v>0.3</v>
      </c>
      <c r="B57" s="32" t="n">
        <f aca="false">B$54*(((1-$A57)*$B$43+$A57*$B$44)/(1+$B$37)-($B$39*((1-$A57)*$B$43+$A57*$B$44)+$B$40*$B$47))+(1-B$54)*((1-$A57)*$B$43+$A57*$B$44)/(1+$B$37)*(1-$B$38)</f>
        <v>7.37529937254902</v>
      </c>
      <c r="C57" s="33" t="n">
        <f aca="false">C$54*(((1-$A57)*$B$43+$A57*$B$44)/(1+$B$37)-($B$39*((1-$A57)*$B$43+$A57*$B$44)+$B$40*$B$47))+(1-C$54)*((1-$A57)*$B$43+$A57*$B$44)/(1+$B$37)*(1-$B$38)</f>
        <v>7.5593776302521</v>
      </c>
      <c r="D57" s="32" t="n">
        <f aca="false">D$54*(((1-$A57)*$B$43+$A57*$B$44)/(1+$B$37)-($B$39*((1-$A57)*$B$43+$A57*$B$44)+$B$40*$B$47))+(1-D$54)*((1-$A57)*$B$43+$A57*$B$44)/(1+$B$37)*(1-$B$38)</f>
        <v>7.74345588795518</v>
      </c>
      <c r="E57" s="25"/>
      <c r="F57" s="16"/>
    </row>
    <row r="58" customFormat="false" ht="19.5" hidden="false" customHeight="true" outlineLevel="0" collapsed="false">
      <c r="A58" s="31" t="n">
        <v>0.4</v>
      </c>
      <c r="B58" s="32" t="n">
        <f aca="false">B$54*(((1-$A58)*$B$43+$A58*$B$44)/(1+$B$37)-($B$39*((1-$A58)*$B$43+$A58*$B$44)+$B$40*$B$47))+(1-B$54)*((1-$A58)*$B$43+$A58*$B$44)/(1+$B$37)*(1-$B$38)</f>
        <v>7.89545341176471</v>
      </c>
      <c r="C58" s="32" t="n">
        <f aca="false">C$54*(((1-$A58)*$B$43+$A58*$B$44)/(1+$B$37)-($B$39*((1-$A58)*$B$43+$A58*$B$44)+$B$40*$B$47))+(1-C$54)*((1-$A58)*$B$43+$A58*$B$44)/(1+$B$37)*(1-$B$38)</f>
        <v>8.09437059383754</v>
      </c>
      <c r="D58" s="32" t="n">
        <f aca="false">D$54*(((1-$A58)*$B$43+$A58*$B$44)/(1+$B$37)-($B$39*((1-$A58)*$B$43+$A58*$B$44)+$B$40*$B$47))+(1-D$54)*((1-$A58)*$B$43+$A58*$B$44)/(1+$B$37)*(1-$B$38)</f>
        <v>8.29328777591037</v>
      </c>
      <c r="E58" s="25"/>
      <c r="F58" s="16"/>
    </row>
    <row r="60" customFormat="false" ht="15.75" hidden="false" customHeight="true" outlineLevel="0" collapsed="false">
      <c r="A60" s="5" t="s">
        <v>119</v>
      </c>
    </row>
    <row r="61" customFormat="false" ht="25.5" hidden="false" customHeight="true" outlineLevel="0" collapsed="false">
      <c r="A61" s="10" t="s">
        <v>29</v>
      </c>
      <c r="B61" s="10" t="s">
        <v>30</v>
      </c>
      <c r="C61" s="10" t="s">
        <v>31</v>
      </c>
      <c r="D61" s="10" t="s">
        <v>32</v>
      </c>
      <c r="E61" s="10"/>
      <c r="F61" s="10" t="s">
        <v>33</v>
      </c>
    </row>
    <row r="62" customFormat="false" ht="42" hidden="false" customHeight="true" outlineLevel="0" collapsed="false">
      <c r="A62" s="14" t="s">
        <v>120</v>
      </c>
      <c r="B62" s="15" t="n">
        <v>13</v>
      </c>
      <c r="C62" s="15" t="n">
        <v>13</v>
      </c>
      <c r="D62" s="15" t="n">
        <v>13</v>
      </c>
      <c r="F62" s="16" t="s">
        <v>121</v>
      </c>
    </row>
    <row r="63" customFormat="false" ht="30" hidden="false" customHeight="true" outlineLevel="0" collapsed="false">
      <c r="A63" s="14" t="s">
        <v>122</v>
      </c>
      <c r="B63" s="15" t="n">
        <v>8000</v>
      </c>
      <c r="C63" s="15" t="n">
        <v>8000</v>
      </c>
      <c r="D63" s="15" t="n">
        <v>8000</v>
      </c>
      <c r="F63" s="16" t="s">
        <v>123</v>
      </c>
    </row>
    <row r="64" customFormat="false" ht="30" hidden="false" customHeight="true" outlineLevel="0" collapsed="false">
      <c r="A64" s="14" t="s">
        <v>124</v>
      </c>
      <c r="B64" s="15" t="n">
        <v>5</v>
      </c>
      <c r="C64" s="15" t="n">
        <v>5</v>
      </c>
      <c r="D64" s="15" t="n">
        <v>5</v>
      </c>
      <c r="F64" s="16" t="s">
        <v>125</v>
      </c>
    </row>
    <row r="65" customFormat="false" ht="30" hidden="false" customHeight="true" outlineLevel="0" collapsed="false">
      <c r="A65" s="14" t="s">
        <v>126</v>
      </c>
      <c r="B65" s="34" t="n">
        <v>29</v>
      </c>
      <c r="C65" s="34" t="n">
        <v>29</v>
      </c>
      <c r="D65" s="34" t="n">
        <v>29</v>
      </c>
      <c r="F65" s="16" t="s">
        <v>127</v>
      </c>
    </row>
    <row r="66" customFormat="false" ht="30" hidden="false" customHeight="true" outlineLevel="0" collapsed="false">
      <c r="A66" s="14" t="s">
        <v>128</v>
      </c>
      <c r="B66" s="15" t="n">
        <v>13</v>
      </c>
      <c r="C66" s="15" t="n">
        <v>13</v>
      </c>
      <c r="D66" s="15" t="n">
        <v>13</v>
      </c>
      <c r="F66" s="16" t="s">
        <v>129</v>
      </c>
    </row>
    <row r="67" customFormat="false" ht="30" hidden="false" customHeight="true" outlineLevel="0" collapsed="false">
      <c r="A67" s="14" t="s">
        <v>130</v>
      </c>
      <c r="B67" s="15" t="n">
        <v>20000</v>
      </c>
      <c r="C67" s="15" t="n">
        <v>20000</v>
      </c>
      <c r="D67" s="15" t="n">
        <v>20000</v>
      </c>
      <c r="F67" s="16" t="s">
        <v>131</v>
      </c>
    </row>
    <row r="68" customFormat="false" ht="30" hidden="false" customHeight="true" outlineLevel="0" collapsed="false">
      <c r="A68" s="14" t="s">
        <v>132</v>
      </c>
      <c r="B68" s="15" t="n">
        <v>8</v>
      </c>
      <c r="C68" s="15" t="n">
        <v>8</v>
      </c>
      <c r="D68" s="15" t="n">
        <v>8</v>
      </c>
      <c r="F68" s="16" t="s">
        <v>133</v>
      </c>
    </row>
    <row r="69" customFormat="false" ht="30" hidden="false" customHeight="true" outlineLevel="0" collapsed="false">
      <c r="A69" s="14" t="s">
        <v>134</v>
      </c>
      <c r="B69" s="15" t="n">
        <v>80</v>
      </c>
      <c r="C69" s="15" t="n">
        <v>80</v>
      </c>
      <c r="D69" s="15" t="n">
        <v>80</v>
      </c>
      <c r="F69" s="16" t="s">
        <v>135</v>
      </c>
    </row>
    <row r="70" customFormat="false" ht="30" hidden="false" customHeight="true" outlineLevel="0" collapsed="false">
      <c r="A70" s="14" t="s">
        <v>136</v>
      </c>
      <c r="B70" s="34" t="n">
        <v>12</v>
      </c>
      <c r="C70" s="34" t="n">
        <v>12</v>
      </c>
      <c r="D70" s="34" t="n">
        <v>12</v>
      </c>
      <c r="F70" s="16" t="s">
        <v>137</v>
      </c>
    </row>
    <row r="71" customFormat="false" ht="42" hidden="false" customHeight="true" outlineLevel="0" collapsed="false">
      <c r="A71" s="14" t="s">
        <v>138</v>
      </c>
      <c r="B71" s="18" t="n">
        <v>0.03</v>
      </c>
      <c r="C71" s="18" t="n">
        <v>0.03</v>
      </c>
      <c r="D71" s="18" t="n">
        <v>0.03</v>
      </c>
      <c r="F71" s="16" t="s">
        <v>139</v>
      </c>
    </row>
    <row r="72" customFormat="false" ht="30" hidden="false" customHeight="true" outlineLevel="0" collapsed="false">
      <c r="A72" s="14" t="s">
        <v>140</v>
      </c>
      <c r="B72" s="15" t="n">
        <v>14</v>
      </c>
      <c r="C72" s="15" t="n">
        <v>14</v>
      </c>
      <c r="D72" s="15" t="n">
        <v>14</v>
      </c>
      <c r="F72" s="16" t="s">
        <v>141</v>
      </c>
    </row>
    <row r="73" customFormat="false" ht="30" hidden="false" customHeight="true" outlineLevel="0" collapsed="false">
      <c r="A73" s="14" t="s">
        <v>142</v>
      </c>
      <c r="B73" s="17" t="n">
        <v>0.015</v>
      </c>
      <c r="C73" s="17" t="n">
        <v>0.015</v>
      </c>
      <c r="D73" s="17" t="n">
        <v>0.015</v>
      </c>
      <c r="F73" s="16" t="s">
        <v>143</v>
      </c>
    </row>
    <row r="74" customFormat="false" ht="30" hidden="false" customHeight="true" outlineLevel="0" collapsed="false">
      <c r="A74" s="14" t="s">
        <v>144</v>
      </c>
      <c r="B74" s="15" t="n">
        <v>20</v>
      </c>
      <c r="C74" s="15" t="n">
        <v>20</v>
      </c>
      <c r="D74" s="15" t="n">
        <v>20</v>
      </c>
      <c r="F74" s="16" t="s">
        <v>145</v>
      </c>
    </row>
    <row r="75" customFormat="false" ht="30" hidden="false" customHeight="true" outlineLevel="0" collapsed="false">
      <c r="A75" s="14" t="s">
        <v>146</v>
      </c>
      <c r="B75" s="15" t="n">
        <v>267</v>
      </c>
      <c r="C75" s="15" t="n">
        <v>267</v>
      </c>
      <c r="D75" s="15" t="n">
        <v>267</v>
      </c>
      <c r="F75" s="16" t="s">
        <v>147</v>
      </c>
    </row>
    <row r="76" customFormat="false" ht="54" hidden="false" customHeight="true" outlineLevel="0" collapsed="false">
      <c r="A76" s="21" t="s">
        <v>148</v>
      </c>
      <c r="B76" s="21"/>
      <c r="C76" s="21"/>
      <c r="D76" s="21"/>
      <c r="E76" s="21"/>
      <c r="F76" s="21"/>
    </row>
    <row r="78" customFormat="false" ht="15.75" hidden="false" customHeight="true" outlineLevel="0" collapsed="false">
      <c r="A78" s="5" t="s">
        <v>149</v>
      </c>
    </row>
    <row r="79" customFormat="false" ht="25.5" hidden="false" customHeight="true" outlineLevel="0" collapsed="false">
      <c r="A79" s="10" t="s">
        <v>150</v>
      </c>
      <c r="B79" s="10" t="s">
        <v>151</v>
      </c>
      <c r="C79" s="10" t="s">
        <v>152</v>
      </c>
      <c r="D79" s="10" t="s">
        <v>153</v>
      </c>
      <c r="E79" s="10" t="s">
        <v>154</v>
      </c>
      <c r="F79" s="10" t="s">
        <v>155</v>
      </c>
    </row>
    <row r="80" customFormat="false" ht="15" hidden="false" customHeight="true" outlineLevel="0" collapsed="false">
      <c r="A80" s="35" t="s">
        <v>156</v>
      </c>
      <c r="B80" s="36" t="n">
        <v>0</v>
      </c>
      <c r="C80" s="36" t="n">
        <v>5000</v>
      </c>
      <c r="D80" s="36" t="n">
        <v>12000</v>
      </c>
      <c r="E80" s="36" t="n">
        <v>20000</v>
      </c>
      <c r="F80" s="36" t="n">
        <v>50000</v>
      </c>
    </row>
    <row r="81" customFormat="false" ht="18" hidden="false" customHeight="true" outlineLevel="0" collapsed="false">
      <c r="A81" s="12" t="s">
        <v>157</v>
      </c>
      <c r="B81" s="37" t="n">
        <v>250</v>
      </c>
      <c r="C81" s="37" t="n">
        <v>250</v>
      </c>
      <c r="D81" s="37" t="n">
        <v>300</v>
      </c>
      <c r="E81" s="37" t="n">
        <v>350</v>
      </c>
      <c r="F81" s="37" t="n">
        <v>450</v>
      </c>
    </row>
    <row r="82" customFormat="false" ht="18" hidden="false" customHeight="true" outlineLevel="0" collapsed="false">
      <c r="A82" s="12" t="s">
        <v>158</v>
      </c>
      <c r="B82" s="37" t="n">
        <v>100</v>
      </c>
      <c r="C82" s="37" t="n">
        <v>100</v>
      </c>
      <c r="D82" s="37" t="n">
        <v>120</v>
      </c>
      <c r="E82" s="37" t="n">
        <v>140</v>
      </c>
      <c r="F82" s="37" t="n">
        <v>180</v>
      </c>
    </row>
    <row r="83" customFormat="false" ht="18" hidden="false" customHeight="true" outlineLevel="0" collapsed="false">
      <c r="A83" s="12" t="s">
        <v>159</v>
      </c>
      <c r="B83" s="37" t="n">
        <v>300</v>
      </c>
      <c r="C83" s="37" t="n">
        <v>300</v>
      </c>
      <c r="D83" s="37" t="n">
        <v>350</v>
      </c>
      <c r="E83" s="37" t="n">
        <v>400</v>
      </c>
      <c r="F83" s="37" t="n">
        <v>600</v>
      </c>
    </row>
    <row r="84" customFormat="false" ht="18" hidden="false" customHeight="true" outlineLevel="0" collapsed="false">
      <c r="A84" s="12" t="s">
        <v>160</v>
      </c>
      <c r="B84" s="37" t="n">
        <v>200</v>
      </c>
      <c r="C84" s="37" t="n">
        <v>220</v>
      </c>
      <c r="D84" s="37" t="n">
        <v>250</v>
      </c>
      <c r="E84" s="37" t="n">
        <v>300</v>
      </c>
      <c r="F84" s="37" t="n">
        <v>450</v>
      </c>
    </row>
    <row r="85" customFormat="false" ht="18" hidden="false" customHeight="true" outlineLevel="0" collapsed="false">
      <c r="A85" s="12" t="s">
        <v>161</v>
      </c>
      <c r="B85" s="37" t="n">
        <v>150</v>
      </c>
      <c r="C85" s="37" t="n">
        <v>180</v>
      </c>
      <c r="D85" s="37" t="n">
        <v>220</v>
      </c>
      <c r="E85" s="37" t="n">
        <v>280</v>
      </c>
      <c r="F85" s="37" t="n">
        <v>420</v>
      </c>
    </row>
    <row r="86" customFormat="false" ht="18" hidden="false" customHeight="true" outlineLevel="0" collapsed="false">
      <c r="A86" s="12" t="s">
        <v>162</v>
      </c>
      <c r="B86" s="37" t="n">
        <v>0</v>
      </c>
      <c r="C86" s="37" t="n">
        <v>250</v>
      </c>
      <c r="D86" s="37" t="n">
        <v>380</v>
      </c>
      <c r="E86" s="37" t="n">
        <v>520</v>
      </c>
      <c r="F86" s="37" t="n">
        <v>1100</v>
      </c>
    </row>
    <row r="87" customFormat="false" ht="18" hidden="false" customHeight="true" outlineLevel="0" collapsed="false">
      <c r="A87" s="12" t="s">
        <v>163</v>
      </c>
      <c r="B87" s="37" t="n">
        <v>80</v>
      </c>
      <c r="C87" s="37" t="n">
        <v>180</v>
      </c>
      <c r="D87" s="37" t="n">
        <v>280</v>
      </c>
      <c r="E87" s="37" t="n">
        <v>420</v>
      </c>
      <c r="F87" s="37" t="n">
        <v>900</v>
      </c>
    </row>
    <row r="88" customFormat="false" ht="18" hidden="false" customHeight="true" outlineLevel="0" collapsed="false">
      <c r="A88" s="12" t="s">
        <v>164</v>
      </c>
      <c r="B88" s="37" t="n">
        <v>90</v>
      </c>
      <c r="C88" s="37" t="n">
        <v>90</v>
      </c>
      <c r="D88" s="37" t="n">
        <v>110</v>
      </c>
      <c r="E88" s="37" t="n">
        <v>130</v>
      </c>
      <c r="F88" s="37" t="n">
        <v>200</v>
      </c>
    </row>
    <row r="89" customFormat="false" ht="18" hidden="false" customHeight="true" outlineLevel="0" collapsed="false">
      <c r="A89" s="12" t="s">
        <v>165</v>
      </c>
      <c r="B89" s="37" t="n">
        <v>100</v>
      </c>
      <c r="C89" s="37" t="n">
        <v>100</v>
      </c>
      <c r="D89" s="37" t="n">
        <v>120</v>
      </c>
      <c r="E89" s="37" t="n">
        <v>120</v>
      </c>
      <c r="F89" s="37" t="n">
        <v>150</v>
      </c>
    </row>
    <row r="90" customFormat="false" ht="18" hidden="false" customHeight="true" outlineLevel="0" collapsed="false">
      <c r="A90" s="12" t="s">
        <v>166</v>
      </c>
      <c r="B90" s="37" t="n">
        <v>0</v>
      </c>
      <c r="C90" s="37" t="n">
        <v>40</v>
      </c>
      <c r="D90" s="37" t="n">
        <v>50</v>
      </c>
      <c r="E90" s="37" t="n">
        <v>60</v>
      </c>
      <c r="F90" s="37" t="n">
        <v>100</v>
      </c>
    </row>
    <row r="91" customFormat="false" ht="18" hidden="false" customHeight="true" outlineLevel="0" collapsed="false">
      <c r="A91" s="38" t="s">
        <v>167</v>
      </c>
      <c r="B91" s="39" t="n">
        <v>0</v>
      </c>
      <c r="C91" s="39" t="n">
        <v>300</v>
      </c>
      <c r="D91" s="39" t="n">
        <v>520</v>
      </c>
      <c r="E91" s="39" t="n">
        <v>780</v>
      </c>
      <c r="F91" s="39" t="n">
        <v>1600</v>
      </c>
    </row>
    <row r="92" customFormat="false" ht="18" hidden="false" customHeight="true" outlineLevel="0" collapsed="false">
      <c r="A92" s="12" t="s">
        <v>168</v>
      </c>
      <c r="B92" s="37" t="n">
        <v>0</v>
      </c>
      <c r="C92" s="37" t="n">
        <v>0</v>
      </c>
      <c r="D92" s="37" t="n">
        <v>0</v>
      </c>
      <c r="E92" s="37" t="n">
        <v>1700</v>
      </c>
      <c r="F92" s="37" t="n">
        <v>3400</v>
      </c>
    </row>
    <row r="93" customFormat="false" ht="18" hidden="false" customHeight="true" outlineLevel="0" collapsed="false">
      <c r="A93" s="12" t="s">
        <v>169</v>
      </c>
      <c r="B93" s="37" t="n">
        <v>150</v>
      </c>
      <c r="C93" s="37" t="n">
        <v>250</v>
      </c>
      <c r="D93" s="37" t="n">
        <v>400</v>
      </c>
      <c r="E93" s="37" t="n">
        <v>600</v>
      </c>
      <c r="F93" s="37" t="n">
        <v>1200</v>
      </c>
    </row>
    <row r="94" customFormat="false" ht="15" hidden="false" customHeight="true" outlineLevel="0" collapsed="false">
      <c r="A94" s="35" t="s">
        <v>170</v>
      </c>
      <c r="B94" s="40" t="n">
        <f aca="false">B81+B82+B83+B84+B85+B86</f>
        <v>1000</v>
      </c>
      <c r="C94" s="40" t="n">
        <f aca="false">C81+C82+C83+C84+C85+C86</f>
        <v>1300</v>
      </c>
      <c r="D94" s="40" t="n">
        <f aca="false">D81+D82+D83+D84+D85+D86</f>
        <v>1620</v>
      </c>
      <c r="E94" s="40" t="n">
        <f aca="false">E81+E82+E83+E84+E85+E86</f>
        <v>1990</v>
      </c>
      <c r="F94" s="40" t="n">
        <f aca="false">F81+F82+F83+F84+F85+F86</f>
        <v>3200</v>
      </c>
    </row>
    <row r="95" customFormat="false" ht="15" hidden="false" customHeight="true" outlineLevel="0" collapsed="false">
      <c r="A95" s="35" t="s">
        <v>171</v>
      </c>
      <c r="B95" s="40" t="n">
        <f aca="false">B87+B88+B89+B90</f>
        <v>270</v>
      </c>
      <c r="C95" s="40" t="n">
        <f aca="false">C87+C88+C89+C90</f>
        <v>410</v>
      </c>
      <c r="D95" s="40" t="n">
        <f aca="false">D87+D88+D89+D90</f>
        <v>560</v>
      </c>
      <c r="E95" s="40" t="n">
        <f aca="false">E87+E88+E89+E90</f>
        <v>730</v>
      </c>
      <c r="F95" s="40" t="n">
        <f aca="false">F87+F88+F89+F90</f>
        <v>1350</v>
      </c>
    </row>
    <row r="96" customFormat="false" ht="15" hidden="false" customHeight="true" outlineLevel="0" collapsed="false">
      <c r="A96" s="35" t="s">
        <v>172</v>
      </c>
      <c r="B96" s="40" t="n">
        <f aca="false">B92</f>
        <v>0</v>
      </c>
      <c r="C96" s="40" t="n">
        <f aca="false">C92</f>
        <v>0</v>
      </c>
      <c r="D96" s="40" t="n">
        <f aca="false">D92</f>
        <v>0</v>
      </c>
      <c r="E96" s="40" t="n">
        <f aca="false">E92</f>
        <v>1700</v>
      </c>
      <c r="F96" s="40" t="n">
        <f aca="false">F92</f>
        <v>3400</v>
      </c>
    </row>
    <row r="97" customFormat="false" ht="15" hidden="false" customHeight="true" outlineLevel="0" collapsed="false">
      <c r="A97" s="35" t="s">
        <v>173</v>
      </c>
      <c r="B97" s="40" t="n">
        <f aca="false">B93</f>
        <v>150</v>
      </c>
      <c r="C97" s="40" t="n">
        <f aca="false">C93</f>
        <v>250</v>
      </c>
      <c r="D97" s="40" t="n">
        <f aca="false">D93</f>
        <v>400</v>
      </c>
      <c r="E97" s="40" t="n">
        <f aca="false">E93</f>
        <v>600</v>
      </c>
      <c r="F97" s="40" t="n">
        <f aca="false">F93</f>
        <v>1200</v>
      </c>
    </row>
    <row r="98" customFormat="false" ht="15" hidden="false" customHeight="true" outlineLevel="0" collapsed="false">
      <c r="A98" s="35" t="s">
        <v>174</v>
      </c>
      <c r="B98" s="41" t="n">
        <f aca="false">B81+B82+B83+B84+B85+B86+B87+B88+B89+B90+B92+B93+B91</f>
        <v>1420</v>
      </c>
      <c r="C98" s="41" t="n">
        <f aca="false">C81+C82+C83+C84+C85+C86+C87+C88+C89+C90+C92+C93+C91</f>
        <v>2260</v>
      </c>
      <c r="D98" s="41" t="n">
        <f aca="false">D81+D82+D83+D84+D85+D86+D87+D88+D89+D90+D92+D93+D91</f>
        <v>3100</v>
      </c>
      <c r="E98" s="41" t="n">
        <f aca="false">E81+E82+E83+E84+E85+E86+E87+E88+E89+E90+E92+E93+E91</f>
        <v>5800</v>
      </c>
      <c r="F98" s="41" t="n">
        <f aca="false">F81+F82+F83+F84+F85+F86+F87+F88+F89+F90+F92+F93+F91</f>
        <v>10750</v>
      </c>
    </row>
    <row r="99" customFormat="false" ht="15" hidden="false" customHeight="true" outlineLevel="0" collapsed="false">
      <c r="A99" s="42" t="s">
        <v>175</v>
      </c>
      <c r="B99" s="43" t="n">
        <v>1420</v>
      </c>
      <c r="C99" s="43" t="n">
        <v>2260</v>
      </c>
      <c r="D99" s="43" t="n">
        <v>3100</v>
      </c>
      <c r="E99" s="43" t="n">
        <v>5800</v>
      </c>
      <c r="F99" s="43" t="n">
        <v>12150</v>
      </c>
    </row>
    <row r="100" customFormat="false" ht="15" hidden="false" customHeight="true" outlineLevel="0" collapsed="false">
      <c r="A100" s="44" t="s">
        <v>176</v>
      </c>
      <c r="B100" s="45" t="n">
        <f aca="false">B98-B99</f>
        <v>0</v>
      </c>
      <c r="C100" s="45" t="n">
        <f aca="false">C98-C99</f>
        <v>0</v>
      </c>
      <c r="D100" s="45" t="n">
        <f aca="false">D98-D99</f>
        <v>0</v>
      </c>
      <c r="E100" s="45" t="n">
        <f aca="false">E98-E99</f>
        <v>0</v>
      </c>
      <c r="F100" s="45" t="n">
        <f aca="false">F98-F99</f>
        <v>-1400</v>
      </c>
    </row>
    <row r="101" customFormat="false" ht="61.5" hidden="false" customHeight="true" outlineLevel="0" collapsed="false">
      <c r="A101" s="21" t="s">
        <v>177</v>
      </c>
      <c r="B101" s="21"/>
      <c r="C101" s="21"/>
      <c r="D101" s="21"/>
      <c r="E101" s="21"/>
    </row>
    <row r="103" customFormat="false" ht="15.75" hidden="false" customHeight="true" outlineLevel="0" collapsed="false">
      <c r="A103" s="5" t="s">
        <v>178</v>
      </c>
    </row>
    <row r="104" customFormat="false" ht="25.5" hidden="false" customHeight="true" outlineLevel="0" collapsed="false">
      <c r="A104" s="10" t="s">
        <v>179</v>
      </c>
      <c r="B104" s="10" t="s">
        <v>180</v>
      </c>
      <c r="C104" s="10"/>
      <c r="D104" s="10"/>
      <c r="E104" s="10"/>
      <c r="F104" s="10" t="s">
        <v>181</v>
      </c>
    </row>
    <row r="105" customFormat="false" ht="51.75" hidden="false" customHeight="true" outlineLevel="0" collapsed="false">
      <c r="A105" s="27" t="s">
        <v>182</v>
      </c>
      <c r="B105" s="46" t="n">
        <v>0.22</v>
      </c>
      <c r="F105" s="16" t="s">
        <v>183</v>
      </c>
    </row>
    <row r="106" customFormat="false" ht="51.75" hidden="false" customHeight="true" outlineLevel="0" collapsed="false">
      <c r="A106" s="27" t="s">
        <v>184</v>
      </c>
      <c r="B106" s="46" t="n">
        <v>0.15</v>
      </c>
      <c r="F106" s="16" t="s">
        <v>185</v>
      </c>
    </row>
    <row r="107" customFormat="false" ht="51.75" hidden="false" customHeight="true" outlineLevel="0" collapsed="false">
      <c r="A107" s="27" t="s">
        <v>186</v>
      </c>
      <c r="B107" s="46" t="n">
        <v>1</v>
      </c>
      <c r="F107" s="16" t="s">
        <v>187</v>
      </c>
    </row>
    <row r="108" customFormat="false" ht="51.75" hidden="false" customHeight="true" outlineLevel="0" collapsed="false">
      <c r="A108" s="27" t="s">
        <v>188</v>
      </c>
      <c r="B108" s="46" t="n">
        <v>3.5</v>
      </c>
      <c r="F108" s="16" t="s">
        <v>189</v>
      </c>
    </row>
    <row r="109" customFormat="false" ht="54" hidden="false" customHeight="true" outlineLevel="0" collapsed="false">
      <c r="A109" s="27" t="s">
        <v>190</v>
      </c>
      <c r="B109" s="47" t="n">
        <v>2</v>
      </c>
      <c r="F109" s="48" t="s">
        <v>191</v>
      </c>
    </row>
    <row r="110" customFormat="false" ht="43.5" hidden="false" customHeight="true" outlineLevel="0" collapsed="false">
      <c r="A110" s="27" t="s">
        <v>192</v>
      </c>
      <c r="B110" s="49" t="n">
        <v>0.35</v>
      </c>
      <c r="F110" s="16" t="s">
        <v>193</v>
      </c>
    </row>
    <row r="111" customFormat="false" ht="15" hidden="false" customHeight="true" outlineLevel="0" collapsed="false">
      <c r="A111" s="35" t="s">
        <v>194</v>
      </c>
      <c r="B111" s="50" t="n">
        <f aca="false">CHOOSE($B$109+1,0,$B$106,$B$107,$B$108)</f>
        <v>1</v>
      </c>
    </row>
    <row r="112" customFormat="false" ht="103.5" hidden="false" customHeight="true" outlineLevel="0" collapsed="false">
      <c r="A112" s="51" t="s">
        <v>195</v>
      </c>
      <c r="B112" s="51"/>
      <c r="C112" s="51"/>
      <c r="D112" s="51"/>
      <c r="E112" s="51"/>
    </row>
    <row r="114" customFormat="false" ht="15.75" hidden="false" customHeight="true" outlineLevel="0" collapsed="false">
      <c r="A114" s="5" t="s">
        <v>196</v>
      </c>
    </row>
    <row r="115" customFormat="false" ht="24" hidden="false" customHeight="true" outlineLevel="0" collapsed="false">
      <c r="A115" s="10" t="s">
        <v>150</v>
      </c>
      <c r="B115" s="10" t="s">
        <v>197</v>
      </c>
      <c r="C115" s="10" t="s">
        <v>198</v>
      </c>
      <c r="D115" s="10"/>
      <c r="E115" s="10"/>
      <c r="F115" s="10" t="s">
        <v>199</v>
      </c>
    </row>
    <row r="116" customFormat="false" ht="19.5" hidden="false" customHeight="true" outlineLevel="0" collapsed="false">
      <c r="A116" s="12" t="s">
        <v>200</v>
      </c>
      <c r="B116" s="52" t="n">
        <v>2600</v>
      </c>
      <c r="C116" s="53" t="n">
        <v>1</v>
      </c>
      <c r="F116" s="16" t="s">
        <v>201</v>
      </c>
    </row>
    <row r="117" customFormat="false" ht="19.5" hidden="false" customHeight="true" outlineLevel="0" collapsed="false">
      <c r="A117" s="12" t="s">
        <v>202</v>
      </c>
      <c r="B117" s="52" t="n">
        <v>1500</v>
      </c>
      <c r="C117" s="53" t="n">
        <v>1</v>
      </c>
      <c r="F117" s="16" t="s">
        <v>203</v>
      </c>
    </row>
    <row r="118" customFormat="false" ht="19.5" hidden="false" customHeight="true" outlineLevel="0" collapsed="false">
      <c r="A118" s="12" t="s">
        <v>204</v>
      </c>
      <c r="B118" s="52" t="n">
        <v>2500</v>
      </c>
      <c r="C118" s="53" t="n">
        <v>1</v>
      </c>
      <c r="F118" s="16" t="s">
        <v>205</v>
      </c>
    </row>
    <row r="119" customFormat="false" ht="19.5" hidden="false" customHeight="true" outlineLevel="0" collapsed="false">
      <c r="A119" s="12" t="s">
        <v>206</v>
      </c>
      <c r="B119" s="52" t="n">
        <v>1800</v>
      </c>
      <c r="C119" s="53" t="n">
        <v>2</v>
      </c>
      <c r="F119" s="16" t="s">
        <v>207</v>
      </c>
    </row>
    <row r="120" customFormat="false" ht="19.5" hidden="false" customHeight="true" outlineLevel="0" collapsed="false">
      <c r="A120" s="12" t="s">
        <v>208</v>
      </c>
      <c r="B120" s="52" t="n">
        <v>900</v>
      </c>
      <c r="C120" s="53" t="n">
        <v>2</v>
      </c>
      <c r="F120" s="16" t="s">
        <v>209</v>
      </c>
    </row>
    <row r="121" customFormat="false" ht="19.5" hidden="false" customHeight="true" outlineLevel="0" collapsed="false">
      <c r="A121" s="12" t="s">
        <v>210</v>
      </c>
      <c r="B121" s="52" t="n">
        <v>5500</v>
      </c>
      <c r="C121" s="53" t="n">
        <v>3</v>
      </c>
      <c r="F121" s="16" t="s">
        <v>211</v>
      </c>
    </row>
    <row r="122" customFormat="false" ht="19.5" hidden="false" customHeight="true" outlineLevel="0" collapsed="false">
      <c r="A122" s="12" t="s">
        <v>212</v>
      </c>
      <c r="B122" s="52" t="n">
        <v>6000</v>
      </c>
      <c r="C122" s="53" t="n">
        <v>3</v>
      </c>
      <c r="F122" s="16" t="s">
        <v>213</v>
      </c>
    </row>
    <row r="123" customFormat="false" ht="19.5" hidden="false" customHeight="true" outlineLevel="0" collapsed="false">
      <c r="A123" s="12" t="s">
        <v>214</v>
      </c>
      <c r="B123" s="52" t="n">
        <v>4500</v>
      </c>
      <c r="C123" s="53" t="n">
        <v>4</v>
      </c>
      <c r="F123" s="16" t="s">
        <v>215</v>
      </c>
    </row>
    <row r="124" customFormat="false" ht="19.5" hidden="false" customHeight="true" outlineLevel="0" collapsed="false">
      <c r="A124" s="12" t="s">
        <v>216</v>
      </c>
      <c r="B124" s="52" t="n">
        <v>3000</v>
      </c>
      <c r="C124" s="53" t="n">
        <v>5</v>
      </c>
      <c r="F124" s="16" t="s">
        <v>217</v>
      </c>
    </row>
    <row r="125" customFormat="false" ht="19.5" hidden="false" customHeight="true" outlineLevel="0" collapsed="false">
      <c r="A125" s="12" t="s">
        <v>218</v>
      </c>
      <c r="B125" s="52" t="n">
        <v>2000</v>
      </c>
      <c r="C125" s="53" t="n">
        <v>6</v>
      </c>
      <c r="F125" s="16" t="s">
        <v>219</v>
      </c>
    </row>
    <row r="126" customFormat="false" ht="19.5" hidden="false" customHeight="true" outlineLevel="0" collapsed="false">
      <c r="A126" s="12" t="s">
        <v>220</v>
      </c>
      <c r="B126" s="52" t="n">
        <v>4000</v>
      </c>
      <c r="C126" s="53" t="n">
        <v>8</v>
      </c>
      <c r="F126" s="16" t="s">
        <v>221</v>
      </c>
    </row>
    <row r="127" customFormat="false" ht="19.5" hidden="false" customHeight="true" outlineLevel="0" collapsed="false">
      <c r="A127" s="12" t="s">
        <v>222</v>
      </c>
      <c r="B127" s="52" t="n">
        <v>1500</v>
      </c>
      <c r="C127" s="53" t="n">
        <v>8</v>
      </c>
      <c r="F127" s="16" t="s">
        <v>223</v>
      </c>
    </row>
    <row r="128" customFormat="false" ht="54" hidden="false" customHeight="true" outlineLevel="0" collapsed="false">
      <c r="A128" s="14" t="s">
        <v>224</v>
      </c>
      <c r="B128" s="52" t="n">
        <v>18900</v>
      </c>
      <c r="C128" s="53" t="n">
        <v>1</v>
      </c>
      <c r="F128" s="16" t="s">
        <v>225</v>
      </c>
    </row>
    <row r="129" customFormat="false" ht="42" hidden="false" customHeight="true" outlineLevel="0" collapsed="false">
      <c r="A129" s="14" t="s">
        <v>226</v>
      </c>
      <c r="B129" s="52" t="n">
        <v>1200</v>
      </c>
      <c r="C129" s="53" t="n">
        <v>1</v>
      </c>
      <c r="F129" s="16" t="s">
        <v>227</v>
      </c>
    </row>
    <row r="130" customFormat="false" ht="15" hidden="false" customHeight="true" outlineLevel="0" collapsed="false">
      <c r="A130" s="35" t="s">
        <v>228</v>
      </c>
      <c r="B130" s="54" t="n">
        <f aca="false">SUM($B$116:$B$127)</f>
        <v>35800</v>
      </c>
      <c r="C130" s="55" t="s">
        <v>229</v>
      </c>
    </row>
    <row r="131" customFormat="false" ht="15" hidden="false" customHeight="true" outlineLevel="0" collapsed="false">
      <c r="A131" s="35" t="s">
        <v>230</v>
      </c>
      <c r="B131" s="54" t="n">
        <f aca="false">SUM($B$116:$B$129)</f>
        <v>55900</v>
      </c>
      <c r="C131" s="55" t="str">
        <f aca="false">"Handbuch B plus "&amp;FIXED(B131-B130,0)&amp;" € aus Beschlüssen"</f>
        <v>Handbuch B plus 20.100 € aus Beschlüssen</v>
      </c>
    </row>
    <row r="133" customFormat="false" ht="15.75" hidden="false" customHeight="true" outlineLevel="0" collapsed="false">
      <c r="A133" s="5" t="s">
        <v>231</v>
      </c>
    </row>
    <row r="134" customFormat="false" ht="24" hidden="false" customHeight="true" outlineLevel="0" collapsed="false">
      <c r="A134" s="10" t="s">
        <v>29</v>
      </c>
      <c r="B134" s="10" t="s">
        <v>30</v>
      </c>
      <c r="C134" s="10" t="s">
        <v>31</v>
      </c>
      <c r="D134" s="10" t="s">
        <v>32</v>
      </c>
      <c r="E134" s="10"/>
      <c r="F134" s="10" t="s">
        <v>33</v>
      </c>
    </row>
    <row r="135" customFormat="false" ht="78" hidden="false" customHeight="true" outlineLevel="0" collapsed="false">
      <c r="A135" s="14" t="s">
        <v>232</v>
      </c>
      <c r="B135" s="34" t="n">
        <v>10000</v>
      </c>
      <c r="C135" s="34" t="n">
        <v>6000</v>
      </c>
      <c r="D135" s="34" t="n">
        <v>3500</v>
      </c>
      <c r="F135" s="16" t="s">
        <v>233</v>
      </c>
    </row>
    <row r="136" customFormat="false" ht="30" hidden="false" customHeight="true" outlineLevel="0" collapsed="false">
      <c r="A136" s="14" t="s">
        <v>234</v>
      </c>
      <c r="B136" s="15" t="n">
        <v>1</v>
      </c>
      <c r="C136" s="15" t="n">
        <v>1</v>
      </c>
      <c r="D136" s="15" t="n">
        <v>1</v>
      </c>
      <c r="F136" s="16" t="s">
        <v>235</v>
      </c>
    </row>
    <row r="137" customFormat="false" ht="30" hidden="false" customHeight="true" outlineLevel="0" collapsed="false">
      <c r="A137" s="14" t="s">
        <v>236</v>
      </c>
      <c r="B137" s="34" t="n">
        <v>0</v>
      </c>
      <c r="C137" s="34" t="n">
        <v>4000</v>
      </c>
      <c r="D137" s="34" t="n">
        <v>4000</v>
      </c>
      <c r="F137" s="16" t="s">
        <v>237</v>
      </c>
    </row>
    <row r="138" customFormat="false" ht="42" hidden="false" customHeight="true" outlineLevel="0" collapsed="false">
      <c r="A138" s="14" t="s">
        <v>238</v>
      </c>
      <c r="B138" s="15" t="n">
        <v>13</v>
      </c>
      <c r="C138" s="15" t="n">
        <v>13</v>
      </c>
      <c r="D138" s="15" t="n">
        <v>13</v>
      </c>
      <c r="F138" s="16" t="s">
        <v>239</v>
      </c>
    </row>
    <row r="139" customFormat="false" ht="30" hidden="false" customHeight="true" outlineLevel="0" collapsed="false">
      <c r="A139" s="14" t="s">
        <v>240</v>
      </c>
      <c r="B139" s="34" t="n">
        <v>4000</v>
      </c>
      <c r="C139" s="34" t="n">
        <v>8000</v>
      </c>
      <c r="D139" s="34" t="n">
        <v>8000</v>
      </c>
      <c r="F139" s="16" t="s">
        <v>241</v>
      </c>
    </row>
    <row r="140" customFormat="false" ht="30" hidden="false" customHeight="true" outlineLevel="0" collapsed="false">
      <c r="A140" s="14" t="s">
        <v>242</v>
      </c>
      <c r="B140" s="15" t="n">
        <v>25</v>
      </c>
      <c r="C140" s="15" t="n">
        <v>25</v>
      </c>
      <c r="D140" s="15" t="n">
        <v>25</v>
      </c>
      <c r="F140" s="16" t="s">
        <v>243</v>
      </c>
    </row>
    <row r="142" customFormat="false" ht="15.75" hidden="false" customHeight="true" outlineLevel="0" collapsed="false">
      <c r="A142" s="5" t="s">
        <v>244</v>
      </c>
    </row>
    <row r="143" customFormat="false" ht="25.5" hidden="false" customHeight="true" outlineLevel="0" collapsed="false">
      <c r="A143" s="10" t="s">
        <v>29</v>
      </c>
      <c r="B143" s="10" t="s">
        <v>30</v>
      </c>
      <c r="C143" s="10" t="s">
        <v>31</v>
      </c>
      <c r="D143" s="10" t="s">
        <v>32</v>
      </c>
      <c r="E143" s="25"/>
      <c r="F143" s="10" t="s">
        <v>33</v>
      </c>
    </row>
    <row r="144" customFormat="false" ht="54" hidden="false" customHeight="true" outlineLevel="0" collapsed="false">
      <c r="A144" s="14" t="s">
        <v>245</v>
      </c>
      <c r="B144" s="34" t="n">
        <v>2000</v>
      </c>
      <c r="C144" s="34" t="n">
        <v>2000</v>
      </c>
      <c r="D144" s="34" t="n">
        <v>2000</v>
      </c>
      <c r="E144" s="25"/>
      <c r="F144" s="16" t="s">
        <v>246</v>
      </c>
    </row>
    <row r="145" customFormat="false" ht="30" hidden="false" customHeight="true" outlineLevel="0" collapsed="false">
      <c r="A145" s="14" t="s">
        <v>247</v>
      </c>
      <c r="B145" s="15" t="n">
        <v>1</v>
      </c>
      <c r="C145" s="15" t="n">
        <v>1</v>
      </c>
      <c r="D145" s="15" t="n">
        <v>1</v>
      </c>
      <c r="E145" s="25"/>
      <c r="F145" s="16" t="s">
        <v>248</v>
      </c>
    </row>
    <row r="146" customFormat="false" ht="30" hidden="false" customHeight="true" outlineLevel="0" collapsed="false">
      <c r="A146" s="14" t="s">
        <v>249</v>
      </c>
      <c r="B146" s="23" t="n">
        <v>0.3</v>
      </c>
      <c r="C146" s="23" t="n">
        <v>0.3</v>
      </c>
      <c r="D146" s="23" t="n">
        <v>0.3</v>
      </c>
      <c r="E146" s="25"/>
      <c r="F146" s="16" t="s">
        <v>250</v>
      </c>
    </row>
    <row r="147" customFormat="false" ht="42" hidden="false" customHeight="true" outlineLevel="0" collapsed="false">
      <c r="A147" s="14" t="s">
        <v>251</v>
      </c>
      <c r="B147" s="15" t="n">
        <v>2</v>
      </c>
      <c r="C147" s="15" t="n">
        <v>2</v>
      </c>
      <c r="D147" s="15" t="n">
        <v>2</v>
      </c>
      <c r="E147" s="25"/>
      <c r="F147" s="16" t="s">
        <v>252</v>
      </c>
    </row>
    <row r="148" customFormat="false" ht="30" hidden="false" customHeight="true" outlineLevel="0" collapsed="false">
      <c r="A148" s="14" t="s">
        <v>253</v>
      </c>
      <c r="B148" s="56" t="n">
        <v>0.078</v>
      </c>
      <c r="C148" s="56" t="n">
        <v>0.078</v>
      </c>
      <c r="D148" s="56" t="n">
        <v>0.078</v>
      </c>
      <c r="E148" s="25"/>
      <c r="F148" s="16" t="s">
        <v>254</v>
      </c>
    </row>
    <row r="150" customFormat="false" ht="15.75" hidden="false" customHeight="true" outlineLevel="0" collapsed="false">
      <c r="A150" s="5" t="s">
        <v>255</v>
      </c>
    </row>
    <row r="151" customFormat="false" ht="24" hidden="false" customHeight="true" outlineLevel="0" collapsed="false">
      <c r="A151" s="10" t="s">
        <v>29</v>
      </c>
      <c r="B151" s="10" t="s">
        <v>81</v>
      </c>
      <c r="C151" s="10"/>
      <c r="D151" s="10"/>
      <c r="E151" s="10"/>
      <c r="F151" s="10" t="s">
        <v>33</v>
      </c>
    </row>
    <row r="152" customFormat="false" ht="27.75" hidden="false" customHeight="true" outlineLevel="0" collapsed="false">
      <c r="A152" s="14" t="s">
        <v>256</v>
      </c>
      <c r="B152" s="34" t="n">
        <v>8000</v>
      </c>
      <c r="F152" s="16" t="s">
        <v>257</v>
      </c>
    </row>
    <row r="153" customFormat="false" ht="27.75" hidden="false" customHeight="true" outlineLevel="0" collapsed="false">
      <c r="A153" s="14" t="s">
        <v>258</v>
      </c>
      <c r="B153" s="18" t="n">
        <v>0.2</v>
      </c>
      <c r="F153" s="16" t="s">
        <v>257</v>
      </c>
    </row>
    <row r="154" customFormat="false" ht="27.75" hidden="false" customHeight="true" outlineLevel="0" collapsed="false">
      <c r="A154" s="14" t="s">
        <v>259</v>
      </c>
      <c r="B154" s="34" t="n">
        <v>200</v>
      </c>
      <c r="F154" s="16" t="s">
        <v>260</v>
      </c>
    </row>
    <row r="155" customFormat="false" ht="27.75" hidden="false" customHeight="true" outlineLevel="0" collapsed="false">
      <c r="A155" s="14" t="s">
        <v>261</v>
      </c>
      <c r="B155" s="15" t="n">
        <v>2</v>
      </c>
      <c r="F155" s="16" t="s">
        <v>262</v>
      </c>
    </row>
    <row r="156" customFormat="false" ht="42" hidden="false" customHeight="true" outlineLevel="0" collapsed="false">
      <c r="A156" s="14" t="s">
        <v>263</v>
      </c>
      <c r="B156" s="34" t="n">
        <v>1100</v>
      </c>
      <c r="F156" s="16" t="s">
        <v>264</v>
      </c>
    </row>
    <row r="158" customFormat="false" ht="16.15" hidden="false" customHeight="false" outlineLevel="0" collapsed="false">
      <c r="A158" s="57" t="s">
        <v>265</v>
      </c>
    </row>
    <row r="159" customFormat="false" ht="57.75" hidden="false" customHeight="true" outlineLevel="0" collapsed="false">
      <c r="A159" s="58" t="s">
        <v>266</v>
      </c>
      <c r="B159" s="58"/>
      <c r="C159" s="58"/>
      <c r="D159" s="58"/>
      <c r="E159" s="58"/>
      <c r="F159" s="58"/>
    </row>
    <row r="160" customFormat="false" ht="45.75" hidden="false" customHeight="true" outlineLevel="0" collapsed="false">
      <c r="A160" s="21" t="s">
        <v>267</v>
      </c>
      <c r="B160" s="21"/>
      <c r="C160" s="21"/>
      <c r="D160" s="21"/>
      <c r="E160" s="21"/>
      <c r="F160" s="21"/>
    </row>
    <row r="161" customFormat="false" ht="33.75" hidden="false" customHeight="true" outlineLevel="0" collapsed="false">
      <c r="A161" s="21" t="s">
        <v>268</v>
      </c>
      <c r="B161" s="21"/>
      <c r="C161" s="21"/>
      <c r="D161" s="21"/>
      <c r="E161" s="21"/>
      <c r="F161" s="21"/>
    </row>
  </sheetData>
  <mergeCells count="8">
    <mergeCell ref="A29:F29"/>
    <mergeCell ref="F55:F58"/>
    <mergeCell ref="A76:F76"/>
    <mergeCell ref="A101:E101"/>
    <mergeCell ref="A112:E112"/>
    <mergeCell ref="A159:F159"/>
    <mergeCell ref="A160:F160"/>
    <mergeCell ref="A161:F161"/>
  </mergeCells>
  <dataValidations count="1">
    <dataValidation allowBlank="false" errorStyle="stop" operator="between" showDropDown="false" showErrorMessage="false" showInputMessage="false" sqref="B109" type="list">
      <formula1>"0,1,2,3"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37" min="2" style="1" width="11"/>
  </cols>
  <sheetData>
    <row r="1" customFormat="false" ht="19.5" hidden="false" customHeight="true" outlineLevel="0" collapsed="false">
      <c r="A1" s="2" t="s">
        <v>269</v>
      </c>
    </row>
    <row r="2" customFormat="false" ht="25.5" hidden="false" customHeight="true" outlineLevel="0" collapsed="false">
      <c r="A2" s="3" t="s">
        <v>270</v>
      </c>
    </row>
    <row r="4" customFormat="false" ht="21.75" hidden="false" customHeight="true" outlineLevel="0" collapsed="false">
      <c r="A4" s="10" t="s">
        <v>150</v>
      </c>
      <c r="B4" s="10" t="s">
        <v>271</v>
      </c>
      <c r="C4" s="10" t="s">
        <v>272</v>
      </c>
      <c r="D4" s="10" t="s">
        <v>273</v>
      </c>
      <c r="E4" s="10" t="s">
        <v>274</v>
      </c>
      <c r="F4" s="10" t="s">
        <v>275</v>
      </c>
      <c r="G4" s="10" t="s">
        <v>276</v>
      </c>
      <c r="H4" s="10" t="s">
        <v>277</v>
      </c>
      <c r="I4" s="10" t="s">
        <v>278</v>
      </c>
      <c r="J4" s="10" t="s">
        <v>279</v>
      </c>
      <c r="K4" s="10" t="s">
        <v>280</v>
      </c>
      <c r="L4" s="10" t="s">
        <v>281</v>
      </c>
      <c r="M4" s="10" t="s">
        <v>282</v>
      </c>
      <c r="N4" s="10" t="s">
        <v>283</v>
      </c>
      <c r="O4" s="10" t="s">
        <v>284</v>
      </c>
      <c r="P4" s="10" t="s">
        <v>285</v>
      </c>
      <c r="Q4" s="10" t="s">
        <v>286</v>
      </c>
      <c r="R4" s="10" t="s">
        <v>287</v>
      </c>
      <c r="S4" s="10" t="s">
        <v>288</v>
      </c>
      <c r="T4" s="10" t="s">
        <v>289</v>
      </c>
      <c r="U4" s="10" t="s">
        <v>290</v>
      </c>
      <c r="V4" s="10" t="s">
        <v>291</v>
      </c>
      <c r="W4" s="10" t="s">
        <v>292</v>
      </c>
      <c r="X4" s="10" t="s">
        <v>293</v>
      </c>
      <c r="Y4" s="10" t="s">
        <v>294</v>
      </c>
      <c r="Z4" s="10" t="s">
        <v>295</v>
      </c>
      <c r="AA4" s="10" t="s">
        <v>296</v>
      </c>
      <c r="AB4" s="10" t="s">
        <v>297</v>
      </c>
      <c r="AC4" s="10" t="s">
        <v>298</v>
      </c>
      <c r="AD4" s="10" t="s">
        <v>299</v>
      </c>
      <c r="AE4" s="10" t="s">
        <v>300</v>
      </c>
      <c r="AF4" s="10" t="s">
        <v>301</v>
      </c>
      <c r="AG4" s="10" t="s">
        <v>302</v>
      </c>
      <c r="AH4" s="10" t="s">
        <v>303</v>
      </c>
      <c r="AI4" s="10" t="s">
        <v>304</v>
      </c>
      <c r="AJ4" s="10" t="s">
        <v>305</v>
      </c>
      <c r="AK4" s="10" t="s">
        <v>306</v>
      </c>
    </row>
    <row r="5" customFormat="false" ht="16.5" hidden="false" customHeight="true" outlineLevel="0" collapsed="false">
      <c r="A5" s="14" t="s">
        <v>198</v>
      </c>
      <c r="B5" s="59" t="n">
        <v>1</v>
      </c>
      <c r="C5" s="59" t="n">
        <v>2</v>
      </c>
      <c r="D5" s="59" t="n">
        <v>3</v>
      </c>
      <c r="E5" s="59" t="n">
        <v>4</v>
      </c>
      <c r="F5" s="59" t="n">
        <v>5</v>
      </c>
      <c r="G5" s="59" t="n">
        <v>6</v>
      </c>
      <c r="H5" s="59" t="n">
        <v>7</v>
      </c>
      <c r="I5" s="59" t="n">
        <v>8</v>
      </c>
      <c r="J5" s="59" t="n">
        <v>9</v>
      </c>
      <c r="K5" s="59" t="n">
        <v>10</v>
      </c>
      <c r="L5" s="59" t="n">
        <v>11</v>
      </c>
      <c r="M5" s="59" t="n">
        <v>12</v>
      </c>
      <c r="N5" s="59" t="n">
        <v>13</v>
      </c>
      <c r="O5" s="59" t="n">
        <v>14</v>
      </c>
      <c r="P5" s="59" t="n">
        <v>15</v>
      </c>
      <c r="Q5" s="59" t="n">
        <v>16</v>
      </c>
      <c r="R5" s="59" t="n">
        <v>17</v>
      </c>
      <c r="S5" s="59" t="n">
        <v>18</v>
      </c>
      <c r="T5" s="59" t="n">
        <v>19</v>
      </c>
      <c r="U5" s="59" t="n">
        <v>20</v>
      </c>
      <c r="V5" s="59" t="n">
        <v>21</v>
      </c>
      <c r="W5" s="59" t="n">
        <v>22</v>
      </c>
      <c r="X5" s="59" t="n">
        <v>23</v>
      </c>
      <c r="Y5" s="59" t="n">
        <v>24</v>
      </c>
      <c r="Z5" s="59" t="n">
        <v>25</v>
      </c>
      <c r="AA5" s="59" t="n">
        <v>26</v>
      </c>
      <c r="AB5" s="59" t="n">
        <v>27</v>
      </c>
      <c r="AC5" s="59" t="n">
        <v>28</v>
      </c>
      <c r="AD5" s="59" t="n">
        <v>29</v>
      </c>
      <c r="AE5" s="59" t="n">
        <v>30</v>
      </c>
      <c r="AF5" s="59" t="n">
        <v>31</v>
      </c>
      <c r="AG5" s="59" t="n">
        <v>32</v>
      </c>
      <c r="AH5" s="59" t="n">
        <v>33</v>
      </c>
      <c r="AI5" s="59" t="n">
        <v>34</v>
      </c>
      <c r="AJ5" s="59" t="n">
        <v>35</v>
      </c>
      <c r="AK5" s="59" t="n">
        <v>36</v>
      </c>
    </row>
    <row r="6" customFormat="false" ht="16.5" hidden="false" customHeight="true" outlineLevel="0" collapsed="false">
      <c r="A6" s="14" t="s">
        <v>307</v>
      </c>
      <c r="B6" s="59" t="n">
        <f aca="false">ROUNDUP(B5/12,0)</f>
        <v>1</v>
      </c>
      <c r="C6" s="59" t="n">
        <f aca="false">ROUNDUP(C5/12,0)</f>
        <v>1</v>
      </c>
      <c r="D6" s="59" t="n">
        <f aca="false">ROUNDUP(D5/12,0)</f>
        <v>1</v>
      </c>
      <c r="E6" s="59" t="n">
        <f aca="false">ROUNDUP(E5/12,0)</f>
        <v>1</v>
      </c>
      <c r="F6" s="59" t="n">
        <f aca="false">ROUNDUP(F5/12,0)</f>
        <v>1</v>
      </c>
      <c r="G6" s="59" t="n">
        <f aca="false">ROUNDUP(G5/12,0)</f>
        <v>1</v>
      </c>
      <c r="H6" s="59" t="n">
        <f aca="false">ROUNDUP(H5/12,0)</f>
        <v>1</v>
      </c>
      <c r="I6" s="59" t="n">
        <f aca="false">ROUNDUP(I5/12,0)</f>
        <v>1</v>
      </c>
      <c r="J6" s="59" t="n">
        <f aca="false">ROUNDUP(J5/12,0)</f>
        <v>1</v>
      </c>
      <c r="K6" s="59" t="n">
        <f aca="false">ROUNDUP(K5/12,0)</f>
        <v>1</v>
      </c>
      <c r="L6" s="59" t="n">
        <f aca="false">ROUNDUP(L5/12,0)</f>
        <v>1</v>
      </c>
      <c r="M6" s="59" t="n">
        <f aca="false">ROUNDUP(M5/12,0)</f>
        <v>1</v>
      </c>
      <c r="N6" s="59" t="n">
        <f aca="false">ROUNDUP(N5/12,0)</f>
        <v>2</v>
      </c>
      <c r="O6" s="59" t="n">
        <f aca="false">ROUNDUP(O5/12,0)</f>
        <v>2</v>
      </c>
      <c r="P6" s="59" t="n">
        <f aca="false">ROUNDUP(P5/12,0)</f>
        <v>2</v>
      </c>
      <c r="Q6" s="59" t="n">
        <f aca="false">ROUNDUP(Q5/12,0)</f>
        <v>2</v>
      </c>
      <c r="R6" s="59" t="n">
        <f aca="false">ROUNDUP(R5/12,0)</f>
        <v>2</v>
      </c>
      <c r="S6" s="59" t="n">
        <f aca="false">ROUNDUP(S5/12,0)</f>
        <v>2</v>
      </c>
      <c r="T6" s="59" t="n">
        <f aca="false">ROUNDUP(T5/12,0)</f>
        <v>2</v>
      </c>
      <c r="U6" s="59" t="n">
        <f aca="false">ROUNDUP(U5/12,0)</f>
        <v>2</v>
      </c>
      <c r="V6" s="59" t="n">
        <f aca="false">ROUNDUP(V5/12,0)</f>
        <v>2</v>
      </c>
      <c r="W6" s="59" t="n">
        <f aca="false">ROUNDUP(W5/12,0)</f>
        <v>2</v>
      </c>
      <c r="X6" s="59" t="n">
        <f aca="false">ROUNDUP(X5/12,0)</f>
        <v>2</v>
      </c>
      <c r="Y6" s="59" t="n">
        <f aca="false">ROUNDUP(Y5/12,0)</f>
        <v>2</v>
      </c>
      <c r="Z6" s="59" t="n">
        <f aca="false">ROUNDUP(Z5/12,0)</f>
        <v>3</v>
      </c>
      <c r="AA6" s="59" t="n">
        <f aca="false">ROUNDUP(AA5/12,0)</f>
        <v>3</v>
      </c>
      <c r="AB6" s="59" t="n">
        <f aca="false">ROUNDUP(AB5/12,0)</f>
        <v>3</v>
      </c>
      <c r="AC6" s="59" t="n">
        <f aca="false">ROUNDUP(AC5/12,0)</f>
        <v>3</v>
      </c>
      <c r="AD6" s="59" t="n">
        <f aca="false">ROUNDUP(AD5/12,0)</f>
        <v>3</v>
      </c>
      <c r="AE6" s="59" t="n">
        <f aca="false">ROUNDUP(AE5/12,0)</f>
        <v>3</v>
      </c>
      <c r="AF6" s="59" t="n">
        <f aca="false">ROUNDUP(AF5/12,0)</f>
        <v>3</v>
      </c>
      <c r="AG6" s="59" t="n">
        <f aca="false">ROUNDUP(AG5/12,0)</f>
        <v>3</v>
      </c>
      <c r="AH6" s="59" t="n">
        <f aca="false">ROUNDUP(AH5/12,0)</f>
        <v>3</v>
      </c>
      <c r="AI6" s="59" t="n">
        <f aca="false">ROUNDUP(AI5/12,0)</f>
        <v>3</v>
      </c>
      <c r="AJ6" s="59" t="n">
        <f aca="false">ROUNDUP(AJ5/12,0)</f>
        <v>3</v>
      </c>
      <c r="AK6" s="59" t="n">
        <f aca="false">ROUNDUP(AK5/12,0)</f>
        <v>3</v>
      </c>
    </row>
    <row r="7" customFormat="false" ht="16.5" hidden="false" customHeight="true" outlineLevel="0" collapsed="false">
      <c r="A7" s="27" t="s">
        <v>308</v>
      </c>
      <c r="B7" s="60" t="n">
        <f aca="false">IF(B5&lt;Annahmen!$B$9,0,IF(B5&lt;=12,Annahmen!$B$6*((B5-Annahmen!$B$9+1)/(12-Annahmen!$B$9+1))^Annahmen!$B$10,IF(B5&lt;=24,Annahmen!$B$6+(Annahmen!$B$7-Annahmen!$B$6)*((B5-12)/12)^Annahmen!$B$11,Annahmen!$B$7+(Annahmen!$B$8-Annahmen!$B$7)*((B5-24)/12)^Annahmen!$B$11)))</f>
        <v>0</v>
      </c>
      <c r="C7" s="60" t="n">
        <f aca="false">IF(C5&lt;Annahmen!$B$9,0,IF(C5&lt;=12,Annahmen!$B$6*((C5-Annahmen!$B$9+1)/(12-Annahmen!$B$9+1))^Annahmen!$B$10,IF(C5&lt;=24,Annahmen!$B$6+(Annahmen!$B$7-Annahmen!$B$6)*((C5-12)/12)^Annahmen!$B$11,Annahmen!$B$7+(Annahmen!$B$8-Annahmen!$B$7)*((C5-24)/12)^Annahmen!$B$11)))</f>
        <v>225.106880248671</v>
      </c>
      <c r="D7" s="60" t="n">
        <f aca="false">IF(D5&lt;Annahmen!$B$9,0,IF(D5&lt;=12,Annahmen!$B$6*((D5-Annahmen!$B$9+1)/(12-Annahmen!$B$9+1))^Annahmen!$B$10,IF(D5&lt;=24,Annahmen!$B$6+(Annahmen!$B$7-Annahmen!$B$6)*((D5-12)/12)^Annahmen!$B$11,Annahmen!$B$7+(Annahmen!$B$8-Annahmen!$B$7)*((D5-24)/12)^Annahmen!$B$11)))</f>
        <v>517.159806080326</v>
      </c>
      <c r="E7" s="60" t="n">
        <f aca="false">IF(E5&lt;Annahmen!$B$9,0,IF(E5&lt;=12,Annahmen!$B$6*((E5-Annahmen!$B$9+1)/(12-Annahmen!$B$9+1))^Annahmen!$B$10,IF(E5&lt;=24,Annahmen!$B$6+(Annahmen!$B$7-Annahmen!$B$6)*((E5-12)/12)^Annahmen!$B$11,Annahmen!$B$7+(Annahmen!$B$8-Annahmen!$B$7)*((E5-24)/12)^Annahmen!$B$11)))</f>
        <v>841.267816338284</v>
      </c>
      <c r="F7" s="60" t="n">
        <f aca="false">IF(F5&lt;Annahmen!$B$9,0,IF(F5&lt;=12,Annahmen!$B$6*((F5-Annahmen!$B$9+1)/(12-Annahmen!$B$9+1))^Annahmen!$B$10,IF(F5&lt;=24,Annahmen!$B$6+(Annahmen!$B$7-Annahmen!$B$6)*((F5-12)/12)^Annahmen!$B$11,Annahmen!$B$7+(Annahmen!$B$8-Annahmen!$B$7)*((F5-24)/12)^Annahmen!$B$11)))</f>
        <v>1188.12123703011</v>
      </c>
      <c r="G7" s="60" t="n">
        <f aca="false">IF(G5&lt;Annahmen!$B$9,0,IF(G5&lt;=12,Annahmen!$B$6*((G5-Annahmen!$B$9+1)/(12-Annahmen!$B$9+1))^Annahmen!$B$10,IF(G5&lt;=24,Annahmen!$B$6+(Annahmen!$B$7-Annahmen!$B$6)*((G5-12)/12)^Annahmen!$B$11,Annahmen!$B$7+(Annahmen!$B$8-Annahmen!$B$7)*((G5-24)/12)^Annahmen!$B$11)))</f>
        <v>1552.93319839045</v>
      </c>
      <c r="H7" s="60" t="n">
        <f aca="false">IF(H5&lt;Annahmen!$B$9,0,IF(H5&lt;=12,Annahmen!$B$6*((H5-Annahmen!$B$9+1)/(12-Annahmen!$B$9+1))^Annahmen!$B$10,IF(H5&lt;=24,Annahmen!$B$6+(Annahmen!$B$7-Annahmen!$B$6)*((H5-12)/12)^Annahmen!$B$11,Annahmen!$B$7+(Annahmen!$B$8-Annahmen!$B$7)*((H5-24)/12)^Annahmen!$B$11)))</f>
        <v>1932.72591347947</v>
      </c>
      <c r="I7" s="60" t="n">
        <f aca="false">IF(I5&lt;Annahmen!$B$9,0,IF(I5&lt;=12,Annahmen!$B$6*((I5-Annahmen!$B$9+1)/(12-Annahmen!$B$9+1))^Annahmen!$B$10,IF(I5&lt;=24,Annahmen!$B$6+(Annahmen!$B$7-Annahmen!$B$6)*((I5-12)/12)^Annahmen!$B$11,Annahmen!$B$7+(Annahmen!$B$8-Annahmen!$B$7)*((I5-24)/12)^Annahmen!$B$11)))</f>
        <v>2325.44684652887</v>
      </c>
      <c r="J7" s="60" t="n">
        <f aca="false">IF(J5&lt;Annahmen!$B$9,0,IF(J5&lt;=12,Annahmen!$B$6*((J5-Annahmen!$B$9+1)/(12-Annahmen!$B$9+1))^Annahmen!$B$10,IF(J5&lt;=24,Annahmen!$B$6+(Annahmen!$B$7-Annahmen!$B$6)*((J5-12)/12)^Annahmen!$B$11,Annahmen!$B$7+(Annahmen!$B$8-Annahmen!$B$7)*((J5-24)/12)^Annahmen!$B$11)))</f>
        <v>2729.58582102707</v>
      </c>
      <c r="K7" s="60" t="n">
        <f aca="false">IF(K5&lt;Annahmen!$B$9,0,IF(K5&lt;=12,Annahmen!$B$6*((K5-Annahmen!$B$9+1)/(12-Annahmen!$B$9+1))^Annahmen!$B$10,IF(K5&lt;=24,Annahmen!$B$6+(Annahmen!$B$7-Annahmen!$B$6)*((K5-12)/12)^Annahmen!$B$11,Annahmen!$B$7+(Annahmen!$B$8-Annahmen!$B$7)*((K5-24)/12)^Annahmen!$B$11)))</f>
        <v>3143.98004194616</v>
      </c>
      <c r="L7" s="60" t="n">
        <f aca="false">IF(L5&lt;Annahmen!$B$9,0,IF(L5&lt;=12,Annahmen!$B$6*((L5-Annahmen!$B$9+1)/(12-Annahmen!$B$9+1))^Annahmen!$B$10,IF(L5&lt;=24,Annahmen!$B$6+(Annahmen!$B$7-Annahmen!$B$6)*((L5-12)/12)^Annahmen!$B$11,Annahmen!$B$7+(Annahmen!$B$8-Annahmen!$B$7)*((L5-24)/12)^Annahmen!$B$11)))</f>
        <v>3567.70362082278</v>
      </c>
      <c r="M7" s="60" t="n">
        <f aca="false">IF(M5&lt;Annahmen!$B$9,0,IF(M5&lt;=12,Annahmen!$B$6*((M5-Annahmen!$B$9+1)/(12-Annahmen!$B$9+1))^Annahmen!$B$10,IF(M5&lt;=24,Annahmen!$B$6+(Annahmen!$B$7-Annahmen!$B$6)*((M5-12)/12)^Annahmen!$B$11,Annahmen!$B$7+(Annahmen!$B$8-Annahmen!$B$7)*((M5-24)/12)^Annahmen!$B$11)))</f>
        <v>4000</v>
      </c>
      <c r="N7" s="60" t="n">
        <f aca="false">IF(N5&lt;Annahmen!$B$9,0,IF(N5&lt;=12,Annahmen!$B$6*((N5-Annahmen!$B$9+1)/(12-Annahmen!$B$9+1))^Annahmen!$B$10,IF(N5&lt;=24,Annahmen!$B$6+(Annahmen!$B$7-Annahmen!$B$6)*((N5-12)/12)^Annahmen!$B$11,Annahmen!$B$7+(Annahmen!$B$8-Annahmen!$B$7)*((N5-24)/12)^Annahmen!$B$11)))</f>
        <v>4358.0116261885</v>
      </c>
      <c r="O7" s="60" t="n">
        <f aca="false">IF(O5&lt;Annahmen!$B$9,0,IF(O5&lt;=12,Annahmen!$B$6*((O5-Annahmen!$B$9+1)/(12-Annahmen!$B$9+1))^Annahmen!$B$10,IF(O5&lt;=24,Annahmen!$B$6+(Annahmen!$B$7-Annahmen!$B$6)*((O5-12)/12)^Annahmen!$B$11,Annahmen!$B$7+(Annahmen!$B$8-Annahmen!$B$7)*((O5-24)/12)^Annahmen!$B$11)))</f>
        <v>4906.31115313224</v>
      </c>
      <c r="P7" s="60" t="n">
        <f aca="false">IF(P5&lt;Annahmen!$B$9,0,IF(P5&lt;=12,Annahmen!$B$6*((P5-Annahmen!$B$9+1)/(12-Annahmen!$B$9+1))^Annahmen!$B$10,IF(P5&lt;=24,Annahmen!$B$6+(Annahmen!$B$7-Annahmen!$B$6)*((P5-12)/12)^Annahmen!$B$11,Annahmen!$B$7+(Annahmen!$B$8-Annahmen!$B$7)*((P5-24)/12)^Annahmen!$B$11)))</f>
        <v>5560.41318612701</v>
      </c>
      <c r="Q7" s="60" t="n">
        <f aca="false">IF(Q5&lt;Annahmen!$B$9,0,IF(Q5&lt;=12,Annahmen!$B$6*((Q5-Annahmen!$B$9+1)/(12-Annahmen!$B$9+1))^Annahmen!$B$10,IF(Q5&lt;=24,Annahmen!$B$6+(Annahmen!$B$7-Annahmen!$B$6)*((Q5-12)/12)^Annahmen!$B$11,Annahmen!$B$7+(Annahmen!$B$8-Annahmen!$B$7)*((Q5-24)/12)^Annahmen!$B$11)))</f>
        <v>6294.33863653188</v>
      </c>
      <c r="R7" s="60" t="n">
        <f aca="false">IF(R5&lt;Annahmen!$B$9,0,IF(R5&lt;=12,Annahmen!$B$6*((R5-Annahmen!$B$9+1)/(12-Annahmen!$B$9+1))^Annahmen!$B$10,IF(R5&lt;=24,Annahmen!$B$6+(Annahmen!$B$7-Annahmen!$B$6)*((R5-12)/12)^Annahmen!$B$11,Annahmen!$B$7+(Annahmen!$B$8-Annahmen!$B$7)*((R5-24)/12)^Annahmen!$B$11)))</f>
        <v>7093.97596834233</v>
      </c>
      <c r="S7" s="60" t="n">
        <f aca="false">IF(S5&lt;Annahmen!$B$9,0,IF(S5&lt;=12,Annahmen!$B$6*((S5-Annahmen!$B$9+1)/(12-Annahmen!$B$9+1))^Annahmen!$B$10,IF(S5&lt;=24,Annahmen!$B$6+(Annahmen!$B$7-Annahmen!$B$6)*((S5-12)/12)^Annahmen!$B$11,Annahmen!$B$7+(Annahmen!$B$8-Annahmen!$B$7)*((S5-24)/12)^Annahmen!$B$11)))</f>
        <v>7950.20655931689</v>
      </c>
      <c r="T7" s="60" t="n">
        <f aca="false">IF(T5&lt;Annahmen!$B$9,0,IF(T5&lt;=12,Annahmen!$B$6*((T5-Annahmen!$B$9+1)/(12-Annahmen!$B$9+1))^Annahmen!$B$10,IF(T5&lt;=24,Annahmen!$B$6+(Annahmen!$B$7-Annahmen!$B$6)*((T5-12)/12)^Annahmen!$B$11,Annahmen!$B$7+(Annahmen!$B$8-Annahmen!$B$7)*((T5-24)/12)^Annahmen!$B$11)))</f>
        <v>8856.55715236646</v>
      </c>
      <c r="U7" s="60" t="n">
        <f aca="false">IF(U5&lt;Annahmen!$B$9,0,IF(U5&lt;=12,Annahmen!$B$6*((U5-Annahmen!$B$9+1)/(12-Annahmen!$B$9+1))^Annahmen!$B$10,IF(U5&lt;=24,Annahmen!$B$6+(Annahmen!$B$7-Annahmen!$B$6)*((U5-12)/12)^Annahmen!$B$11,Annahmen!$B$7+(Annahmen!$B$8-Annahmen!$B$7)*((U5-24)/12)^Annahmen!$B$11)))</f>
        <v>9808.14851598201</v>
      </c>
      <c r="V7" s="60" t="n">
        <f aca="false">IF(V5&lt;Annahmen!$B$9,0,IF(V5&lt;=12,Annahmen!$B$6*((V5-Annahmen!$B$9+1)/(12-Annahmen!$B$9+1))^Annahmen!$B$10,IF(V5&lt;=24,Annahmen!$B$6+(Annahmen!$B$7-Annahmen!$B$6)*((V5-12)/12)^Annahmen!$B$11,Annahmen!$B$7+(Annahmen!$B$8-Annahmen!$B$7)*((V5-24)/12)^Annahmen!$B$11)))</f>
        <v>10801.1459218842</v>
      </c>
      <c r="W7" s="60" t="n">
        <f aca="false">IF(W5&lt;Annahmen!$B$9,0,IF(W5&lt;=12,Annahmen!$B$6*((W5-Annahmen!$B$9+1)/(12-Annahmen!$B$9+1))^Annahmen!$B$10,IF(W5&lt;=24,Annahmen!$B$6+(Annahmen!$B$7-Annahmen!$B$6)*((W5-12)/12)^Annahmen!$B$11,Annahmen!$B$7+(Annahmen!$B$8-Annahmen!$B$7)*((W5-24)/12)^Annahmen!$B$11)))</f>
        <v>11832.4409670298</v>
      </c>
      <c r="X7" s="60" t="n">
        <f aca="false">IF(X5&lt;Annahmen!$B$9,0,IF(X5&lt;=12,Annahmen!$B$6*((X5-Annahmen!$B$9+1)/(12-Annahmen!$B$9+1))^Annahmen!$B$10,IF(X5&lt;=24,Annahmen!$B$6+(Annahmen!$B$7-Annahmen!$B$6)*((X5-12)/12)^Annahmen!$B$11,Annahmen!$B$7+(Annahmen!$B$8-Annahmen!$B$7)*((X5-24)/12)^Annahmen!$B$11)))</f>
        <v>12899.4532994914</v>
      </c>
      <c r="Y7" s="60" t="n">
        <f aca="false">IF(Y5&lt;Annahmen!$B$9,0,IF(Y5&lt;=12,Annahmen!$B$6*((Y5-Annahmen!$B$9+1)/(12-Annahmen!$B$9+1))^Annahmen!$B$10,IF(Y5&lt;=24,Annahmen!$B$6+(Annahmen!$B$7-Annahmen!$B$6)*((Y5-12)/12)^Annahmen!$B$11,Annahmen!$B$7+(Annahmen!$B$8-Annahmen!$B$7)*((Y5-24)/12)^Annahmen!$B$11)))</f>
        <v>14000</v>
      </c>
      <c r="Z7" s="60" t="n">
        <f aca="false">IF(Z5&lt;Annahmen!$B$9,0,IF(Z5&lt;=12,Annahmen!$B$6*((Z5-Annahmen!$B$9+1)/(12-Annahmen!$B$9+1))^Annahmen!$B$10,IF(Z5&lt;=24,Annahmen!$B$6+(Annahmen!$B$7-Annahmen!$B$6)*((Z5-12)/12)^Annahmen!$B$11,Annahmen!$B$7+(Annahmen!$B$8-Annahmen!$B$7)*((Z5-24)/12)^Annahmen!$B$11)))</f>
        <v>14572.8186019016</v>
      </c>
      <c r="AA7" s="60" t="n">
        <f aca="false">IF(AA5&lt;Annahmen!$B$9,0,IF(AA5&lt;=12,Annahmen!$B$6*((AA5-Annahmen!$B$9+1)/(12-Annahmen!$B$9+1))^Annahmen!$B$10,IF(AA5&lt;=24,Annahmen!$B$6+(Annahmen!$B$7-Annahmen!$B$6)*((AA5-12)/12)^Annahmen!$B$11,Annahmen!$B$7+(Annahmen!$B$8-Annahmen!$B$7)*((AA5-24)/12)^Annahmen!$B$11)))</f>
        <v>15450.0978450116</v>
      </c>
      <c r="AB7" s="60" t="n">
        <f aca="false">IF(AB5&lt;Annahmen!$B$9,0,IF(AB5&lt;=12,Annahmen!$B$6*((AB5-Annahmen!$B$9+1)/(12-Annahmen!$B$9+1))^Annahmen!$B$10,IF(AB5&lt;=24,Annahmen!$B$6+(Annahmen!$B$7-Annahmen!$B$6)*((AB5-12)/12)^Annahmen!$B$11,Annahmen!$B$7+(Annahmen!$B$8-Annahmen!$B$7)*((AB5-24)/12)^Annahmen!$B$11)))</f>
        <v>16496.6610978032</v>
      </c>
      <c r="AC7" s="60" t="n">
        <f aca="false">IF(AC5&lt;Annahmen!$B$9,0,IF(AC5&lt;=12,Annahmen!$B$6*((AC5-Annahmen!$B$9+1)/(12-Annahmen!$B$9+1))^Annahmen!$B$10,IF(AC5&lt;=24,Annahmen!$B$6+(Annahmen!$B$7-Annahmen!$B$6)*((AC5-12)/12)^Annahmen!$B$11,Annahmen!$B$7+(Annahmen!$B$8-Annahmen!$B$7)*((AC5-24)/12)^Annahmen!$B$11)))</f>
        <v>17670.941818451</v>
      </c>
      <c r="AD7" s="60" t="n">
        <f aca="false">IF(AD5&lt;Annahmen!$B$9,0,IF(AD5&lt;=12,Annahmen!$B$6*((AD5-Annahmen!$B$9+1)/(12-Annahmen!$B$9+1))^Annahmen!$B$10,IF(AD5&lt;=24,Annahmen!$B$6+(Annahmen!$B$7-Annahmen!$B$6)*((AD5-12)/12)^Annahmen!$B$11,Annahmen!$B$7+(Annahmen!$B$8-Annahmen!$B$7)*((AD5-24)/12)^Annahmen!$B$11)))</f>
        <v>18950.3615493477</v>
      </c>
      <c r="AE7" s="60" t="n">
        <f aca="false">IF(AE5&lt;Annahmen!$B$9,0,IF(AE5&lt;=12,Annahmen!$B$6*((AE5-Annahmen!$B$9+1)/(12-Annahmen!$B$9+1))^Annahmen!$B$10,IF(AE5&lt;=24,Annahmen!$B$6+(Annahmen!$B$7-Annahmen!$B$6)*((AE5-12)/12)^Annahmen!$B$11,Annahmen!$B$7+(Annahmen!$B$8-Annahmen!$B$7)*((AE5-24)/12)^Annahmen!$B$11)))</f>
        <v>20320.330494907</v>
      </c>
      <c r="AF7" s="60" t="n">
        <f aca="false">IF(AF5&lt;Annahmen!$B$9,0,IF(AF5&lt;=12,Annahmen!$B$6*((AF5-Annahmen!$B$9+1)/(12-Annahmen!$B$9+1))^Annahmen!$B$10,IF(AF5&lt;=24,Annahmen!$B$6+(Annahmen!$B$7-Annahmen!$B$6)*((AF5-12)/12)^Annahmen!$B$11,Annahmen!$B$7+(Annahmen!$B$8-Annahmen!$B$7)*((AF5-24)/12)^Annahmen!$B$11)))</f>
        <v>21770.4914437863</v>
      </c>
      <c r="AG7" s="60" t="n">
        <f aca="false">IF(AG5&lt;Annahmen!$B$9,0,IF(AG5&lt;=12,Annahmen!$B$6*((AG5-Annahmen!$B$9+1)/(12-Annahmen!$B$9+1))^Annahmen!$B$10,IF(AG5&lt;=24,Annahmen!$B$6+(Annahmen!$B$7-Annahmen!$B$6)*((AG5-12)/12)^Annahmen!$B$11,Annahmen!$B$7+(Annahmen!$B$8-Annahmen!$B$7)*((AG5-24)/12)^Annahmen!$B$11)))</f>
        <v>23293.0376255712</v>
      </c>
      <c r="AH7" s="60" t="n">
        <f aca="false">IF(AH5&lt;Annahmen!$B$9,0,IF(AH5&lt;=12,Annahmen!$B$6*((AH5-Annahmen!$B$9+1)/(12-Annahmen!$B$9+1))^Annahmen!$B$10,IF(AH5&lt;=24,Annahmen!$B$6+(Annahmen!$B$7-Annahmen!$B$6)*((AH5-12)/12)^Annahmen!$B$11,Annahmen!$B$7+(Annahmen!$B$8-Annahmen!$B$7)*((AH5-24)/12)^Annahmen!$B$11)))</f>
        <v>24881.8334750147</v>
      </c>
      <c r="AI7" s="60" t="n">
        <f aca="false">IF(AI5&lt;Annahmen!$B$9,0,IF(AI5&lt;=12,Annahmen!$B$6*((AI5-Annahmen!$B$9+1)/(12-Annahmen!$B$9+1))^Annahmen!$B$10,IF(AI5&lt;=24,Annahmen!$B$6+(Annahmen!$B$7-Annahmen!$B$6)*((AI5-12)/12)^Annahmen!$B$11,Annahmen!$B$7+(Annahmen!$B$8-Annahmen!$B$7)*((AI5-24)/12)^Annahmen!$B$11)))</f>
        <v>26531.9055472476</v>
      </c>
      <c r="AJ7" s="60" t="n">
        <f aca="false">IF(AJ5&lt;Annahmen!$B$9,0,IF(AJ5&lt;=12,Annahmen!$B$6*((AJ5-Annahmen!$B$9+1)/(12-Annahmen!$B$9+1))^Annahmen!$B$10,IF(AJ5&lt;=24,Annahmen!$B$6+(Annahmen!$B$7-Annahmen!$B$6)*((AJ5-12)/12)^Annahmen!$B$11,Annahmen!$B$7+(Annahmen!$B$8-Annahmen!$B$7)*((AJ5-24)/12)^Annahmen!$B$11)))</f>
        <v>28239.1252791863</v>
      </c>
      <c r="AK7" s="60" t="n">
        <f aca="false">IF(AK5&lt;Annahmen!$B$9,0,IF(AK5&lt;=12,Annahmen!$B$6*((AK5-Annahmen!$B$9+1)/(12-Annahmen!$B$9+1))^Annahmen!$B$10,IF(AK5&lt;=24,Annahmen!$B$6+(Annahmen!$B$7-Annahmen!$B$6)*((AK5-12)/12)^Annahmen!$B$11,Annahmen!$B$7+(Annahmen!$B$8-Annahmen!$B$7)*((AK5-24)/12)^Annahmen!$B$11)))</f>
        <v>30000</v>
      </c>
    </row>
    <row r="8" customFormat="false" ht="16.5" hidden="false" customHeight="true" outlineLevel="0" collapsed="false">
      <c r="A8" s="14" t="s">
        <v>309</v>
      </c>
      <c r="B8" s="60" t="n">
        <f aca="false">IF(B5&lt;=12,Annahmen!$B$12,IF(B5&lt;=24,Annahmen!$B$13,Annahmen!$B$14))</f>
        <v>1</v>
      </c>
      <c r="C8" s="60" t="n">
        <f aca="false">IF(C5&lt;=12,Annahmen!$B$12,IF(C5&lt;=24,Annahmen!$B$13,Annahmen!$B$14))</f>
        <v>1</v>
      </c>
      <c r="D8" s="60" t="n">
        <f aca="false">IF(D5&lt;=12,Annahmen!$B$12,IF(D5&lt;=24,Annahmen!$B$13,Annahmen!$B$14))</f>
        <v>1</v>
      </c>
      <c r="E8" s="60" t="n">
        <f aca="false">IF(E5&lt;=12,Annahmen!$B$12,IF(E5&lt;=24,Annahmen!$B$13,Annahmen!$B$14))</f>
        <v>1</v>
      </c>
      <c r="F8" s="60" t="n">
        <f aca="false">IF(F5&lt;=12,Annahmen!$B$12,IF(F5&lt;=24,Annahmen!$B$13,Annahmen!$B$14))</f>
        <v>1</v>
      </c>
      <c r="G8" s="60" t="n">
        <f aca="false">IF(G5&lt;=12,Annahmen!$B$12,IF(G5&lt;=24,Annahmen!$B$13,Annahmen!$B$14))</f>
        <v>1</v>
      </c>
      <c r="H8" s="60" t="n">
        <f aca="false">IF(H5&lt;=12,Annahmen!$B$12,IF(H5&lt;=24,Annahmen!$B$13,Annahmen!$B$14))</f>
        <v>1</v>
      </c>
      <c r="I8" s="60" t="n">
        <f aca="false">IF(I5&lt;=12,Annahmen!$B$12,IF(I5&lt;=24,Annahmen!$B$13,Annahmen!$B$14))</f>
        <v>1</v>
      </c>
      <c r="J8" s="60" t="n">
        <f aca="false">IF(J5&lt;=12,Annahmen!$B$12,IF(J5&lt;=24,Annahmen!$B$13,Annahmen!$B$14))</f>
        <v>1</v>
      </c>
      <c r="K8" s="60" t="n">
        <f aca="false">IF(K5&lt;=12,Annahmen!$B$12,IF(K5&lt;=24,Annahmen!$B$13,Annahmen!$B$14))</f>
        <v>1</v>
      </c>
      <c r="L8" s="60" t="n">
        <f aca="false">IF(L5&lt;=12,Annahmen!$B$12,IF(L5&lt;=24,Annahmen!$B$13,Annahmen!$B$14))</f>
        <v>1</v>
      </c>
      <c r="M8" s="60" t="n">
        <f aca="false">IF(M5&lt;=12,Annahmen!$B$12,IF(M5&lt;=24,Annahmen!$B$13,Annahmen!$B$14))</f>
        <v>1</v>
      </c>
      <c r="N8" s="60" t="n">
        <f aca="false">IF(N5&lt;=12,Annahmen!$B$12,IF(N5&lt;=24,Annahmen!$B$13,Annahmen!$B$14))</f>
        <v>2</v>
      </c>
      <c r="O8" s="60" t="n">
        <f aca="false">IF(O5&lt;=12,Annahmen!$B$12,IF(O5&lt;=24,Annahmen!$B$13,Annahmen!$B$14))</f>
        <v>2</v>
      </c>
      <c r="P8" s="60" t="n">
        <f aca="false">IF(P5&lt;=12,Annahmen!$B$12,IF(P5&lt;=24,Annahmen!$B$13,Annahmen!$B$14))</f>
        <v>2</v>
      </c>
      <c r="Q8" s="60" t="n">
        <f aca="false">IF(Q5&lt;=12,Annahmen!$B$12,IF(Q5&lt;=24,Annahmen!$B$13,Annahmen!$B$14))</f>
        <v>2</v>
      </c>
      <c r="R8" s="60" t="n">
        <f aca="false">IF(R5&lt;=12,Annahmen!$B$12,IF(R5&lt;=24,Annahmen!$B$13,Annahmen!$B$14))</f>
        <v>2</v>
      </c>
      <c r="S8" s="60" t="n">
        <f aca="false">IF(S5&lt;=12,Annahmen!$B$12,IF(S5&lt;=24,Annahmen!$B$13,Annahmen!$B$14))</f>
        <v>2</v>
      </c>
      <c r="T8" s="60" t="n">
        <f aca="false">IF(T5&lt;=12,Annahmen!$B$12,IF(T5&lt;=24,Annahmen!$B$13,Annahmen!$B$14))</f>
        <v>2</v>
      </c>
      <c r="U8" s="60" t="n">
        <f aca="false">IF(U5&lt;=12,Annahmen!$B$12,IF(U5&lt;=24,Annahmen!$B$13,Annahmen!$B$14))</f>
        <v>2</v>
      </c>
      <c r="V8" s="60" t="n">
        <f aca="false">IF(V5&lt;=12,Annahmen!$B$12,IF(V5&lt;=24,Annahmen!$B$13,Annahmen!$B$14))</f>
        <v>2</v>
      </c>
      <c r="W8" s="60" t="n">
        <f aca="false">IF(W5&lt;=12,Annahmen!$B$12,IF(W5&lt;=24,Annahmen!$B$13,Annahmen!$B$14))</f>
        <v>2</v>
      </c>
      <c r="X8" s="60" t="n">
        <f aca="false">IF(X5&lt;=12,Annahmen!$B$12,IF(X5&lt;=24,Annahmen!$B$13,Annahmen!$B$14))</f>
        <v>2</v>
      </c>
      <c r="Y8" s="60" t="n">
        <f aca="false">IF(Y5&lt;=12,Annahmen!$B$12,IF(Y5&lt;=24,Annahmen!$B$13,Annahmen!$B$14))</f>
        <v>2</v>
      </c>
      <c r="Z8" s="60" t="n">
        <f aca="false">IF(Z5&lt;=12,Annahmen!$B$12,IF(Z5&lt;=24,Annahmen!$B$13,Annahmen!$B$14))</f>
        <v>2</v>
      </c>
      <c r="AA8" s="60" t="n">
        <f aca="false">IF(AA5&lt;=12,Annahmen!$B$12,IF(AA5&lt;=24,Annahmen!$B$13,Annahmen!$B$14))</f>
        <v>2</v>
      </c>
      <c r="AB8" s="60" t="n">
        <f aca="false">IF(AB5&lt;=12,Annahmen!$B$12,IF(AB5&lt;=24,Annahmen!$B$13,Annahmen!$B$14))</f>
        <v>2</v>
      </c>
      <c r="AC8" s="60" t="n">
        <f aca="false">IF(AC5&lt;=12,Annahmen!$B$12,IF(AC5&lt;=24,Annahmen!$B$13,Annahmen!$B$14))</f>
        <v>2</v>
      </c>
      <c r="AD8" s="60" t="n">
        <f aca="false">IF(AD5&lt;=12,Annahmen!$B$12,IF(AD5&lt;=24,Annahmen!$B$13,Annahmen!$B$14))</f>
        <v>2</v>
      </c>
      <c r="AE8" s="60" t="n">
        <f aca="false">IF(AE5&lt;=12,Annahmen!$B$12,IF(AE5&lt;=24,Annahmen!$B$13,Annahmen!$B$14))</f>
        <v>2</v>
      </c>
      <c r="AF8" s="60" t="n">
        <f aca="false">IF(AF5&lt;=12,Annahmen!$B$12,IF(AF5&lt;=24,Annahmen!$B$13,Annahmen!$B$14))</f>
        <v>2</v>
      </c>
      <c r="AG8" s="60" t="n">
        <f aca="false">IF(AG5&lt;=12,Annahmen!$B$12,IF(AG5&lt;=24,Annahmen!$B$13,Annahmen!$B$14))</f>
        <v>2</v>
      </c>
      <c r="AH8" s="60" t="n">
        <f aca="false">IF(AH5&lt;=12,Annahmen!$B$12,IF(AH5&lt;=24,Annahmen!$B$13,Annahmen!$B$14))</f>
        <v>2</v>
      </c>
      <c r="AI8" s="60" t="n">
        <f aca="false">IF(AI5&lt;=12,Annahmen!$B$12,IF(AI5&lt;=24,Annahmen!$B$13,Annahmen!$B$14))</f>
        <v>2</v>
      </c>
      <c r="AJ8" s="60" t="n">
        <f aca="false">IF(AJ5&lt;=12,Annahmen!$B$12,IF(AJ5&lt;=24,Annahmen!$B$13,Annahmen!$B$14))</f>
        <v>2</v>
      </c>
      <c r="AK8" s="60" t="n">
        <f aca="false">IF(AK5&lt;=12,Annahmen!$B$12,IF(AK5&lt;=24,Annahmen!$B$13,Annahmen!$B$14))</f>
        <v>2</v>
      </c>
    </row>
    <row r="9" customFormat="false" ht="16.5" hidden="false" customHeight="true" outlineLevel="0" collapsed="false">
      <c r="A9" s="14" t="s">
        <v>310</v>
      </c>
      <c r="B9" s="60" t="n">
        <f aca="false">MAX(0,B7-0)+B7*Annahmen!$B$15*(1-Annahmen!$B$16)</f>
        <v>0</v>
      </c>
      <c r="C9" s="60" t="n">
        <f aca="false">MAX(0,C7-B7)+C7*Annahmen!$B$15*(1-Annahmen!$B$16)</f>
        <v>240.864361866078</v>
      </c>
      <c r="D9" s="60" t="n">
        <f aca="false">MAX(0,D7-C7)+D7*Annahmen!$B$15*(1-Annahmen!$B$16)</f>
        <v>328.254112257278</v>
      </c>
      <c r="E9" s="60" t="n">
        <f aca="false">MAX(0,E7-D7)+E7*Annahmen!$B$15*(1-Annahmen!$B$16)</f>
        <v>382.996757401638</v>
      </c>
      <c r="F9" s="60" t="n">
        <f aca="false">MAX(0,F7-E7)+F7*Annahmen!$B$15*(1-Annahmen!$B$16)</f>
        <v>430.021907283936</v>
      </c>
      <c r="G9" s="60" t="n">
        <f aca="false">MAX(0,G7-F7)+G7*Annahmen!$B$15*(1-Annahmen!$B$16)</f>
        <v>473.517285247665</v>
      </c>
      <c r="H9" s="60" t="n">
        <f aca="false">MAX(0,H7-G7)+H7*Annahmen!$B$15*(1-Annahmen!$B$16)</f>
        <v>515.083529032587</v>
      </c>
      <c r="I9" s="60" t="n">
        <f aca="false">MAX(0,I7-H7)+I7*Annahmen!$B$15*(1-Annahmen!$B$16)</f>
        <v>555.502212306424</v>
      </c>
      <c r="J9" s="60" t="n">
        <f aca="false">MAX(0,J7-I7)+J7*Annahmen!$B$15*(1-Annahmen!$B$16)</f>
        <v>595.209981970087</v>
      </c>
      <c r="K9" s="60" t="n">
        <f aca="false">MAX(0,K7-J7)+K7*Annahmen!$B$15*(1-Annahmen!$B$16)</f>
        <v>634.472823855322</v>
      </c>
      <c r="L9" s="60" t="n">
        <f aca="false">MAX(0,L7-K7)+L7*Annahmen!$B$15*(1-Annahmen!$B$16)</f>
        <v>673.462832334217</v>
      </c>
      <c r="M9" s="60" t="n">
        <f aca="false">MAX(0,M7-L7)+M7*Annahmen!$B$15*(1-Annahmen!$B$16)</f>
        <v>712.296379177221</v>
      </c>
      <c r="N9" s="60" t="n">
        <f aca="false">MAX(0,N7-M7)+N7*Annahmen!$B$15*(1-Annahmen!$B$16)</f>
        <v>663.072440021697</v>
      </c>
      <c r="O9" s="60" t="n">
        <f aca="false">MAX(0,O7-N7)+O7*Annahmen!$B$15*(1-Annahmen!$B$16)</f>
        <v>891.741307662993</v>
      </c>
      <c r="P9" s="60" t="n">
        <f aca="false">MAX(0,P7-O7)+P7*Annahmen!$B$15*(1-Annahmen!$B$16)</f>
        <v>1043.33095602367</v>
      </c>
      <c r="Q9" s="60" t="n">
        <f aca="false">MAX(0,Q7-P7)+Q7*Annahmen!$B$15*(1-Annahmen!$B$16)</f>
        <v>1174.52915496209</v>
      </c>
      <c r="R9" s="60" t="n">
        <f aca="false">MAX(0,R7-Q7)+R7*Annahmen!$B$15*(1-Annahmen!$B$16)</f>
        <v>1296.21564959441</v>
      </c>
      <c r="S9" s="60" t="n">
        <f aca="false">MAX(0,S7-R7)+S7*Annahmen!$B$15*(1-Annahmen!$B$16)</f>
        <v>1412.74505012674</v>
      </c>
      <c r="T9" s="60" t="n">
        <f aca="false">MAX(0,T7-S7)+T7*Annahmen!$B$15*(1-Annahmen!$B$16)</f>
        <v>1526.30959371523</v>
      </c>
      <c r="U9" s="60" t="n">
        <f aca="false">MAX(0,U7-T7)+U7*Annahmen!$B$15*(1-Annahmen!$B$16)</f>
        <v>1638.16175973429</v>
      </c>
      <c r="V9" s="60" t="n">
        <f aca="false">MAX(0,V7-U7)+V7*Annahmen!$B$15*(1-Annahmen!$B$16)</f>
        <v>1749.0776204341</v>
      </c>
      <c r="W9" s="60" t="n">
        <f aca="false">MAX(0,W7-V7)+W7*Annahmen!$B$15*(1-Annahmen!$B$16)</f>
        <v>1859.56591283764</v>
      </c>
      <c r="X9" s="60" t="n">
        <f aca="false">MAX(0,X7-W7)+X7*Annahmen!$B$15*(1-Annahmen!$B$16)</f>
        <v>1969.97406342606</v>
      </c>
      <c r="Y9" s="60" t="n">
        <f aca="false">MAX(0,Y7-X7)+Y7*Annahmen!$B$15*(1-Annahmen!$B$16)</f>
        <v>2080.54670050858</v>
      </c>
      <c r="Z9" s="60" t="n">
        <f aca="false">MAX(0,Z7-Y7)+Z7*Annahmen!$B$15*(1-Annahmen!$B$16)</f>
        <v>1592.91590403472</v>
      </c>
      <c r="AA9" s="60" t="n">
        <f aca="false">MAX(0,AA7-Z7)+AA7*Annahmen!$B$15*(1-Annahmen!$B$16)</f>
        <v>1958.78609226079</v>
      </c>
      <c r="AB9" s="60" t="n">
        <f aca="false">MAX(0,AB7-AA7)+AB7*Annahmen!$B$15*(1-Annahmen!$B$16)</f>
        <v>2201.32952963787</v>
      </c>
      <c r="AC9" s="60" t="n">
        <f aca="false">MAX(0,AC7-AB7)+AC7*Annahmen!$B$15*(1-Annahmen!$B$16)</f>
        <v>2411.24664793935</v>
      </c>
      <c r="AD9" s="60" t="n">
        <f aca="false">MAX(0,AD7-AC7)+AD7*Annahmen!$B$15*(1-Annahmen!$B$16)</f>
        <v>2605.94503935106</v>
      </c>
      <c r="AE9" s="60" t="n">
        <f aca="false">MAX(0,AE7-AD7)+AE7*Annahmen!$B$15*(1-Annahmen!$B$16)</f>
        <v>2792.39208020278</v>
      </c>
      <c r="AF9" s="60" t="n">
        <f aca="false">MAX(0,AF7-AE7)+AF7*Annahmen!$B$15*(1-Annahmen!$B$16)</f>
        <v>2974.09534994437</v>
      </c>
      <c r="AG9" s="60" t="n">
        <f aca="false">MAX(0,AG7-AF7)+AG7*Annahmen!$B$15*(1-Annahmen!$B$16)</f>
        <v>3153.05881557486</v>
      </c>
      <c r="AH9" s="60" t="n">
        <f aca="false">MAX(0,AH7-AG7)+AH7*Annahmen!$B$15*(1-Annahmen!$B$16)</f>
        <v>3330.52419269456</v>
      </c>
      <c r="AI9" s="60" t="n">
        <f aca="false">MAX(0,AI7-AH7)+AI7*Annahmen!$B$15*(1-Annahmen!$B$16)</f>
        <v>3507.30546054022</v>
      </c>
      <c r="AJ9" s="60" t="n">
        <f aca="false">MAX(0,AJ7-AI7)+AJ7*Annahmen!$B$15*(1-Annahmen!$B$16)</f>
        <v>3683.95850148169</v>
      </c>
      <c r="AK9" s="60" t="n">
        <f aca="false">MAX(0,AK7-AJ7)+AK7*Annahmen!$B$15*(1-Annahmen!$B$16)</f>
        <v>3860.87472081372</v>
      </c>
    </row>
    <row r="10" customFormat="false" ht="16.5" hidden="false" customHeight="true" outlineLevel="0" collapsed="false">
      <c r="A10" s="14" t="s">
        <v>311</v>
      </c>
      <c r="B10" s="61" t="n">
        <f aca="false">IF(B5&lt;Annahmen!$B$22,0,Annahmen!$B$23*(Annahmen!$B$24+(1-Annahmen!$B$24)*MIN(1,(B5-Annahmen!$B$22+1)/Annahmen!$B$25)))</f>
        <v>0</v>
      </c>
      <c r="C10" s="61" t="n">
        <f aca="false">IF(C5&lt;Annahmen!$B$22,0,Annahmen!$B$23*(Annahmen!$B$24+(1-Annahmen!$B$24)*MIN(1,(C5-Annahmen!$B$22+1)/Annahmen!$B$25)))</f>
        <v>0</v>
      </c>
      <c r="D10" s="61" t="n">
        <f aca="false">IF(D5&lt;Annahmen!$B$22,0,Annahmen!$B$23*(Annahmen!$B$24+(1-Annahmen!$B$24)*MIN(1,(D5-Annahmen!$B$22+1)/Annahmen!$B$25)))</f>
        <v>0</v>
      </c>
      <c r="E10" s="61" t="n">
        <f aca="false">IF(E5&lt;Annahmen!$B$22,0,Annahmen!$B$23*(Annahmen!$B$24+(1-Annahmen!$B$24)*MIN(1,(E5-Annahmen!$B$22+1)/Annahmen!$B$25)))</f>
        <v>0</v>
      </c>
      <c r="F10" s="61" t="n">
        <f aca="false">IF(F5&lt;Annahmen!$B$22,0,Annahmen!$B$23*(Annahmen!$B$24+(1-Annahmen!$B$24)*MIN(1,(F5-Annahmen!$B$22+1)/Annahmen!$B$25)))</f>
        <v>0</v>
      </c>
      <c r="G10" s="61" t="n">
        <f aca="false">IF(G5&lt;Annahmen!$B$22,0,Annahmen!$B$23*(Annahmen!$B$24+(1-Annahmen!$B$24)*MIN(1,(G5-Annahmen!$B$22+1)/Annahmen!$B$25)))</f>
        <v>0</v>
      </c>
      <c r="H10" s="61" t="n">
        <f aca="false">IF(H5&lt;Annahmen!$B$22,0,Annahmen!$B$23*(Annahmen!$B$24+(1-Annahmen!$B$24)*MIN(1,(H5-Annahmen!$B$22+1)/Annahmen!$B$25)))</f>
        <v>0</v>
      </c>
      <c r="I10" s="61" t="n">
        <f aca="false">IF(I5&lt;Annahmen!$B$22,0,Annahmen!$B$23*(Annahmen!$B$24+(1-Annahmen!$B$24)*MIN(1,(I5-Annahmen!$B$22+1)/Annahmen!$B$25)))</f>
        <v>0</v>
      </c>
      <c r="J10" s="61" t="n">
        <f aca="false">IF(J5&lt;Annahmen!$B$22,0,Annahmen!$B$23*(Annahmen!$B$24+(1-Annahmen!$B$24)*MIN(1,(J5-Annahmen!$B$22+1)/Annahmen!$B$25)))</f>
        <v>0</v>
      </c>
      <c r="K10" s="61" t="n">
        <f aca="false">IF(K5&lt;Annahmen!$B$22,0,Annahmen!$B$23*(Annahmen!$B$24+(1-Annahmen!$B$24)*MIN(1,(K5-Annahmen!$B$22+1)/Annahmen!$B$25)))</f>
        <v>0</v>
      </c>
      <c r="L10" s="61" t="n">
        <f aca="false">IF(L5&lt;Annahmen!$B$22,0,Annahmen!$B$23*(Annahmen!$B$24+(1-Annahmen!$B$24)*MIN(1,(L5-Annahmen!$B$22+1)/Annahmen!$B$25)))</f>
        <v>0</v>
      </c>
      <c r="M10" s="61" t="n">
        <f aca="false">IF(M5&lt;Annahmen!$B$22,0,Annahmen!$B$23*(Annahmen!$B$24+(1-Annahmen!$B$24)*MIN(1,(M5-Annahmen!$B$22+1)/Annahmen!$B$25)))</f>
        <v>0</v>
      </c>
      <c r="N10" s="61" t="n">
        <f aca="false">IF(N5&lt;Annahmen!$B$22,0,Annahmen!$B$23*(Annahmen!$B$24+(1-Annahmen!$B$24)*MIN(1,(N5-Annahmen!$B$22+1)/Annahmen!$B$25)))</f>
        <v>0</v>
      </c>
      <c r="O10" s="61" t="n">
        <f aca="false">IF(O5&lt;Annahmen!$B$22,0,Annahmen!$B$23*(Annahmen!$B$24+(1-Annahmen!$B$24)*MIN(1,(O5-Annahmen!$B$22+1)/Annahmen!$B$25)))</f>
        <v>0</v>
      </c>
      <c r="P10" s="61" t="n">
        <f aca="false">IF(P5&lt;Annahmen!$B$22,0,Annahmen!$B$23*(Annahmen!$B$24+(1-Annahmen!$B$24)*MIN(1,(P5-Annahmen!$B$22+1)/Annahmen!$B$25)))</f>
        <v>0</v>
      </c>
      <c r="Q10" s="61" t="n">
        <f aca="false">IF(Q5&lt;Annahmen!$B$22,0,Annahmen!$B$23*(Annahmen!$B$24+(1-Annahmen!$B$24)*MIN(1,(Q5-Annahmen!$B$22+1)/Annahmen!$B$25)))</f>
        <v>0</v>
      </c>
      <c r="R10" s="61" t="n">
        <f aca="false">IF(R5&lt;Annahmen!$B$22,0,Annahmen!$B$23*(Annahmen!$B$24+(1-Annahmen!$B$24)*MIN(1,(R5-Annahmen!$B$22+1)/Annahmen!$B$25)))</f>
        <v>0</v>
      </c>
      <c r="S10" s="61" t="n">
        <f aca="false">IF(S5&lt;Annahmen!$B$22,0,Annahmen!$B$23*(Annahmen!$B$24+(1-Annahmen!$B$24)*MIN(1,(S5-Annahmen!$B$22+1)/Annahmen!$B$25)))</f>
        <v>0.00806666666666667</v>
      </c>
      <c r="T10" s="61" t="n">
        <f aca="false">IF(T5&lt;Annahmen!$B$22,0,Annahmen!$B$23*(Annahmen!$B$24+(1-Annahmen!$B$24)*MIN(1,(T5-Annahmen!$B$22+1)/Annahmen!$B$25)))</f>
        <v>0.0150333333333333</v>
      </c>
      <c r="U10" s="61" t="n">
        <f aca="false">IF(U5&lt;Annahmen!$B$22,0,Annahmen!$B$23*(Annahmen!$B$24+(1-Annahmen!$B$24)*MIN(1,(U5-Annahmen!$B$22+1)/Annahmen!$B$25)))</f>
        <v>0.022</v>
      </c>
      <c r="V10" s="61" t="n">
        <f aca="false">IF(V5&lt;Annahmen!$B$22,0,Annahmen!$B$23*(Annahmen!$B$24+(1-Annahmen!$B$24)*MIN(1,(V5-Annahmen!$B$22+1)/Annahmen!$B$25)))</f>
        <v>0.022</v>
      </c>
      <c r="W10" s="61" t="n">
        <f aca="false">IF(W5&lt;Annahmen!$B$22,0,Annahmen!$B$23*(Annahmen!$B$24+(1-Annahmen!$B$24)*MIN(1,(W5-Annahmen!$B$22+1)/Annahmen!$B$25)))</f>
        <v>0.022</v>
      </c>
      <c r="X10" s="61" t="n">
        <f aca="false">IF(X5&lt;Annahmen!$B$22,0,Annahmen!$B$23*(Annahmen!$B$24+(1-Annahmen!$B$24)*MIN(1,(X5-Annahmen!$B$22+1)/Annahmen!$B$25)))</f>
        <v>0.022</v>
      </c>
      <c r="Y10" s="61" t="n">
        <f aca="false">IF(Y5&lt;Annahmen!$B$22,0,Annahmen!$B$23*(Annahmen!$B$24+(1-Annahmen!$B$24)*MIN(1,(Y5-Annahmen!$B$22+1)/Annahmen!$B$25)))</f>
        <v>0.022</v>
      </c>
      <c r="Z10" s="61" t="n">
        <f aca="false">IF(Z5&lt;Annahmen!$B$22,0,Annahmen!$B$23*(Annahmen!$B$24+(1-Annahmen!$B$24)*MIN(1,(Z5-Annahmen!$B$22+1)/Annahmen!$B$25)))</f>
        <v>0.022</v>
      </c>
      <c r="AA10" s="61" t="n">
        <f aca="false">IF(AA5&lt;Annahmen!$B$22,0,Annahmen!$B$23*(Annahmen!$B$24+(1-Annahmen!$B$24)*MIN(1,(AA5-Annahmen!$B$22+1)/Annahmen!$B$25)))</f>
        <v>0.022</v>
      </c>
      <c r="AB10" s="61" t="n">
        <f aca="false">IF(AB5&lt;Annahmen!$B$22,0,Annahmen!$B$23*(Annahmen!$B$24+(1-Annahmen!$B$24)*MIN(1,(AB5-Annahmen!$B$22+1)/Annahmen!$B$25)))</f>
        <v>0.022</v>
      </c>
      <c r="AC10" s="61" t="n">
        <f aca="false">IF(AC5&lt;Annahmen!$B$22,0,Annahmen!$B$23*(Annahmen!$B$24+(1-Annahmen!$B$24)*MIN(1,(AC5-Annahmen!$B$22+1)/Annahmen!$B$25)))</f>
        <v>0.022</v>
      </c>
      <c r="AD10" s="61" t="n">
        <f aca="false">IF(AD5&lt;Annahmen!$B$22,0,Annahmen!$B$23*(Annahmen!$B$24+(1-Annahmen!$B$24)*MIN(1,(AD5-Annahmen!$B$22+1)/Annahmen!$B$25)))</f>
        <v>0.022</v>
      </c>
      <c r="AE10" s="61" t="n">
        <f aca="false">IF(AE5&lt;Annahmen!$B$22,0,Annahmen!$B$23*(Annahmen!$B$24+(1-Annahmen!$B$24)*MIN(1,(AE5-Annahmen!$B$22+1)/Annahmen!$B$25)))</f>
        <v>0.022</v>
      </c>
      <c r="AF10" s="61" t="n">
        <f aca="false">IF(AF5&lt;Annahmen!$B$22,0,Annahmen!$B$23*(Annahmen!$B$24+(1-Annahmen!$B$24)*MIN(1,(AF5-Annahmen!$B$22+1)/Annahmen!$B$25)))</f>
        <v>0.022</v>
      </c>
      <c r="AG10" s="61" t="n">
        <f aca="false">IF(AG5&lt;Annahmen!$B$22,0,Annahmen!$B$23*(Annahmen!$B$24+(1-Annahmen!$B$24)*MIN(1,(AG5-Annahmen!$B$22+1)/Annahmen!$B$25)))</f>
        <v>0.022</v>
      </c>
      <c r="AH10" s="61" t="n">
        <f aca="false">IF(AH5&lt;Annahmen!$B$22,0,Annahmen!$B$23*(Annahmen!$B$24+(1-Annahmen!$B$24)*MIN(1,(AH5-Annahmen!$B$22+1)/Annahmen!$B$25)))</f>
        <v>0.022</v>
      </c>
      <c r="AI10" s="61" t="n">
        <f aca="false">IF(AI5&lt;Annahmen!$B$22,0,Annahmen!$B$23*(Annahmen!$B$24+(1-Annahmen!$B$24)*MIN(1,(AI5-Annahmen!$B$22+1)/Annahmen!$B$25)))</f>
        <v>0.022</v>
      </c>
      <c r="AJ10" s="61" t="n">
        <f aca="false">IF(AJ5&lt;Annahmen!$B$22,0,Annahmen!$B$23*(Annahmen!$B$24+(1-Annahmen!$B$24)*MIN(1,(AJ5-Annahmen!$B$22+1)/Annahmen!$B$25)))</f>
        <v>0.022</v>
      </c>
      <c r="AK10" s="61" t="n">
        <f aca="false">IF(AK5&lt;Annahmen!$B$22,0,Annahmen!$B$23*(Annahmen!$B$24+(1-Annahmen!$B$24)*MIN(1,(AK5-Annahmen!$B$22+1)/Annahmen!$B$25)))</f>
        <v>0.022</v>
      </c>
    </row>
    <row r="11" customFormat="false" ht="16.5" hidden="false" customHeight="true" outlineLevel="0" collapsed="false">
      <c r="A11" s="27" t="s">
        <v>312</v>
      </c>
      <c r="B11" s="60" t="n">
        <f aca="false">B7*B10</f>
        <v>0</v>
      </c>
      <c r="C11" s="60" t="n">
        <f aca="false">C7*C10</f>
        <v>0</v>
      </c>
      <c r="D11" s="60" t="n">
        <f aca="false">D7*D10</f>
        <v>0</v>
      </c>
      <c r="E11" s="60" t="n">
        <f aca="false">E7*E10</f>
        <v>0</v>
      </c>
      <c r="F11" s="60" t="n">
        <f aca="false">F7*F10</f>
        <v>0</v>
      </c>
      <c r="G11" s="60" t="n">
        <f aca="false">G7*G10</f>
        <v>0</v>
      </c>
      <c r="H11" s="60" t="n">
        <f aca="false">H7*H10</f>
        <v>0</v>
      </c>
      <c r="I11" s="60" t="n">
        <f aca="false">I7*I10</f>
        <v>0</v>
      </c>
      <c r="J11" s="60" t="n">
        <f aca="false">J7*J10</f>
        <v>0</v>
      </c>
      <c r="K11" s="60" t="n">
        <f aca="false">K7*K10</f>
        <v>0</v>
      </c>
      <c r="L11" s="60" t="n">
        <f aca="false">L7*L10</f>
        <v>0</v>
      </c>
      <c r="M11" s="60" t="n">
        <f aca="false">M7*M10</f>
        <v>0</v>
      </c>
      <c r="N11" s="60" t="n">
        <f aca="false">N7*N10</f>
        <v>0</v>
      </c>
      <c r="O11" s="60" t="n">
        <f aca="false">O7*O10</f>
        <v>0</v>
      </c>
      <c r="P11" s="60" t="n">
        <f aca="false">P7*P10</f>
        <v>0</v>
      </c>
      <c r="Q11" s="60" t="n">
        <f aca="false">Q7*Q10</f>
        <v>0</v>
      </c>
      <c r="R11" s="60" t="n">
        <f aca="false">R7*R10</f>
        <v>0</v>
      </c>
      <c r="S11" s="60" t="n">
        <f aca="false">S7*S10</f>
        <v>64.1316662451562</v>
      </c>
      <c r="T11" s="60" t="n">
        <f aca="false">T7*T10</f>
        <v>133.143575857242</v>
      </c>
      <c r="U11" s="60" t="n">
        <f aca="false">U7*U10</f>
        <v>215.779267351604</v>
      </c>
      <c r="V11" s="60" t="n">
        <f aca="false">V7*V10</f>
        <v>237.625210281453</v>
      </c>
      <c r="W11" s="60" t="n">
        <f aca="false">W7*W10</f>
        <v>260.313701274655</v>
      </c>
      <c r="X11" s="60" t="n">
        <f aca="false">X7*X10</f>
        <v>283.787972588811</v>
      </c>
      <c r="Y11" s="60" t="n">
        <f aca="false">Y7*Y10</f>
        <v>308</v>
      </c>
      <c r="Z11" s="60" t="n">
        <f aca="false">Z7*Z10</f>
        <v>320.602009241835</v>
      </c>
      <c r="AA11" s="60" t="n">
        <f aca="false">AA7*AA10</f>
        <v>339.902152590255</v>
      </c>
      <c r="AB11" s="60" t="n">
        <f aca="false">AB7*AB10</f>
        <v>362.926544151671</v>
      </c>
      <c r="AC11" s="60" t="n">
        <f aca="false">AC7*AC10</f>
        <v>388.760720005922</v>
      </c>
      <c r="AD11" s="60" t="n">
        <f aca="false">AD7*AD10</f>
        <v>416.90795408565</v>
      </c>
      <c r="AE11" s="60" t="n">
        <f aca="false">AE7*AE10</f>
        <v>447.047270887954</v>
      </c>
      <c r="AF11" s="60" t="n">
        <f aca="false">AF7*AF10</f>
        <v>478.950811763299</v>
      </c>
      <c r="AG11" s="60" t="n">
        <f aca="false">AG7*AG10</f>
        <v>512.446827762567</v>
      </c>
      <c r="AH11" s="60" t="n">
        <f aca="false">AH7*AH10</f>
        <v>547.400336450324</v>
      </c>
      <c r="AI11" s="60" t="n">
        <f aca="false">AI7*AI10</f>
        <v>583.701922039448</v>
      </c>
      <c r="AJ11" s="60" t="n">
        <f aca="false">AJ7*AJ10</f>
        <v>621.260756142098</v>
      </c>
      <c r="AK11" s="60" t="n">
        <f aca="false">AK7*AK10</f>
        <v>660</v>
      </c>
    </row>
    <row r="12" customFormat="false" ht="16.5" hidden="false" customHeight="true" outlineLevel="0" collapsed="false">
      <c r="A12" s="14" t="s">
        <v>313</v>
      </c>
      <c r="B12" s="60" t="n">
        <f aca="false">MIN(MATCH(B7,Annahmen!$B$80:$F$80,1),4)</f>
        <v>1</v>
      </c>
      <c r="C12" s="60" t="n">
        <f aca="false">MIN(MATCH(C7,Annahmen!$B$80:$F$80,1),4)</f>
        <v>1</v>
      </c>
      <c r="D12" s="60" t="n">
        <f aca="false">MIN(MATCH(D7,Annahmen!$B$80:$F$80,1),4)</f>
        <v>1</v>
      </c>
      <c r="E12" s="60" t="n">
        <f aca="false">MIN(MATCH(E7,Annahmen!$B$80:$F$80,1),4)</f>
        <v>1</v>
      </c>
      <c r="F12" s="60" t="n">
        <f aca="false">MIN(MATCH(F7,Annahmen!$B$80:$F$80,1),4)</f>
        <v>1</v>
      </c>
      <c r="G12" s="60" t="n">
        <f aca="false">MIN(MATCH(G7,Annahmen!$B$80:$F$80,1),4)</f>
        <v>1</v>
      </c>
      <c r="H12" s="60" t="n">
        <f aca="false">MIN(MATCH(H7,Annahmen!$B$80:$F$80,1),4)</f>
        <v>1</v>
      </c>
      <c r="I12" s="60" t="n">
        <f aca="false">MIN(MATCH(I7,Annahmen!$B$80:$F$80,1),4)</f>
        <v>1</v>
      </c>
      <c r="J12" s="60" t="n">
        <f aca="false">MIN(MATCH(J7,Annahmen!$B$80:$F$80,1),4)</f>
        <v>1</v>
      </c>
      <c r="K12" s="60" t="n">
        <f aca="false">MIN(MATCH(K7,Annahmen!$B$80:$F$80,1),4)</f>
        <v>1</v>
      </c>
      <c r="L12" s="60" t="n">
        <f aca="false">MIN(MATCH(L7,Annahmen!$B$80:$F$80,1),4)</f>
        <v>1</v>
      </c>
      <c r="M12" s="60" t="n">
        <f aca="false">MIN(MATCH(M7,Annahmen!$B$80:$F$80,1),4)</f>
        <v>1</v>
      </c>
      <c r="N12" s="60" t="n">
        <f aca="false">MIN(MATCH(N7,Annahmen!$B$80:$F$80,1),4)</f>
        <v>1</v>
      </c>
      <c r="O12" s="60" t="n">
        <f aca="false">MIN(MATCH(O7,Annahmen!$B$80:$F$80,1),4)</f>
        <v>1</v>
      </c>
      <c r="P12" s="60" t="n">
        <f aca="false">MIN(MATCH(P7,Annahmen!$B$80:$F$80,1),4)</f>
        <v>2</v>
      </c>
      <c r="Q12" s="60" t="n">
        <f aca="false">MIN(MATCH(Q7,Annahmen!$B$80:$F$80,1),4)</f>
        <v>2</v>
      </c>
      <c r="R12" s="60" t="n">
        <f aca="false">MIN(MATCH(R7,Annahmen!$B$80:$F$80,1),4)</f>
        <v>2</v>
      </c>
      <c r="S12" s="60" t="n">
        <f aca="false">MIN(MATCH(S7,Annahmen!$B$80:$F$80,1),4)</f>
        <v>2</v>
      </c>
      <c r="T12" s="60" t="n">
        <f aca="false">MIN(MATCH(T7,Annahmen!$B$80:$F$80,1),4)</f>
        <v>2</v>
      </c>
      <c r="U12" s="60" t="n">
        <f aca="false">MIN(MATCH(U7,Annahmen!$B$80:$F$80,1),4)</f>
        <v>2</v>
      </c>
      <c r="V12" s="60" t="n">
        <f aca="false">MIN(MATCH(V7,Annahmen!$B$80:$F$80,1),4)</f>
        <v>2</v>
      </c>
      <c r="W12" s="60" t="n">
        <f aca="false">MIN(MATCH(W7,Annahmen!$B$80:$F$80,1),4)</f>
        <v>2</v>
      </c>
      <c r="X12" s="60" t="n">
        <f aca="false">MIN(MATCH(X7,Annahmen!$B$80:$F$80,1),4)</f>
        <v>3</v>
      </c>
      <c r="Y12" s="60" t="n">
        <f aca="false">MIN(MATCH(Y7,Annahmen!$B$80:$F$80,1),4)</f>
        <v>3</v>
      </c>
      <c r="Z12" s="60" t="n">
        <f aca="false">MIN(MATCH(Z7,Annahmen!$B$80:$F$80,1),4)</f>
        <v>3</v>
      </c>
      <c r="AA12" s="60" t="n">
        <f aca="false">MIN(MATCH(AA7,Annahmen!$B$80:$F$80,1),4)</f>
        <v>3</v>
      </c>
      <c r="AB12" s="60" t="n">
        <f aca="false">MIN(MATCH(AB7,Annahmen!$B$80:$F$80,1),4)</f>
        <v>3</v>
      </c>
      <c r="AC12" s="60" t="n">
        <f aca="false">MIN(MATCH(AC7,Annahmen!$B$80:$F$80,1),4)</f>
        <v>3</v>
      </c>
      <c r="AD12" s="60" t="n">
        <f aca="false">MIN(MATCH(AD7,Annahmen!$B$80:$F$80,1),4)</f>
        <v>3</v>
      </c>
      <c r="AE12" s="60" t="n">
        <f aca="false">MIN(MATCH(AE7,Annahmen!$B$80:$F$80,1),4)</f>
        <v>4</v>
      </c>
      <c r="AF12" s="60" t="n">
        <f aca="false">MIN(MATCH(AF7,Annahmen!$B$80:$F$80,1),4)</f>
        <v>4</v>
      </c>
      <c r="AG12" s="60" t="n">
        <f aca="false">MIN(MATCH(AG7,Annahmen!$B$80:$F$80,1),4)</f>
        <v>4</v>
      </c>
      <c r="AH12" s="60" t="n">
        <f aca="false">MIN(MATCH(AH7,Annahmen!$B$80:$F$80,1),4)</f>
        <v>4</v>
      </c>
      <c r="AI12" s="60" t="n">
        <f aca="false">MIN(MATCH(AI7,Annahmen!$B$80:$F$80,1),4)</f>
        <v>4</v>
      </c>
      <c r="AJ12" s="60" t="n">
        <f aca="false">MIN(MATCH(AJ7,Annahmen!$B$80:$F$80,1),4)</f>
        <v>4</v>
      </c>
      <c r="AK12" s="60" t="n">
        <f aca="false">MIN(MATCH(AK7,Annahmen!$B$80:$F$80,1),4)</f>
        <v>4</v>
      </c>
    </row>
    <row r="13" customFormat="false" ht="15" hidden="false" customHeight="true" outlineLevel="0" collapsed="false">
      <c r="A13" s="62" t="s">
        <v>314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3"/>
      <c r="AK13" s="63"/>
    </row>
    <row r="14" customFormat="false" ht="16.5" hidden="false" customHeight="true" outlineLevel="0" collapsed="false">
      <c r="A14" s="14" t="s">
        <v>315</v>
      </c>
      <c r="B14" s="64" t="n">
        <f aca="false">B11*Annahmen!$B$26</f>
        <v>0</v>
      </c>
      <c r="C14" s="64" t="n">
        <f aca="false">C11*Annahmen!$B$26</f>
        <v>0</v>
      </c>
      <c r="D14" s="64" t="n">
        <f aca="false">D11*Annahmen!$B$26</f>
        <v>0</v>
      </c>
      <c r="E14" s="64" t="n">
        <f aca="false">E11*Annahmen!$B$26</f>
        <v>0</v>
      </c>
      <c r="F14" s="64" t="n">
        <f aca="false">F11*Annahmen!$B$26</f>
        <v>0</v>
      </c>
      <c r="G14" s="64" t="n">
        <f aca="false">G11*Annahmen!$B$26</f>
        <v>0</v>
      </c>
      <c r="H14" s="64" t="n">
        <f aca="false">H11*Annahmen!$B$26</f>
        <v>0</v>
      </c>
      <c r="I14" s="64" t="n">
        <f aca="false">I11*Annahmen!$B$26</f>
        <v>0</v>
      </c>
      <c r="J14" s="64" t="n">
        <f aca="false">J11*Annahmen!$B$26</f>
        <v>0</v>
      </c>
      <c r="K14" s="64" t="n">
        <f aca="false">K11*Annahmen!$B$26</f>
        <v>0</v>
      </c>
      <c r="L14" s="64" t="n">
        <f aca="false">L11*Annahmen!$B$26</f>
        <v>0</v>
      </c>
      <c r="M14" s="64" t="n">
        <f aca="false">M11*Annahmen!$B$26</f>
        <v>0</v>
      </c>
      <c r="N14" s="64" t="n">
        <f aca="false">N11*Annahmen!$B$26</f>
        <v>0</v>
      </c>
      <c r="O14" s="64" t="n">
        <f aca="false">O11*Annahmen!$B$26</f>
        <v>0</v>
      </c>
      <c r="P14" s="64" t="n">
        <f aca="false">P11*Annahmen!$B$26</f>
        <v>0</v>
      </c>
      <c r="Q14" s="64" t="n">
        <f aca="false">Q11*Annahmen!$B$26</f>
        <v>0</v>
      </c>
      <c r="R14" s="64" t="n">
        <f aca="false">R11*Annahmen!$B$26</f>
        <v>0</v>
      </c>
      <c r="S14" s="64" t="n">
        <f aca="false">S11*Annahmen!$B$26</f>
        <v>484.795483204428</v>
      </c>
      <c r="T14" s="64" t="n">
        <f aca="false">T11*Annahmen!$B$26</f>
        <v>1006.48256894701</v>
      </c>
      <c r="U14" s="64" t="n">
        <f aca="false">U11*Annahmen!$B$26</f>
        <v>1631.1569666899</v>
      </c>
      <c r="V14" s="64" t="n">
        <f aca="false">V11*Annahmen!$B$26</f>
        <v>1796.29869898556</v>
      </c>
      <c r="W14" s="64" t="n">
        <f aca="false">W11*Annahmen!$B$26</f>
        <v>1967.80957026375</v>
      </c>
      <c r="X14" s="64" t="n">
        <f aca="false">X11*Annahmen!$B$26</f>
        <v>2145.26045172246</v>
      </c>
      <c r="Y14" s="64" t="n">
        <f aca="false">Y11*Annahmen!$B$26</f>
        <v>2328.28831011765</v>
      </c>
      <c r="Z14" s="64" t="n">
        <f aca="false">Z11*Annahmen!$B$26</f>
        <v>2423.55165687661</v>
      </c>
      <c r="AA14" s="64" t="n">
        <f aca="false">AA11*Annahmen!$B$26</f>
        <v>2569.44872876531</v>
      </c>
      <c r="AB14" s="64" t="n">
        <f aca="false">AB11*Annahmen!$B$26</f>
        <v>2743.49879928484</v>
      </c>
      <c r="AC14" s="64" t="n">
        <f aca="false">AC11*Annahmen!$B$26</f>
        <v>2938.78909033347</v>
      </c>
      <c r="AD14" s="64" t="n">
        <f aca="false">AD11*Annahmen!$B$26</f>
        <v>3151.56466198923</v>
      </c>
      <c r="AE14" s="64" t="n">
        <f aca="false">AE11*Annahmen!$B$26</f>
        <v>3379.39913921565</v>
      </c>
      <c r="AF14" s="64" t="n">
        <f aca="false">AF11*Annahmen!$B$26</f>
        <v>3620.57005243457</v>
      </c>
      <c r="AG14" s="64" t="n">
        <f aca="false">AG11*Annahmen!$B$26</f>
        <v>3873.779086482</v>
      </c>
      <c r="AH14" s="64" t="n">
        <f aca="false">AH11*Annahmen!$B$26</f>
        <v>4138.00585815505</v>
      </c>
      <c r="AI14" s="64" t="n">
        <f aca="false">AI11*Annahmen!$B$26</f>
        <v>4412.42325220016</v>
      </c>
      <c r="AJ14" s="64" t="n">
        <f aca="false">AJ11*Annahmen!$B$26</f>
        <v>4696.34466253408</v>
      </c>
      <c r="AK14" s="64" t="n">
        <f aca="false">AK11*Annahmen!$B$26</f>
        <v>4989.18923596639</v>
      </c>
    </row>
    <row r="15" customFormat="false" ht="16.5" hidden="false" customHeight="true" outlineLevel="0" collapsed="false">
      <c r="A15" s="14" t="s">
        <v>316</v>
      </c>
      <c r="B15" s="64" t="n">
        <f aca="false">IF(AND(B5&gt;=Annahmen!$B$62,B7&gt;=Annahmen!$B$63),B8*Annahmen!$B$64*Annahmen!$B$65,0)</f>
        <v>0</v>
      </c>
      <c r="C15" s="64" t="n">
        <f aca="false">IF(AND(C5&gt;=Annahmen!$B$62,C7&gt;=Annahmen!$B$63),C8*Annahmen!$B$64*Annahmen!$B$65,0)</f>
        <v>0</v>
      </c>
      <c r="D15" s="64" t="n">
        <f aca="false">IF(AND(D5&gt;=Annahmen!$B$62,D7&gt;=Annahmen!$B$63),D8*Annahmen!$B$64*Annahmen!$B$65,0)</f>
        <v>0</v>
      </c>
      <c r="E15" s="64" t="n">
        <f aca="false">IF(AND(E5&gt;=Annahmen!$B$62,E7&gt;=Annahmen!$B$63),E8*Annahmen!$B$64*Annahmen!$B$65,0)</f>
        <v>0</v>
      </c>
      <c r="F15" s="64" t="n">
        <f aca="false">IF(AND(F5&gt;=Annahmen!$B$62,F7&gt;=Annahmen!$B$63),F8*Annahmen!$B$64*Annahmen!$B$65,0)</f>
        <v>0</v>
      </c>
      <c r="G15" s="64" t="n">
        <f aca="false">IF(AND(G5&gt;=Annahmen!$B$62,G7&gt;=Annahmen!$B$63),G8*Annahmen!$B$64*Annahmen!$B$65,0)</f>
        <v>0</v>
      </c>
      <c r="H15" s="64" t="n">
        <f aca="false">IF(AND(H5&gt;=Annahmen!$B$62,H7&gt;=Annahmen!$B$63),H8*Annahmen!$B$64*Annahmen!$B$65,0)</f>
        <v>0</v>
      </c>
      <c r="I15" s="64" t="n">
        <f aca="false">IF(AND(I5&gt;=Annahmen!$B$62,I7&gt;=Annahmen!$B$63),I8*Annahmen!$B$64*Annahmen!$B$65,0)</f>
        <v>0</v>
      </c>
      <c r="J15" s="64" t="n">
        <f aca="false">IF(AND(J5&gt;=Annahmen!$B$62,J7&gt;=Annahmen!$B$63),J8*Annahmen!$B$64*Annahmen!$B$65,0)</f>
        <v>0</v>
      </c>
      <c r="K15" s="64" t="n">
        <f aca="false">IF(AND(K5&gt;=Annahmen!$B$62,K7&gt;=Annahmen!$B$63),K8*Annahmen!$B$64*Annahmen!$B$65,0)</f>
        <v>0</v>
      </c>
      <c r="L15" s="64" t="n">
        <f aca="false">IF(AND(L5&gt;=Annahmen!$B$62,L7&gt;=Annahmen!$B$63),L8*Annahmen!$B$64*Annahmen!$B$65,0)</f>
        <v>0</v>
      </c>
      <c r="M15" s="64" t="n">
        <f aca="false">IF(AND(M5&gt;=Annahmen!$B$62,M7&gt;=Annahmen!$B$63),M8*Annahmen!$B$64*Annahmen!$B$65,0)</f>
        <v>0</v>
      </c>
      <c r="N15" s="64" t="n">
        <f aca="false">IF(AND(N5&gt;=Annahmen!$B$62,N7&gt;=Annahmen!$B$63),N8*Annahmen!$B$64*Annahmen!$B$65,0)</f>
        <v>0</v>
      </c>
      <c r="O15" s="64" t="n">
        <f aca="false">IF(AND(O5&gt;=Annahmen!$B$62,O7&gt;=Annahmen!$B$63),O8*Annahmen!$B$64*Annahmen!$B$65,0)</f>
        <v>0</v>
      </c>
      <c r="P15" s="64" t="n">
        <f aca="false">IF(AND(P5&gt;=Annahmen!$B$62,P7&gt;=Annahmen!$B$63),P8*Annahmen!$B$64*Annahmen!$B$65,0)</f>
        <v>0</v>
      </c>
      <c r="Q15" s="64" t="n">
        <f aca="false">IF(AND(Q5&gt;=Annahmen!$B$62,Q7&gt;=Annahmen!$B$63),Q8*Annahmen!$B$64*Annahmen!$B$65,0)</f>
        <v>0</v>
      </c>
      <c r="R15" s="64" t="n">
        <f aca="false">IF(AND(R5&gt;=Annahmen!$B$62,R7&gt;=Annahmen!$B$63),R8*Annahmen!$B$64*Annahmen!$B$65,0)</f>
        <v>0</v>
      </c>
      <c r="S15" s="64" t="n">
        <f aca="false">IF(AND(S5&gt;=Annahmen!$B$62,S7&gt;=Annahmen!$B$63),S8*Annahmen!$B$64*Annahmen!$B$65,0)</f>
        <v>0</v>
      </c>
      <c r="T15" s="64" t="n">
        <f aca="false">IF(AND(T5&gt;=Annahmen!$B$62,T7&gt;=Annahmen!$B$63),T8*Annahmen!$B$64*Annahmen!$B$65,0)</f>
        <v>290</v>
      </c>
      <c r="U15" s="64" t="n">
        <f aca="false">IF(AND(U5&gt;=Annahmen!$B$62,U7&gt;=Annahmen!$B$63),U8*Annahmen!$B$64*Annahmen!$B$65,0)</f>
        <v>290</v>
      </c>
      <c r="V15" s="64" t="n">
        <f aca="false">IF(AND(V5&gt;=Annahmen!$B$62,V7&gt;=Annahmen!$B$63),V8*Annahmen!$B$64*Annahmen!$B$65,0)</f>
        <v>290</v>
      </c>
      <c r="W15" s="64" t="n">
        <f aca="false">IF(AND(W5&gt;=Annahmen!$B$62,W7&gt;=Annahmen!$B$63),W8*Annahmen!$B$64*Annahmen!$B$65,0)</f>
        <v>290</v>
      </c>
      <c r="X15" s="64" t="n">
        <f aca="false">IF(AND(X5&gt;=Annahmen!$B$62,X7&gt;=Annahmen!$B$63),X8*Annahmen!$B$64*Annahmen!$B$65,0)</f>
        <v>290</v>
      </c>
      <c r="Y15" s="64" t="n">
        <f aca="false">IF(AND(Y5&gt;=Annahmen!$B$62,Y7&gt;=Annahmen!$B$63),Y8*Annahmen!$B$64*Annahmen!$B$65,0)</f>
        <v>290</v>
      </c>
      <c r="Z15" s="64" t="n">
        <f aca="false">IF(AND(Z5&gt;=Annahmen!$B$62,Z7&gt;=Annahmen!$B$63),Z8*Annahmen!$B$64*Annahmen!$B$65,0)</f>
        <v>290</v>
      </c>
      <c r="AA15" s="64" t="n">
        <f aca="false">IF(AND(AA5&gt;=Annahmen!$B$62,AA7&gt;=Annahmen!$B$63),AA8*Annahmen!$B$64*Annahmen!$B$65,0)</f>
        <v>290</v>
      </c>
      <c r="AB15" s="64" t="n">
        <f aca="false">IF(AND(AB5&gt;=Annahmen!$B$62,AB7&gt;=Annahmen!$B$63),AB8*Annahmen!$B$64*Annahmen!$B$65,0)</f>
        <v>290</v>
      </c>
      <c r="AC15" s="64" t="n">
        <f aca="false">IF(AND(AC5&gt;=Annahmen!$B$62,AC7&gt;=Annahmen!$B$63),AC8*Annahmen!$B$64*Annahmen!$B$65,0)</f>
        <v>290</v>
      </c>
      <c r="AD15" s="64" t="n">
        <f aca="false">IF(AND(AD5&gt;=Annahmen!$B$62,AD7&gt;=Annahmen!$B$63),AD8*Annahmen!$B$64*Annahmen!$B$65,0)</f>
        <v>290</v>
      </c>
      <c r="AE15" s="64" t="n">
        <f aca="false">IF(AND(AE5&gt;=Annahmen!$B$62,AE7&gt;=Annahmen!$B$63),AE8*Annahmen!$B$64*Annahmen!$B$65,0)</f>
        <v>290</v>
      </c>
      <c r="AF15" s="64" t="n">
        <f aca="false">IF(AND(AF5&gt;=Annahmen!$B$62,AF7&gt;=Annahmen!$B$63),AF8*Annahmen!$B$64*Annahmen!$B$65,0)</f>
        <v>290</v>
      </c>
      <c r="AG15" s="64" t="n">
        <f aca="false">IF(AND(AG5&gt;=Annahmen!$B$62,AG7&gt;=Annahmen!$B$63),AG8*Annahmen!$B$64*Annahmen!$B$65,0)</f>
        <v>290</v>
      </c>
      <c r="AH15" s="64" t="n">
        <f aca="false">IF(AND(AH5&gt;=Annahmen!$B$62,AH7&gt;=Annahmen!$B$63),AH8*Annahmen!$B$64*Annahmen!$B$65,0)</f>
        <v>290</v>
      </c>
      <c r="AI15" s="64" t="n">
        <f aca="false">IF(AND(AI5&gt;=Annahmen!$B$62,AI7&gt;=Annahmen!$B$63),AI8*Annahmen!$B$64*Annahmen!$B$65,0)</f>
        <v>290</v>
      </c>
      <c r="AJ15" s="64" t="n">
        <f aca="false">IF(AND(AJ5&gt;=Annahmen!$B$62,AJ7&gt;=Annahmen!$B$63),AJ8*Annahmen!$B$64*Annahmen!$B$65,0)</f>
        <v>290</v>
      </c>
      <c r="AK15" s="64" t="n">
        <f aca="false">IF(AND(AK5&gt;=Annahmen!$B$62,AK7&gt;=Annahmen!$B$63),AK8*Annahmen!$B$64*Annahmen!$B$65,0)</f>
        <v>290</v>
      </c>
    </row>
    <row r="16" customFormat="false" ht="16.5" hidden="false" customHeight="true" outlineLevel="0" collapsed="false">
      <c r="A16" s="14" t="s">
        <v>317</v>
      </c>
      <c r="B16" s="64" t="n">
        <f aca="false">IF(AND(B5&gt;=Annahmen!$B$66,B7&gt;=Annahmen!$B$67),B8*Annahmen!$B$68*Annahmen!$B$69*Annahmen!$B$70*Annahmen!$B$71,0)</f>
        <v>0</v>
      </c>
      <c r="C16" s="64" t="n">
        <f aca="false">IF(AND(C5&gt;=Annahmen!$B$66,C7&gt;=Annahmen!$B$67),C8*Annahmen!$B$68*Annahmen!$B$69*Annahmen!$B$70*Annahmen!$B$71,0)</f>
        <v>0</v>
      </c>
      <c r="D16" s="64" t="n">
        <f aca="false">IF(AND(D5&gt;=Annahmen!$B$66,D7&gt;=Annahmen!$B$67),D8*Annahmen!$B$68*Annahmen!$B$69*Annahmen!$B$70*Annahmen!$B$71,0)</f>
        <v>0</v>
      </c>
      <c r="E16" s="64" t="n">
        <f aca="false">IF(AND(E5&gt;=Annahmen!$B$66,E7&gt;=Annahmen!$B$67),E8*Annahmen!$B$68*Annahmen!$B$69*Annahmen!$B$70*Annahmen!$B$71,0)</f>
        <v>0</v>
      </c>
      <c r="F16" s="64" t="n">
        <f aca="false">IF(AND(F5&gt;=Annahmen!$B$66,F7&gt;=Annahmen!$B$67),F8*Annahmen!$B$68*Annahmen!$B$69*Annahmen!$B$70*Annahmen!$B$71,0)</f>
        <v>0</v>
      </c>
      <c r="G16" s="64" t="n">
        <f aca="false">IF(AND(G5&gt;=Annahmen!$B$66,G7&gt;=Annahmen!$B$67),G8*Annahmen!$B$68*Annahmen!$B$69*Annahmen!$B$70*Annahmen!$B$71,0)</f>
        <v>0</v>
      </c>
      <c r="H16" s="64" t="n">
        <f aca="false">IF(AND(H5&gt;=Annahmen!$B$66,H7&gt;=Annahmen!$B$67),H8*Annahmen!$B$68*Annahmen!$B$69*Annahmen!$B$70*Annahmen!$B$71,0)</f>
        <v>0</v>
      </c>
      <c r="I16" s="64" t="n">
        <f aca="false">IF(AND(I5&gt;=Annahmen!$B$66,I7&gt;=Annahmen!$B$67),I8*Annahmen!$B$68*Annahmen!$B$69*Annahmen!$B$70*Annahmen!$B$71,0)</f>
        <v>0</v>
      </c>
      <c r="J16" s="64" t="n">
        <f aca="false">IF(AND(J5&gt;=Annahmen!$B$66,J7&gt;=Annahmen!$B$67),J8*Annahmen!$B$68*Annahmen!$B$69*Annahmen!$B$70*Annahmen!$B$71,0)</f>
        <v>0</v>
      </c>
      <c r="K16" s="64" t="n">
        <f aca="false">IF(AND(K5&gt;=Annahmen!$B$66,K7&gt;=Annahmen!$B$67),K8*Annahmen!$B$68*Annahmen!$B$69*Annahmen!$B$70*Annahmen!$B$71,0)</f>
        <v>0</v>
      </c>
      <c r="L16" s="64" t="n">
        <f aca="false">IF(AND(L5&gt;=Annahmen!$B$66,L7&gt;=Annahmen!$B$67),L8*Annahmen!$B$68*Annahmen!$B$69*Annahmen!$B$70*Annahmen!$B$71,0)</f>
        <v>0</v>
      </c>
      <c r="M16" s="64" t="n">
        <f aca="false">IF(AND(M5&gt;=Annahmen!$B$66,M7&gt;=Annahmen!$B$67),M8*Annahmen!$B$68*Annahmen!$B$69*Annahmen!$B$70*Annahmen!$B$71,0)</f>
        <v>0</v>
      </c>
      <c r="N16" s="64" t="n">
        <f aca="false">IF(AND(N5&gt;=Annahmen!$B$66,N7&gt;=Annahmen!$B$67),N8*Annahmen!$B$68*Annahmen!$B$69*Annahmen!$B$70*Annahmen!$B$71,0)</f>
        <v>0</v>
      </c>
      <c r="O16" s="64" t="n">
        <f aca="false">IF(AND(O5&gt;=Annahmen!$B$66,O7&gt;=Annahmen!$B$67),O8*Annahmen!$B$68*Annahmen!$B$69*Annahmen!$B$70*Annahmen!$B$71,0)</f>
        <v>0</v>
      </c>
      <c r="P16" s="64" t="n">
        <f aca="false">IF(AND(P5&gt;=Annahmen!$B$66,P7&gt;=Annahmen!$B$67),P8*Annahmen!$B$68*Annahmen!$B$69*Annahmen!$B$70*Annahmen!$B$71,0)</f>
        <v>0</v>
      </c>
      <c r="Q16" s="64" t="n">
        <f aca="false">IF(AND(Q5&gt;=Annahmen!$B$66,Q7&gt;=Annahmen!$B$67),Q8*Annahmen!$B$68*Annahmen!$B$69*Annahmen!$B$70*Annahmen!$B$71,0)</f>
        <v>0</v>
      </c>
      <c r="R16" s="64" t="n">
        <f aca="false">IF(AND(R5&gt;=Annahmen!$B$66,R7&gt;=Annahmen!$B$67),R8*Annahmen!$B$68*Annahmen!$B$69*Annahmen!$B$70*Annahmen!$B$71,0)</f>
        <v>0</v>
      </c>
      <c r="S16" s="64" t="n">
        <f aca="false">IF(AND(S5&gt;=Annahmen!$B$66,S7&gt;=Annahmen!$B$67),S8*Annahmen!$B$68*Annahmen!$B$69*Annahmen!$B$70*Annahmen!$B$71,0)</f>
        <v>0</v>
      </c>
      <c r="T16" s="64" t="n">
        <f aca="false">IF(AND(T5&gt;=Annahmen!$B$66,T7&gt;=Annahmen!$B$67),T8*Annahmen!$B$68*Annahmen!$B$69*Annahmen!$B$70*Annahmen!$B$71,0)</f>
        <v>0</v>
      </c>
      <c r="U16" s="64" t="n">
        <f aca="false">IF(AND(U5&gt;=Annahmen!$B$66,U7&gt;=Annahmen!$B$67),U8*Annahmen!$B$68*Annahmen!$B$69*Annahmen!$B$70*Annahmen!$B$71,0)</f>
        <v>0</v>
      </c>
      <c r="V16" s="64" t="n">
        <f aca="false">IF(AND(V5&gt;=Annahmen!$B$66,V7&gt;=Annahmen!$B$67),V8*Annahmen!$B$68*Annahmen!$B$69*Annahmen!$B$70*Annahmen!$B$71,0)</f>
        <v>0</v>
      </c>
      <c r="W16" s="64" t="n">
        <f aca="false">IF(AND(W5&gt;=Annahmen!$B$66,W7&gt;=Annahmen!$B$67),W8*Annahmen!$B$68*Annahmen!$B$69*Annahmen!$B$70*Annahmen!$B$71,0)</f>
        <v>0</v>
      </c>
      <c r="X16" s="64" t="n">
        <f aca="false">IF(AND(X5&gt;=Annahmen!$B$66,X7&gt;=Annahmen!$B$67),X8*Annahmen!$B$68*Annahmen!$B$69*Annahmen!$B$70*Annahmen!$B$71,0)</f>
        <v>0</v>
      </c>
      <c r="Y16" s="64" t="n">
        <f aca="false">IF(AND(Y5&gt;=Annahmen!$B$66,Y7&gt;=Annahmen!$B$67),Y8*Annahmen!$B$68*Annahmen!$B$69*Annahmen!$B$70*Annahmen!$B$71,0)</f>
        <v>0</v>
      </c>
      <c r="Z16" s="64" t="n">
        <f aca="false">IF(AND(Z5&gt;=Annahmen!$B$66,Z7&gt;=Annahmen!$B$67),Z8*Annahmen!$B$68*Annahmen!$B$69*Annahmen!$B$70*Annahmen!$B$71,0)</f>
        <v>0</v>
      </c>
      <c r="AA16" s="64" t="n">
        <f aca="false">IF(AND(AA5&gt;=Annahmen!$B$66,AA7&gt;=Annahmen!$B$67),AA8*Annahmen!$B$68*Annahmen!$B$69*Annahmen!$B$70*Annahmen!$B$71,0)</f>
        <v>0</v>
      </c>
      <c r="AB16" s="64" t="n">
        <f aca="false">IF(AND(AB5&gt;=Annahmen!$B$66,AB7&gt;=Annahmen!$B$67),AB8*Annahmen!$B$68*Annahmen!$B$69*Annahmen!$B$70*Annahmen!$B$71,0)</f>
        <v>0</v>
      </c>
      <c r="AC16" s="64" t="n">
        <f aca="false">IF(AND(AC5&gt;=Annahmen!$B$66,AC7&gt;=Annahmen!$B$67),AC8*Annahmen!$B$68*Annahmen!$B$69*Annahmen!$B$70*Annahmen!$B$71,0)</f>
        <v>0</v>
      </c>
      <c r="AD16" s="64" t="n">
        <f aca="false">IF(AND(AD5&gt;=Annahmen!$B$66,AD7&gt;=Annahmen!$B$67),AD8*Annahmen!$B$68*Annahmen!$B$69*Annahmen!$B$70*Annahmen!$B$71,0)</f>
        <v>0</v>
      </c>
      <c r="AE16" s="64" t="n">
        <f aca="false">IF(AND(AE5&gt;=Annahmen!$B$66,AE7&gt;=Annahmen!$B$67),AE8*Annahmen!$B$68*Annahmen!$B$69*Annahmen!$B$70*Annahmen!$B$71,0)</f>
        <v>460.8</v>
      </c>
      <c r="AF16" s="64" t="n">
        <f aca="false">IF(AND(AF5&gt;=Annahmen!$B$66,AF7&gt;=Annahmen!$B$67),AF8*Annahmen!$B$68*Annahmen!$B$69*Annahmen!$B$70*Annahmen!$B$71,0)</f>
        <v>460.8</v>
      </c>
      <c r="AG16" s="64" t="n">
        <f aca="false">IF(AND(AG5&gt;=Annahmen!$B$66,AG7&gt;=Annahmen!$B$67),AG8*Annahmen!$B$68*Annahmen!$B$69*Annahmen!$B$70*Annahmen!$B$71,0)</f>
        <v>460.8</v>
      </c>
      <c r="AH16" s="64" t="n">
        <f aca="false">IF(AND(AH5&gt;=Annahmen!$B$66,AH7&gt;=Annahmen!$B$67),AH8*Annahmen!$B$68*Annahmen!$B$69*Annahmen!$B$70*Annahmen!$B$71,0)</f>
        <v>460.8</v>
      </c>
      <c r="AI16" s="64" t="n">
        <f aca="false">IF(AND(AI5&gt;=Annahmen!$B$66,AI7&gt;=Annahmen!$B$67),AI8*Annahmen!$B$68*Annahmen!$B$69*Annahmen!$B$70*Annahmen!$B$71,0)</f>
        <v>460.8</v>
      </c>
      <c r="AJ16" s="64" t="n">
        <f aca="false">IF(AND(AJ5&gt;=Annahmen!$B$66,AJ7&gt;=Annahmen!$B$67),AJ8*Annahmen!$B$68*Annahmen!$B$69*Annahmen!$B$70*Annahmen!$B$71,0)</f>
        <v>460.8</v>
      </c>
      <c r="AK16" s="64" t="n">
        <f aca="false">IF(AND(AK5&gt;=Annahmen!$B$66,AK7&gt;=Annahmen!$B$67),AK8*Annahmen!$B$68*Annahmen!$B$69*Annahmen!$B$70*Annahmen!$B$71,0)</f>
        <v>460.8</v>
      </c>
    </row>
    <row r="17" customFormat="false" ht="16.5" hidden="false" customHeight="true" outlineLevel="0" collapsed="false">
      <c r="A17" s="14" t="s">
        <v>318</v>
      </c>
      <c r="B17" s="64" t="n">
        <f aca="false">IF(B5&gt;=Annahmen!$B$72,B7*Annahmen!$B$73,0)</f>
        <v>0</v>
      </c>
      <c r="C17" s="64" t="n">
        <f aca="false">IF(C5&gt;=Annahmen!$B$72,C7*Annahmen!$B$73,0)</f>
        <v>0</v>
      </c>
      <c r="D17" s="64" t="n">
        <f aca="false">IF(D5&gt;=Annahmen!$B$72,D7*Annahmen!$B$73,0)</f>
        <v>0</v>
      </c>
      <c r="E17" s="64" t="n">
        <f aca="false">IF(E5&gt;=Annahmen!$B$72,E7*Annahmen!$B$73,0)</f>
        <v>0</v>
      </c>
      <c r="F17" s="64" t="n">
        <f aca="false">IF(F5&gt;=Annahmen!$B$72,F7*Annahmen!$B$73,0)</f>
        <v>0</v>
      </c>
      <c r="G17" s="64" t="n">
        <f aca="false">IF(G5&gt;=Annahmen!$B$72,G7*Annahmen!$B$73,0)</f>
        <v>0</v>
      </c>
      <c r="H17" s="64" t="n">
        <f aca="false">IF(H5&gt;=Annahmen!$B$72,H7*Annahmen!$B$73,0)</f>
        <v>0</v>
      </c>
      <c r="I17" s="64" t="n">
        <f aca="false">IF(I5&gt;=Annahmen!$B$72,I7*Annahmen!$B$73,0)</f>
        <v>0</v>
      </c>
      <c r="J17" s="64" t="n">
        <f aca="false">IF(J5&gt;=Annahmen!$B$72,J7*Annahmen!$B$73,0)</f>
        <v>0</v>
      </c>
      <c r="K17" s="64" t="n">
        <f aca="false">IF(K5&gt;=Annahmen!$B$72,K7*Annahmen!$B$73,0)</f>
        <v>0</v>
      </c>
      <c r="L17" s="64" t="n">
        <f aca="false">IF(L5&gt;=Annahmen!$B$72,L7*Annahmen!$B$73,0)</f>
        <v>0</v>
      </c>
      <c r="M17" s="64" t="n">
        <f aca="false">IF(M5&gt;=Annahmen!$B$72,M7*Annahmen!$B$73,0)</f>
        <v>0</v>
      </c>
      <c r="N17" s="64" t="n">
        <f aca="false">IF(N5&gt;=Annahmen!$B$72,N7*Annahmen!$B$73,0)</f>
        <v>0</v>
      </c>
      <c r="O17" s="64" t="n">
        <f aca="false">IF(O5&gt;=Annahmen!$B$72,O7*Annahmen!$B$73,0)</f>
        <v>73.5946672969836</v>
      </c>
      <c r="P17" s="64" t="n">
        <f aca="false">IF(P5&gt;=Annahmen!$B$72,P7*Annahmen!$B$73,0)</f>
        <v>83.4061977919052</v>
      </c>
      <c r="Q17" s="64" t="n">
        <f aca="false">IF(Q5&gt;=Annahmen!$B$72,Q7*Annahmen!$B$73,0)</f>
        <v>94.4150795479781</v>
      </c>
      <c r="R17" s="64" t="n">
        <f aca="false">IF(R5&gt;=Annahmen!$B$72,R7*Annahmen!$B$73,0)</f>
        <v>106.409639525135</v>
      </c>
      <c r="S17" s="64" t="n">
        <f aca="false">IF(S5&gt;=Annahmen!$B$72,S7*Annahmen!$B$73,0)</f>
        <v>119.253098389753</v>
      </c>
      <c r="T17" s="64" t="n">
        <f aca="false">IF(T5&gt;=Annahmen!$B$72,T7*Annahmen!$B$73,0)</f>
        <v>132.848357285497</v>
      </c>
      <c r="U17" s="64" t="n">
        <f aca="false">IF(U5&gt;=Annahmen!$B$72,U7*Annahmen!$B$73,0)</f>
        <v>147.12222773973</v>
      </c>
      <c r="V17" s="64" t="n">
        <f aca="false">IF(V5&gt;=Annahmen!$B$72,V7*Annahmen!$B$73,0)</f>
        <v>162.017188828263</v>
      </c>
      <c r="W17" s="64" t="n">
        <f aca="false">IF(W5&gt;=Annahmen!$B$72,W7*Annahmen!$B$73,0)</f>
        <v>177.486614505446</v>
      </c>
      <c r="X17" s="64" t="n">
        <f aca="false">IF(X5&gt;=Annahmen!$B$72,X7*Annahmen!$B$73,0)</f>
        <v>193.491799492371</v>
      </c>
      <c r="Y17" s="64" t="n">
        <f aca="false">IF(Y5&gt;=Annahmen!$B$72,Y7*Annahmen!$B$73,0)</f>
        <v>210</v>
      </c>
      <c r="Z17" s="64" t="n">
        <f aca="false">IF(Z5&gt;=Annahmen!$B$72,Z7*Annahmen!$B$73,0)</f>
        <v>218.592279028524</v>
      </c>
      <c r="AA17" s="64" t="n">
        <f aca="false">IF(AA5&gt;=Annahmen!$B$72,AA7*Annahmen!$B$73,0)</f>
        <v>231.751467675174</v>
      </c>
      <c r="AB17" s="64" t="n">
        <f aca="false">IF(AB5&gt;=Annahmen!$B$72,AB7*Annahmen!$B$73,0)</f>
        <v>247.449916467048</v>
      </c>
      <c r="AC17" s="64" t="n">
        <f aca="false">IF(AC5&gt;=Annahmen!$B$72,AC7*Annahmen!$B$73,0)</f>
        <v>265.064127276765</v>
      </c>
      <c r="AD17" s="64" t="n">
        <f aca="false">IF(AD5&gt;=Annahmen!$B$72,AD7*Annahmen!$B$73,0)</f>
        <v>284.255423240216</v>
      </c>
      <c r="AE17" s="64" t="n">
        <f aca="false">IF(AE5&gt;=Annahmen!$B$72,AE7*Annahmen!$B$73,0)</f>
        <v>304.804957423605</v>
      </c>
      <c r="AF17" s="64" t="n">
        <f aca="false">IF(AF5&gt;=Annahmen!$B$72,AF7*Annahmen!$B$73,0)</f>
        <v>326.557371656795</v>
      </c>
      <c r="AG17" s="64" t="n">
        <f aca="false">IF(AG5&gt;=Annahmen!$B$72,AG7*Annahmen!$B$73,0)</f>
        <v>349.395564383568</v>
      </c>
      <c r="AH17" s="64" t="n">
        <f aca="false">IF(AH5&gt;=Annahmen!$B$72,AH7*Annahmen!$B$73,0)</f>
        <v>373.227502125221</v>
      </c>
      <c r="AI17" s="64" t="n">
        <f aca="false">IF(AI5&gt;=Annahmen!$B$72,AI7*Annahmen!$B$73,0)</f>
        <v>397.978583208714</v>
      </c>
      <c r="AJ17" s="64" t="n">
        <f aca="false">IF(AJ5&gt;=Annahmen!$B$72,AJ7*Annahmen!$B$73,0)</f>
        <v>423.586879187794</v>
      </c>
      <c r="AK17" s="64" t="n">
        <f aca="false">IF(AK5&gt;=Annahmen!$B$72,AK7*Annahmen!$B$73,0)</f>
        <v>450</v>
      </c>
    </row>
    <row r="18" customFormat="false" ht="16.5" hidden="false" customHeight="true" outlineLevel="0" collapsed="false">
      <c r="A18" s="14" t="s">
        <v>319</v>
      </c>
      <c r="B18" s="64" t="n">
        <f aca="false">IF(B5&gt;=Annahmen!$B$74,B8*Annahmen!$B$75,0)</f>
        <v>0</v>
      </c>
      <c r="C18" s="64" t="n">
        <f aca="false">IF(C5&gt;=Annahmen!$B$74,C8*Annahmen!$B$75,0)</f>
        <v>0</v>
      </c>
      <c r="D18" s="64" t="n">
        <f aca="false">IF(D5&gt;=Annahmen!$B$74,D8*Annahmen!$B$75,0)</f>
        <v>0</v>
      </c>
      <c r="E18" s="64" t="n">
        <f aca="false">IF(E5&gt;=Annahmen!$B$74,E8*Annahmen!$B$75,0)</f>
        <v>0</v>
      </c>
      <c r="F18" s="64" t="n">
        <f aca="false">IF(F5&gt;=Annahmen!$B$74,F8*Annahmen!$B$75,0)</f>
        <v>0</v>
      </c>
      <c r="G18" s="64" t="n">
        <f aca="false">IF(G5&gt;=Annahmen!$B$74,G8*Annahmen!$B$75,0)</f>
        <v>0</v>
      </c>
      <c r="H18" s="64" t="n">
        <f aca="false">IF(H5&gt;=Annahmen!$B$74,H8*Annahmen!$B$75,0)</f>
        <v>0</v>
      </c>
      <c r="I18" s="64" t="n">
        <f aca="false">IF(I5&gt;=Annahmen!$B$74,I8*Annahmen!$B$75,0)</f>
        <v>0</v>
      </c>
      <c r="J18" s="64" t="n">
        <f aca="false">IF(J5&gt;=Annahmen!$B$74,J8*Annahmen!$B$75,0)</f>
        <v>0</v>
      </c>
      <c r="K18" s="64" t="n">
        <f aca="false">IF(K5&gt;=Annahmen!$B$74,K8*Annahmen!$B$75,0)</f>
        <v>0</v>
      </c>
      <c r="L18" s="64" t="n">
        <f aca="false">IF(L5&gt;=Annahmen!$B$74,L8*Annahmen!$B$75,0)</f>
        <v>0</v>
      </c>
      <c r="M18" s="64" t="n">
        <f aca="false">IF(M5&gt;=Annahmen!$B$74,M8*Annahmen!$B$75,0)</f>
        <v>0</v>
      </c>
      <c r="N18" s="64" t="n">
        <f aca="false">IF(N5&gt;=Annahmen!$B$74,N8*Annahmen!$B$75,0)</f>
        <v>0</v>
      </c>
      <c r="O18" s="64" t="n">
        <f aca="false">IF(O5&gt;=Annahmen!$B$74,O8*Annahmen!$B$75,0)</f>
        <v>0</v>
      </c>
      <c r="P18" s="64" t="n">
        <f aca="false">IF(P5&gt;=Annahmen!$B$74,P8*Annahmen!$B$75,0)</f>
        <v>0</v>
      </c>
      <c r="Q18" s="64" t="n">
        <f aca="false">IF(Q5&gt;=Annahmen!$B$74,Q8*Annahmen!$B$75,0)</f>
        <v>0</v>
      </c>
      <c r="R18" s="64" t="n">
        <f aca="false">IF(R5&gt;=Annahmen!$B$74,R8*Annahmen!$B$75,0)</f>
        <v>0</v>
      </c>
      <c r="S18" s="64" t="n">
        <f aca="false">IF(S5&gt;=Annahmen!$B$74,S8*Annahmen!$B$75,0)</f>
        <v>0</v>
      </c>
      <c r="T18" s="64" t="n">
        <f aca="false">IF(T5&gt;=Annahmen!$B$74,T8*Annahmen!$B$75,0)</f>
        <v>0</v>
      </c>
      <c r="U18" s="64" t="n">
        <f aca="false">IF(U5&gt;=Annahmen!$B$74,U8*Annahmen!$B$75,0)</f>
        <v>534</v>
      </c>
      <c r="V18" s="64" t="n">
        <f aca="false">IF(V5&gt;=Annahmen!$B$74,V8*Annahmen!$B$75,0)</f>
        <v>534</v>
      </c>
      <c r="W18" s="64" t="n">
        <f aca="false">IF(W5&gt;=Annahmen!$B$74,W8*Annahmen!$B$75,0)</f>
        <v>534</v>
      </c>
      <c r="X18" s="64" t="n">
        <f aca="false">IF(X5&gt;=Annahmen!$B$74,X8*Annahmen!$B$75,0)</f>
        <v>534</v>
      </c>
      <c r="Y18" s="64" t="n">
        <f aca="false">IF(Y5&gt;=Annahmen!$B$74,Y8*Annahmen!$B$75,0)</f>
        <v>534</v>
      </c>
      <c r="Z18" s="64" t="n">
        <f aca="false">IF(Z5&gt;=Annahmen!$B$74,Z8*Annahmen!$B$75,0)</f>
        <v>534</v>
      </c>
      <c r="AA18" s="64" t="n">
        <f aca="false">IF(AA5&gt;=Annahmen!$B$74,AA8*Annahmen!$B$75,0)</f>
        <v>534</v>
      </c>
      <c r="AB18" s="64" t="n">
        <f aca="false">IF(AB5&gt;=Annahmen!$B$74,AB8*Annahmen!$B$75,0)</f>
        <v>534</v>
      </c>
      <c r="AC18" s="64" t="n">
        <f aca="false">IF(AC5&gt;=Annahmen!$B$74,AC8*Annahmen!$B$75,0)</f>
        <v>534</v>
      </c>
      <c r="AD18" s="64" t="n">
        <f aca="false">IF(AD5&gt;=Annahmen!$B$74,AD8*Annahmen!$B$75,0)</f>
        <v>534</v>
      </c>
      <c r="AE18" s="64" t="n">
        <f aca="false">IF(AE5&gt;=Annahmen!$B$74,AE8*Annahmen!$B$75,0)</f>
        <v>534</v>
      </c>
      <c r="AF18" s="64" t="n">
        <f aca="false">IF(AF5&gt;=Annahmen!$B$74,AF8*Annahmen!$B$75,0)</f>
        <v>534</v>
      </c>
      <c r="AG18" s="64" t="n">
        <f aca="false">IF(AG5&gt;=Annahmen!$B$74,AG8*Annahmen!$B$75,0)</f>
        <v>534</v>
      </c>
      <c r="AH18" s="64" t="n">
        <f aca="false">IF(AH5&gt;=Annahmen!$B$74,AH8*Annahmen!$B$75,0)</f>
        <v>534</v>
      </c>
      <c r="AI18" s="64" t="n">
        <f aca="false">IF(AI5&gt;=Annahmen!$B$74,AI8*Annahmen!$B$75,0)</f>
        <v>534</v>
      </c>
      <c r="AJ18" s="64" t="n">
        <f aca="false">IF(AJ5&gt;=Annahmen!$B$74,AJ8*Annahmen!$B$75,0)</f>
        <v>534</v>
      </c>
      <c r="AK18" s="64" t="n">
        <f aca="false">IF(AK5&gt;=Annahmen!$B$74,AK8*Annahmen!$B$75,0)</f>
        <v>534</v>
      </c>
    </row>
    <row r="19" customFormat="false" ht="16.5" hidden="false" customHeight="true" outlineLevel="0" collapsed="false">
      <c r="A19" s="27" t="s">
        <v>320</v>
      </c>
      <c r="B19" s="65" t="n">
        <f aca="false">SUM(B14:B18)</f>
        <v>0</v>
      </c>
      <c r="C19" s="65" t="n">
        <f aca="false">SUM(C14:C18)</f>
        <v>0</v>
      </c>
      <c r="D19" s="65" t="n">
        <f aca="false">SUM(D14:D18)</f>
        <v>0</v>
      </c>
      <c r="E19" s="65" t="n">
        <f aca="false">SUM(E14:E18)</f>
        <v>0</v>
      </c>
      <c r="F19" s="65" t="n">
        <f aca="false">SUM(F14:F18)</f>
        <v>0</v>
      </c>
      <c r="G19" s="65" t="n">
        <f aca="false">SUM(G14:G18)</f>
        <v>0</v>
      </c>
      <c r="H19" s="65" t="n">
        <f aca="false">SUM(H14:H18)</f>
        <v>0</v>
      </c>
      <c r="I19" s="65" t="n">
        <f aca="false">SUM(I14:I18)</f>
        <v>0</v>
      </c>
      <c r="J19" s="65" t="n">
        <f aca="false">SUM(J14:J18)</f>
        <v>0</v>
      </c>
      <c r="K19" s="65" t="n">
        <f aca="false">SUM(K14:K18)</f>
        <v>0</v>
      </c>
      <c r="L19" s="65" t="n">
        <f aca="false">SUM(L14:L18)</f>
        <v>0</v>
      </c>
      <c r="M19" s="65" t="n">
        <f aca="false">SUM(M14:M18)</f>
        <v>0</v>
      </c>
      <c r="N19" s="65" t="n">
        <f aca="false">SUM(N14:N18)</f>
        <v>0</v>
      </c>
      <c r="O19" s="65" t="n">
        <f aca="false">SUM(O14:O18)</f>
        <v>73.5946672969836</v>
      </c>
      <c r="P19" s="65" t="n">
        <f aca="false">SUM(P14:P18)</f>
        <v>83.4061977919052</v>
      </c>
      <c r="Q19" s="65" t="n">
        <f aca="false">SUM(Q14:Q18)</f>
        <v>94.4150795479781</v>
      </c>
      <c r="R19" s="65" t="n">
        <f aca="false">SUM(R14:R18)</f>
        <v>106.409639525135</v>
      </c>
      <c r="S19" s="65" t="n">
        <f aca="false">SUM(S14:S18)</f>
        <v>604.048581594181</v>
      </c>
      <c r="T19" s="65" t="n">
        <f aca="false">SUM(T14:T18)</f>
        <v>1429.33092623251</v>
      </c>
      <c r="U19" s="65" t="n">
        <f aca="false">SUM(U14:U18)</f>
        <v>2602.27919442963</v>
      </c>
      <c r="V19" s="65" t="n">
        <f aca="false">SUM(V14:V18)</f>
        <v>2782.31588781383</v>
      </c>
      <c r="W19" s="65" t="n">
        <f aca="false">SUM(W14:W18)</f>
        <v>2969.2961847692</v>
      </c>
      <c r="X19" s="65" t="n">
        <f aca="false">SUM(X14:X18)</f>
        <v>3162.75225121483</v>
      </c>
      <c r="Y19" s="65" t="n">
        <f aca="false">SUM(Y14:Y18)</f>
        <v>3362.28831011765</v>
      </c>
      <c r="Z19" s="65" t="n">
        <f aca="false">SUM(Z14:Z18)</f>
        <v>3466.14393590513</v>
      </c>
      <c r="AA19" s="65" t="n">
        <f aca="false">SUM(AA14:AA18)</f>
        <v>3625.20019644048</v>
      </c>
      <c r="AB19" s="65" t="n">
        <f aca="false">SUM(AB14:AB18)</f>
        <v>3814.94871575189</v>
      </c>
      <c r="AC19" s="65" t="n">
        <f aca="false">SUM(AC14:AC18)</f>
        <v>4027.85321761023</v>
      </c>
      <c r="AD19" s="65" t="n">
        <f aca="false">SUM(AD14:AD18)</f>
        <v>4259.82008522945</v>
      </c>
      <c r="AE19" s="65" t="n">
        <f aca="false">SUM(AE14:AE18)</f>
        <v>4969.00409663926</v>
      </c>
      <c r="AF19" s="65" t="n">
        <f aca="false">SUM(AF14:AF18)</f>
        <v>5231.92742409137</v>
      </c>
      <c r="AG19" s="65" t="n">
        <f aca="false">SUM(AG14:AG18)</f>
        <v>5507.97465086556</v>
      </c>
      <c r="AH19" s="65" t="n">
        <f aca="false">SUM(AH14:AH18)</f>
        <v>5796.03336028028</v>
      </c>
      <c r="AI19" s="65" t="n">
        <f aca="false">SUM(AI14:AI18)</f>
        <v>6095.20183540887</v>
      </c>
      <c r="AJ19" s="65" t="n">
        <f aca="false">SUM(AJ14:AJ18)</f>
        <v>6404.73154172188</v>
      </c>
      <c r="AK19" s="65" t="n">
        <f aca="false">SUM(AK14:AK18)</f>
        <v>6723.98923596639</v>
      </c>
    </row>
    <row r="21" customFormat="false" ht="15" hidden="false" customHeight="true" outlineLevel="0" collapsed="false">
      <c r="A21" s="62" t="s">
        <v>321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c r="AK21" s="63"/>
    </row>
    <row r="22" customFormat="false" ht="16.5" hidden="false" customHeight="true" outlineLevel="0" collapsed="false">
      <c r="A22" s="14" t="s">
        <v>322</v>
      </c>
      <c r="B22" s="64" t="n">
        <f aca="false">INDEX(Annahmen!$B$94:$F$94,B$12)+(B$7-INDEX(Annahmen!$B$80:$F$80,B$12))*(INDEX(Annahmen!$B$94:$F$94,B$12+1)-INDEX(Annahmen!$B$94:$F$94,B$12))/(INDEX(Annahmen!$B$80:$F$80,B$12+1)-INDEX(Annahmen!$B$80:$F$80,B$12))</f>
        <v>1000</v>
      </c>
      <c r="C22" s="64" t="n">
        <f aca="false">INDEX(Annahmen!$B$94:$F$94,C$12)+(C$7-INDEX(Annahmen!$B$80:$F$80,C$12))*(INDEX(Annahmen!$B$94:$F$94,C$12+1)-INDEX(Annahmen!$B$94:$F$94,C$12))/(INDEX(Annahmen!$B$80:$F$80,C$12+1)-INDEX(Annahmen!$B$80:$F$80,C$12))</f>
        <v>1013.50641281492</v>
      </c>
      <c r="D22" s="64" t="n">
        <f aca="false">INDEX(Annahmen!$B$94:$F$94,D$12)+(D$7-INDEX(Annahmen!$B$80:$F$80,D$12))*(INDEX(Annahmen!$B$94:$F$94,D$12+1)-INDEX(Annahmen!$B$94:$F$94,D$12))/(INDEX(Annahmen!$B$80:$F$80,D$12+1)-INDEX(Annahmen!$B$80:$F$80,D$12))</f>
        <v>1031.02958836482</v>
      </c>
      <c r="E22" s="64" t="n">
        <f aca="false">INDEX(Annahmen!$B$94:$F$94,E$12)+(E$7-INDEX(Annahmen!$B$80:$F$80,E$12))*(INDEX(Annahmen!$B$94:$F$94,E$12+1)-INDEX(Annahmen!$B$94:$F$94,E$12))/(INDEX(Annahmen!$B$80:$F$80,E$12+1)-INDEX(Annahmen!$B$80:$F$80,E$12))</f>
        <v>1050.4760689803</v>
      </c>
      <c r="F22" s="64" t="n">
        <f aca="false">INDEX(Annahmen!$B$94:$F$94,F$12)+(F$7-INDEX(Annahmen!$B$80:$F$80,F$12))*(INDEX(Annahmen!$B$94:$F$94,F$12+1)-INDEX(Annahmen!$B$94:$F$94,F$12))/(INDEX(Annahmen!$B$80:$F$80,F$12+1)-INDEX(Annahmen!$B$80:$F$80,F$12))</f>
        <v>1071.28727422181</v>
      </c>
      <c r="G22" s="64" t="n">
        <f aca="false">INDEX(Annahmen!$B$94:$F$94,G$12)+(G$7-INDEX(Annahmen!$B$80:$F$80,G$12))*(INDEX(Annahmen!$B$94:$F$94,G$12+1)-INDEX(Annahmen!$B$94:$F$94,G$12))/(INDEX(Annahmen!$B$80:$F$80,G$12+1)-INDEX(Annahmen!$B$80:$F$80,G$12))</f>
        <v>1093.17599190343</v>
      </c>
      <c r="H22" s="64" t="n">
        <f aca="false">INDEX(Annahmen!$B$94:$F$94,H$12)+(H$7-INDEX(Annahmen!$B$80:$F$80,H$12))*(INDEX(Annahmen!$B$94:$F$94,H$12+1)-INDEX(Annahmen!$B$94:$F$94,H$12))/(INDEX(Annahmen!$B$80:$F$80,H$12+1)-INDEX(Annahmen!$B$80:$F$80,H$12))</f>
        <v>1115.96355480877</v>
      </c>
      <c r="I22" s="64" t="n">
        <f aca="false">INDEX(Annahmen!$B$94:$F$94,I$12)+(I$7-INDEX(Annahmen!$B$80:$F$80,I$12))*(INDEX(Annahmen!$B$94:$F$94,I$12+1)-INDEX(Annahmen!$B$94:$F$94,I$12))/(INDEX(Annahmen!$B$80:$F$80,I$12+1)-INDEX(Annahmen!$B$80:$F$80,I$12))</f>
        <v>1139.52681079173</v>
      </c>
      <c r="J22" s="64" t="n">
        <f aca="false">INDEX(Annahmen!$B$94:$F$94,J$12)+(J$7-INDEX(Annahmen!$B$80:$F$80,J$12))*(INDEX(Annahmen!$B$94:$F$94,J$12+1)-INDEX(Annahmen!$B$94:$F$94,J$12))/(INDEX(Annahmen!$B$80:$F$80,J$12+1)-INDEX(Annahmen!$B$80:$F$80,J$12))</f>
        <v>1163.77514926162</v>
      </c>
      <c r="K22" s="64" t="n">
        <f aca="false">INDEX(Annahmen!$B$94:$F$94,K$12)+(K$7-INDEX(Annahmen!$B$80:$F$80,K$12))*(INDEX(Annahmen!$B$94:$F$94,K$12+1)-INDEX(Annahmen!$B$94:$F$94,K$12))/(INDEX(Annahmen!$B$80:$F$80,K$12+1)-INDEX(Annahmen!$B$80:$F$80,K$12))</f>
        <v>1188.63880251677</v>
      </c>
      <c r="L22" s="64" t="n">
        <f aca="false">INDEX(Annahmen!$B$94:$F$94,L$12)+(L$7-INDEX(Annahmen!$B$80:$F$80,L$12))*(INDEX(Annahmen!$B$94:$F$94,L$12+1)-INDEX(Annahmen!$B$94:$F$94,L$12))/(INDEX(Annahmen!$B$80:$F$80,L$12+1)-INDEX(Annahmen!$B$80:$F$80,L$12))</f>
        <v>1214.06221724937</v>
      </c>
      <c r="M22" s="64" t="n">
        <f aca="false">INDEX(Annahmen!$B$94:$F$94,M$12)+(M$7-INDEX(Annahmen!$B$80:$F$80,M$12))*(INDEX(Annahmen!$B$94:$F$94,M$12+1)-INDEX(Annahmen!$B$94:$F$94,M$12))/(INDEX(Annahmen!$B$80:$F$80,M$12+1)-INDEX(Annahmen!$B$80:$F$80,M$12))</f>
        <v>1240</v>
      </c>
      <c r="N22" s="64" t="n">
        <f aca="false">INDEX(Annahmen!$B$94:$F$94,N$12)+(N$7-INDEX(Annahmen!$B$80:$F$80,N$12))*(INDEX(Annahmen!$B$94:$F$94,N$12+1)-INDEX(Annahmen!$B$94:$F$94,N$12))/(INDEX(Annahmen!$B$80:$F$80,N$12+1)-INDEX(Annahmen!$B$80:$F$80,N$12))</f>
        <v>1261.48069757131</v>
      </c>
      <c r="O22" s="64" t="n">
        <f aca="false">INDEX(Annahmen!$B$94:$F$94,O$12)+(O$7-INDEX(Annahmen!$B$80:$F$80,O$12))*(INDEX(Annahmen!$B$94:$F$94,O$12+1)-INDEX(Annahmen!$B$94:$F$94,O$12))/(INDEX(Annahmen!$B$80:$F$80,O$12+1)-INDEX(Annahmen!$B$80:$F$80,O$12))</f>
        <v>1294.37866918793</v>
      </c>
      <c r="P22" s="64" t="n">
        <f aca="false">INDEX(Annahmen!$B$94:$F$94,P$12)+(P$7-INDEX(Annahmen!$B$80:$F$80,P$12))*(INDEX(Annahmen!$B$94:$F$94,P$12+1)-INDEX(Annahmen!$B$94:$F$94,P$12))/(INDEX(Annahmen!$B$80:$F$80,P$12+1)-INDEX(Annahmen!$B$80:$F$80,P$12))</f>
        <v>1325.61888850866</v>
      </c>
      <c r="Q22" s="64" t="n">
        <f aca="false">INDEX(Annahmen!$B$94:$F$94,Q$12)+(Q$7-INDEX(Annahmen!$B$80:$F$80,Q$12))*(INDEX(Annahmen!$B$94:$F$94,Q$12+1)-INDEX(Annahmen!$B$94:$F$94,Q$12))/(INDEX(Annahmen!$B$80:$F$80,Q$12+1)-INDEX(Annahmen!$B$80:$F$80,Q$12))</f>
        <v>1359.16976624146</v>
      </c>
      <c r="R22" s="64" t="n">
        <f aca="false">INDEX(Annahmen!$B$94:$F$94,R$12)+(R$7-INDEX(Annahmen!$B$80:$F$80,R$12))*(INDEX(Annahmen!$B$94:$F$94,R$12+1)-INDEX(Annahmen!$B$94:$F$94,R$12))/(INDEX(Annahmen!$B$80:$F$80,R$12+1)-INDEX(Annahmen!$B$80:$F$80,R$12))</f>
        <v>1395.72461569565</v>
      </c>
      <c r="S22" s="64" t="n">
        <f aca="false">INDEX(Annahmen!$B$94:$F$94,S$12)+(S$7-INDEX(Annahmen!$B$80:$F$80,S$12))*(INDEX(Annahmen!$B$94:$F$94,S$12+1)-INDEX(Annahmen!$B$94:$F$94,S$12))/(INDEX(Annahmen!$B$80:$F$80,S$12+1)-INDEX(Annahmen!$B$80:$F$80,S$12))</f>
        <v>1434.86658556877</v>
      </c>
      <c r="T22" s="64" t="n">
        <f aca="false">INDEX(Annahmen!$B$94:$F$94,T$12)+(T$7-INDEX(Annahmen!$B$80:$F$80,T$12))*(INDEX(Annahmen!$B$94:$F$94,T$12+1)-INDEX(Annahmen!$B$94:$F$94,T$12))/(INDEX(Annahmen!$B$80:$F$80,T$12+1)-INDEX(Annahmen!$B$80:$F$80,T$12))</f>
        <v>1476.29975553675</v>
      </c>
      <c r="U22" s="64" t="n">
        <f aca="false">INDEX(Annahmen!$B$94:$F$94,U$12)+(U$7-INDEX(Annahmen!$B$80:$F$80,U$12))*(INDEX(Annahmen!$B$94:$F$94,U$12+1)-INDEX(Annahmen!$B$94:$F$94,U$12))/(INDEX(Annahmen!$B$80:$F$80,U$12+1)-INDEX(Annahmen!$B$80:$F$80,U$12))</f>
        <v>1519.80107501632</v>
      </c>
      <c r="V22" s="64" t="n">
        <f aca="false">INDEX(Annahmen!$B$94:$F$94,V$12)+(V$7-INDEX(Annahmen!$B$80:$F$80,V$12))*(INDEX(Annahmen!$B$94:$F$94,V$12+1)-INDEX(Annahmen!$B$94:$F$94,V$12))/(INDEX(Annahmen!$B$80:$F$80,V$12+1)-INDEX(Annahmen!$B$80:$F$80,V$12))</f>
        <v>1565.19524214328</v>
      </c>
      <c r="W22" s="64" t="n">
        <f aca="false">INDEX(Annahmen!$B$94:$F$94,W$12)+(W$7-INDEX(Annahmen!$B$80:$F$80,W$12))*(INDEX(Annahmen!$B$94:$F$94,W$12+1)-INDEX(Annahmen!$B$94:$F$94,W$12))/(INDEX(Annahmen!$B$80:$F$80,W$12+1)-INDEX(Annahmen!$B$80:$F$80,W$12))</f>
        <v>1612.34015849279</v>
      </c>
      <c r="X22" s="64" t="n">
        <f aca="false">INDEX(Annahmen!$B$94:$F$94,X$12)+(X$7-INDEX(Annahmen!$B$80:$F$80,X$12))*(INDEX(Annahmen!$B$94:$F$94,X$12+1)-INDEX(Annahmen!$B$94:$F$94,X$12))/(INDEX(Annahmen!$B$80:$F$80,X$12+1)-INDEX(Annahmen!$B$80:$F$80,X$12))</f>
        <v>1661.59971510148</v>
      </c>
      <c r="Y22" s="64" t="n">
        <f aca="false">INDEX(Annahmen!$B$94:$F$94,Y$12)+(Y$7-INDEX(Annahmen!$B$80:$F$80,Y$12))*(INDEX(Annahmen!$B$94:$F$94,Y$12+1)-INDEX(Annahmen!$B$94:$F$94,Y$12))/(INDEX(Annahmen!$B$80:$F$80,Y$12+1)-INDEX(Annahmen!$B$80:$F$80,Y$12))</f>
        <v>1712.5</v>
      </c>
      <c r="Z22" s="64" t="n">
        <f aca="false">INDEX(Annahmen!$B$94:$F$94,Z$12)+(Z$7-INDEX(Annahmen!$B$80:$F$80,Z$12))*(INDEX(Annahmen!$B$94:$F$94,Z$12+1)-INDEX(Annahmen!$B$94:$F$94,Z$12))/(INDEX(Annahmen!$B$80:$F$80,Z$12+1)-INDEX(Annahmen!$B$80:$F$80,Z$12))</f>
        <v>1738.99286033795</v>
      </c>
      <c r="AA22" s="64" t="n">
        <f aca="false">INDEX(Annahmen!$B$94:$F$94,AA$12)+(AA$7-INDEX(Annahmen!$B$80:$F$80,AA$12))*(INDEX(Annahmen!$B$94:$F$94,AA$12+1)-INDEX(Annahmen!$B$94:$F$94,AA$12))/(INDEX(Annahmen!$B$80:$F$80,AA$12+1)-INDEX(Annahmen!$B$80:$F$80,AA$12))</f>
        <v>1779.56702533179</v>
      </c>
      <c r="AB22" s="64" t="n">
        <f aca="false">INDEX(Annahmen!$B$94:$F$94,AB$12)+(AB$7-INDEX(Annahmen!$B$80:$F$80,AB$12))*(INDEX(Annahmen!$B$94:$F$94,AB$12+1)-INDEX(Annahmen!$B$94:$F$94,AB$12))/(INDEX(Annahmen!$B$80:$F$80,AB$12+1)-INDEX(Annahmen!$B$80:$F$80,AB$12))</f>
        <v>1827.9705757734</v>
      </c>
      <c r="AC22" s="64" t="n">
        <f aca="false">INDEX(Annahmen!$B$94:$F$94,AC$12)+(AC$7-INDEX(Annahmen!$B$80:$F$80,AC$12))*(INDEX(Annahmen!$B$94:$F$94,AC$12+1)-INDEX(Annahmen!$B$94:$F$94,AC$12))/(INDEX(Annahmen!$B$80:$F$80,AC$12+1)-INDEX(Annahmen!$B$80:$F$80,AC$12))</f>
        <v>1882.28105910336</v>
      </c>
      <c r="AD22" s="64" t="n">
        <f aca="false">INDEX(Annahmen!$B$94:$F$94,AD$12)+(AD$7-INDEX(Annahmen!$B$80:$F$80,AD$12))*(INDEX(Annahmen!$B$94:$F$94,AD$12+1)-INDEX(Annahmen!$B$94:$F$94,AD$12))/(INDEX(Annahmen!$B$80:$F$80,AD$12+1)-INDEX(Annahmen!$B$80:$F$80,AD$12))</f>
        <v>1941.45422165733</v>
      </c>
      <c r="AE22" s="64" t="n">
        <f aca="false">INDEX(Annahmen!$B$94:$F$94,AE$12)+(AE$7-INDEX(Annahmen!$B$80:$F$80,AE$12))*(INDEX(Annahmen!$B$94:$F$94,AE$12+1)-INDEX(Annahmen!$B$94:$F$94,AE$12))/(INDEX(Annahmen!$B$80:$F$80,AE$12+1)-INDEX(Annahmen!$B$80:$F$80,AE$12))</f>
        <v>2002.91999662792</v>
      </c>
      <c r="AF22" s="64" t="n">
        <f aca="false">INDEX(Annahmen!$B$94:$F$94,AF$12)+(AF$7-INDEX(Annahmen!$B$80:$F$80,AF$12))*(INDEX(Annahmen!$B$94:$F$94,AF$12+1)-INDEX(Annahmen!$B$94:$F$94,AF$12))/(INDEX(Annahmen!$B$80:$F$80,AF$12+1)-INDEX(Annahmen!$B$80:$F$80,AF$12))</f>
        <v>2061.40982156605</v>
      </c>
      <c r="AG22" s="64" t="n">
        <f aca="false">INDEX(Annahmen!$B$94:$F$94,AG$12)+(AG$7-INDEX(Annahmen!$B$80:$F$80,AG$12))*(INDEX(Annahmen!$B$94:$F$94,AG$12+1)-INDEX(Annahmen!$B$94:$F$94,AG$12))/(INDEX(Annahmen!$B$80:$F$80,AG$12+1)-INDEX(Annahmen!$B$80:$F$80,AG$12))</f>
        <v>2122.81918423137</v>
      </c>
      <c r="AH22" s="64" t="n">
        <f aca="false">INDEX(Annahmen!$B$94:$F$94,AH$12)+(AH$7-INDEX(Annahmen!$B$80:$F$80,AH$12))*(INDEX(Annahmen!$B$94:$F$94,AH$12+1)-INDEX(Annahmen!$B$94:$F$94,AH$12))/(INDEX(Annahmen!$B$80:$F$80,AH$12+1)-INDEX(Annahmen!$B$80:$F$80,AH$12))</f>
        <v>2186.90061682559</v>
      </c>
      <c r="AI22" s="64" t="n">
        <f aca="false">INDEX(Annahmen!$B$94:$F$94,AI$12)+(AI$7-INDEX(Annahmen!$B$80:$F$80,AI$12))*(INDEX(Annahmen!$B$94:$F$94,AI$12+1)-INDEX(Annahmen!$B$94:$F$94,AI$12))/(INDEX(Annahmen!$B$80:$F$80,AI$12+1)-INDEX(Annahmen!$B$80:$F$80,AI$12))</f>
        <v>2253.45352373899</v>
      </c>
      <c r="AJ22" s="64" t="n">
        <f aca="false">INDEX(Annahmen!$B$94:$F$94,AJ$12)+(AJ$7-INDEX(Annahmen!$B$80:$F$80,AJ$12))*(INDEX(Annahmen!$B$94:$F$94,AJ$12+1)-INDEX(Annahmen!$B$94:$F$94,AJ$12))/(INDEX(Annahmen!$B$80:$F$80,AJ$12+1)-INDEX(Annahmen!$B$80:$F$80,AJ$12))</f>
        <v>2322.31138626051</v>
      </c>
      <c r="AK22" s="64" t="n">
        <f aca="false">INDEX(Annahmen!$B$94:$F$94,AK$12)+(AK$7-INDEX(Annahmen!$B$80:$F$80,AK$12))*(INDEX(Annahmen!$B$94:$F$94,AK$12+1)-INDEX(Annahmen!$B$94:$F$94,AK$12))/(INDEX(Annahmen!$B$80:$F$80,AK$12+1)-INDEX(Annahmen!$B$80:$F$80,AK$12))</f>
        <v>2393.33333333333</v>
      </c>
    </row>
    <row r="23" customFormat="false" ht="16.5" hidden="false" customHeight="true" outlineLevel="0" collapsed="false">
      <c r="A23" s="14" t="s">
        <v>323</v>
      </c>
      <c r="B23" s="64" t="n">
        <f aca="false">INDEX(Annahmen!$B$95:$F$95,B$12)+(B$7-INDEX(Annahmen!$B$80:$F$80,B$12))*(INDEX(Annahmen!$B$95:$F$95,B$12+1)-INDEX(Annahmen!$B$95:$F$95,B$12))/(INDEX(Annahmen!$B$80:$F$80,B$12+1)-INDEX(Annahmen!$B$80:$F$80,B$12))</f>
        <v>270</v>
      </c>
      <c r="C23" s="64" t="n">
        <f aca="false">INDEX(Annahmen!$B$95:$F$95,C$12)+(C$7-INDEX(Annahmen!$B$80:$F$80,C$12))*(INDEX(Annahmen!$B$95:$F$95,C$12+1)-INDEX(Annahmen!$B$95:$F$95,C$12))/(INDEX(Annahmen!$B$80:$F$80,C$12+1)-INDEX(Annahmen!$B$80:$F$80,C$12))</f>
        <v>276.302992646963</v>
      </c>
      <c r="D23" s="64" t="n">
        <f aca="false">INDEX(Annahmen!$B$95:$F$95,D$12)+(D$7-INDEX(Annahmen!$B$80:$F$80,D$12))*(INDEX(Annahmen!$B$95:$F$95,D$12+1)-INDEX(Annahmen!$B$95:$F$95,D$12))/(INDEX(Annahmen!$B$80:$F$80,D$12+1)-INDEX(Annahmen!$B$80:$F$80,D$12))</f>
        <v>284.480474570249</v>
      </c>
      <c r="E23" s="64" t="n">
        <f aca="false">INDEX(Annahmen!$B$95:$F$95,E$12)+(E$7-INDEX(Annahmen!$B$80:$F$80,E$12))*(INDEX(Annahmen!$B$95:$F$95,E$12+1)-INDEX(Annahmen!$B$95:$F$95,E$12))/(INDEX(Annahmen!$B$80:$F$80,E$12+1)-INDEX(Annahmen!$B$80:$F$80,E$12))</f>
        <v>293.555498857472</v>
      </c>
      <c r="F23" s="64" t="n">
        <f aca="false">INDEX(Annahmen!$B$95:$F$95,F$12)+(F$7-INDEX(Annahmen!$B$80:$F$80,F$12))*(INDEX(Annahmen!$B$95:$F$95,F$12+1)-INDEX(Annahmen!$B$95:$F$95,F$12))/(INDEX(Annahmen!$B$80:$F$80,F$12+1)-INDEX(Annahmen!$B$80:$F$80,F$12))</f>
        <v>303.267394636843</v>
      </c>
      <c r="G23" s="64" t="n">
        <f aca="false">INDEX(Annahmen!$B$95:$F$95,G$12)+(G$7-INDEX(Annahmen!$B$80:$F$80,G$12))*(INDEX(Annahmen!$B$95:$F$95,G$12+1)-INDEX(Annahmen!$B$95:$F$95,G$12))/(INDEX(Annahmen!$B$80:$F$80,G$12+1)-INDEX(Annahmen!$B$80:$F$80,G$12))</f>
        <v>313.482129554933</v>
      </c>
      <c r="H23" s="64" t="n">
        <f aca="false">INDEX(Annahmen!$B$95:$F$95,H$12)+(H$7-INDEX(Annahmen!$B$80:$F$80,H$12))*(INDEX(Annahmen!$B$95:$F$95,H$12+1)-INDEX(Annahmen!$B$95:$F$95,H$12))/(INDEX(Annahmen!$B$80:$F$80,H$12+1)-INDEX(Annahmen!$B$80:$F$80,H$12))</f>
        <v>324.116325577425</v>
      </c>
      <c r="I23" s="64" t="n">
        <f aca="false">INDEX(Annahmen!$B$95:$F$95,I$12)+(I$7-INDEX(Annahmen!$B$80:$F$80,I$12))*(INDEX(Annahmen!$B$95:$F$95,I$12+1)-INDEX(Annahmen!$B$95:$F$95,I$12))/(INDEX(Annahmen!$B$80:$F$80,I$12+1)-INDEX(Annahmen!$B$80:$F$80,I$12))</f>
        <v>335.112511702808</v>
      </c>
      <c r="J23" s="64" t="n">
        <f aca="false">INDEX(Annahmen!$B$95:$F$95,J$12)+(J$7-INDEX(Annahmen!$B$80:$F$80,J$12))*(INDEX(Annahmen!$B$95:$F$95,J$12+1)-INDEX(Annahmen!$B$95:$F$95,J$12))/(INDEX(Annahmen!$B$80:$F$80,J$12+1)-INDEX(Annahmen!$B$80:$F$80,J$12))</f>
        <v>346.428402988758</v>
      </c>
      <c r="K23" s="64" t="n">
        <f aca="false">INDEX(Annahmen!$B$95:$F$95,K$12)+(K$7-INDEX(Annahmen!$B$80:$F$80,K$12))*(INDEX(Annahmen!$B$95:$F$95,K$12+1)-INDEX(Annahmen!$B$95:$F$95,K$12))/(INDEX(Annahmen!$B$80:$F$80,K$12+1)-INDEX(Annahmen!$B$80:$F$80,K$12))</f>
        <v>358.031441174492</v>
      </c>
      <c r="L23" s="64" t="n">
        <f aca="false">INDEX(Annahmen!$B$95:$F$95,L$12)+(L$7-INDEX(Annahmen!$B$80:$F$80,L$12))*(INDEX(Annahmen!$B$95:$F$95,L$12+1)-INDEX(Annahmen!$B$95:$F$95,L$12))/(INDEX(Annahmen!$B$80:$F$80,L$12+1)-INDEX(Annahmen!$B$80:$F$80,L$12))</f>
        <v>369.895701383038</v>
      </c>
      <c r="M23" s="64" t="n">
        <f aca="false">INDEX(Annahmen!$B$95:$F$95,M$12)+(M$7-INDEX(Annahmen!$B$80:$F$80,M$12))*(INDEX(Annahmen!$B$95:$F$95,M$12+1)-INDEX(Annahmen!$B$95:$F$95,M$12))/(INDEX(Annahmen!$B$80:$F$80,M$12+1)-INDEX(Annahmen!$B$80:$F$80,M$12))</f>
        <v>382</v>
      </c>
      <c r="N23" s="64" t="n">
        <f aca="false">INDEX(Annahmen!$B$95:$F$95,N$12)+(N$7-INDEX(Annahmen!$B$80:$F$80,N$12))*(INDEX(Annahmen!$B$95:$F$95,N$12+1)-INDEX(Annahmen!$B$95:$F$95,N$12))/(INDEX(Annahmen!$B$80:$F$80,N$12+1)-INDEX(Annahmen!$B$80:$F$80,N$12))</f>
        <v>392.024325533278</v>
      </c>
      <c r="O23" s="64" t="n">
        <f aca="false">INDEX(Annahmen!$B$95:$F$95,O$12)+(O$7-INDEX(Annahmen!$B$80:$F$80,O$12))*(INDEX(Annahmen!$B$95:$F$95,O$12+1)-INDEX(Annahmen!$B$95:$F$95,O$12))/(INDEX(Annahmen!$B$80:$F$80,O$12+1)-INDEX(Annahmen!$B$80:$F$80,O$12))</f>
        <v>407.376712287703</v>
      </c>
      <c r="P23" s="64" t="n">
        <f aca="false">INDEX(Annahmen!$B$95:$F$95,P$12)+(P$7-INDEX(Annahmen!$B$80:$F$80,P$12))*(INDEX(Annahmen!$B$95:$F$95,P$12+1)-INDEX(Annahmen!$B$95:$F$95,P$12))/(INDEX(Annahmen!$B$80:$F$80,P$12+1)-INDEX(Annahmen!$B$80:$F$80,P$12))</f>
        <v>422.008853988436</v>
      </c>
      <c r="Q23" s="64" t="n">
        <f aca="false">INDEX(Annahmen!$B$95:$F$95,Q$12)+(Q$7-INDEX(Annahmen!$B$80:$F$80,Q$12))*(INDEX(Annahmen!$B$95:$F$95,Q$12+1)-INDEX(Annahmen!$B$95:$F$95,Q$12))/(INDEX(Annahmen!$B$80:$F$80,Q$12+1)-INDEX(Annahmen!$B$80:$F$80,Q$12))</f>
        <v>437.735827925683</v>
      </c>
      <c r="R23" s="64" t="n">
        <f aca="false">INDEX(Annahmen!$B$95:$F$95,R$12)+(R$7-INDEX(Annahmen!$B$80:$F$80,R$12))*(INDEX(Annahmen!$B$95:$F$95,R$12+1)-INDEX(Annahmen!$B$95:$F$95,R$12))/(INDEX(Annahmen!$B$80:$F$80,R$12+1)-INDEX(Annahmen!$B$80:$F$80,R$12))</f>
        <v>454.870913607336</v>
      </c>
      <c r="S23" s="64" t="n">
        <f aca="false">INDEX(Annahmen!$B$95:$F$95,S$12)+(S$7-INDEX(Annahmen!$B$80:$F$80,S$12))*(INDEX(Annahmen!$B$95:$F$95,S$12+1)-INDEX(Annahmen!$B$95:$F$95,S$12))/(INDEX(Annahmen!$B$80:$F$80,S$12+1)-INDEX(Annahmen!$B$80:$F$80,S$12))</f>
        <v>473.218711985362</v>
      </c>
      <c r="T23" s="64" t="n">
        <f aca="false">INDEX(Annahmen!$B$95:$F$95,T$12)+(T$7-INDEX(Annahmen!$B$80:$F$80,T$12))*(INDEX(Annahmen!$B$95:$F$95,T$12+1)-INDEX(Annahmen!$B$95:$F$95,T$12))/(INDEX(Annahmen!$B$80:$F$80,T$12+1)-INDEX(Annahmen!$B$80:$F$80,T$12))</f>
        <v>492.640510407853</v>
      </c>
      <c r="U23" s="64" t="n">
        <f aca="false">INDEX(Annahmen!$B$95:$F$95,U$12)+(U$7-INDEX(Annahmen!$B$80:$F$80,U$12))*(INDEX(Annahmen!$B$95:$F$95,U$12+1)-INDEX(Annahmen!$B$95:$F$95,U$12))/(INDEX(Annahmen!$B$80:$F$80,U$12+1)-INDEX(Annahmen!$B$80:$F$80,U$12))</f>
        <v>513.0317539139</v>
      </c>
      <c r="V23" s="64" t="n">
        <f aca="false">INDEX(Annahmen!$B$95:$F$95,V$12)+(V$7-INDEX(Annahmen!$B$80:$F$80,V$12))*(INDEX(Annahmen!$B$95:$F$95,V$12+1)-INDEX(Annahmen!$B$95:$F$95,V$12))/(INDEX(Annahmen!$B$80:$F$80,V$12+1)-INDEX(Annahmen!$B$80:$F$80,V$12))</f>
        <v>534.310269754662</v>
      </c>
      <c r="W23" s="64" t="n">
        <f aca="false">INDEX(Annahmen!$B$95:$F$95,W$12)+(W$7-INDEX(Annahmen!$B$80:$F$80,W$12))*(INDEX(Annahmen!$B$95:$F$95,W$12+1)-INDEX(Annahmen!$B$95:$F$95,W$12))/(INDEX(Annahmen!$B$80:$F$80,W$12+1)-INDEX(Annahmen!$B$80:$F$80,W$12))</f>
        <v>556.409449293495</v>
      </c>
      <c r="X23" s="64" t="n">
        <f aca="false">INDEX(Annahmen!$B$95:$F$95,X$12)+(X$7-INDEX(Annahmen!$B$80:$F$80,X$12))*(INDEX(Annahmen!$B$95:$F$95,X$12+1)-INDEX(Annahmen!$B$95:$F$95,X$12))/(INDEX(Annahmen!$B$80:$F$80,X$12+1)-INDEX(Annahmen!$B$80:$F$80,X$12))</f>
        <v>579.113382614193</v>
      </c>
      <c r="Y23" s="64" t="n">
        <f aca="false">INDEX(Annahmen!$B$95:$F$95,Y$12)+(Y$7-INDEX(Annahmen!$B$80:$F$80,Y$12))*(INDEX(Annahmen!$B$95:$F$95,Y$12+1)-INDEX(Annahmen!$B$95:$F$95,Y$12))/(INDEX(Annahmen!$B$80:$F$80,Y$12+1)-INDEX(Annahmen!$B$80:$F$80,Y$12))</f>
        <v>602.5</v>
      </c>
      <c r="Z23" s="64" t="n">
        <f aca="false">INDEX(Annahmen!$B$95:$F$95,Z$12)+(Z$7-INDEX(Annahmen!$B$80:$F$80,Z$12))*(INDEX(Annahmen!$B$95:$F$95,Z$12+1)-INDEX(Annahmen!$B$95:$F$95,Z$12))/(INDEX(Annahmen!$B$80:$F$80,Z$12+1)-INDEX(Annahmen!$B$80:$F$80,Z$12))</f>
        <v>614.672395290409</v>
      </c>
      <c r="AA23" s="64" t="n">
        <f aca="false">INDEX(Annahmen!$B$95:$F$95,AA$12)+(AA$7-INDEX(Annahmen!$B$80:$F$80,AA$12))*(INDEX(Annahmen!$B$95:$F$95,AA$12+1)-INDEX(Annahmen!$B$95:$F$95,AA$12))/(INDEX(Annahmen!$B$80:$F$80,AA$12+1)-INDEX(Annahmen!$B$80:$F$80,AA$12))</f>
        <v>633.314579206496</v>
      </c>
      <c r="AB23" s="64" t="n">
        <f aca="false">INDEX(Annahmen!$B$95:$F$95,AB$12)+(AB$7-INDEX(Annahmen!$B$80:$F$80,AB$12))*(INDEX(Annahmen!$B$95:$F$95,AB$12+1)-INDEX(Annahmen!$B$95:$F$95,AB$12))/(INDEX(Annahmen!$B$80:$F$80,AB$12+1)-INDEX(Annahmen!$B$80:$F$80,AB$12))</f>
        <v>655.554048328319</v>
      </c>
      <c r="AC23" s="64" t="n">
        <f aca="false">INDEX(Annahmen!$B$95:$F$95,AC$12)+(AC$7-INDEX(Annahmen!$B$80:$F$80,AC$12))*(INDEX(Annahmen!$B$95:$F$95,AC$12+1)-INDEX(Annahmen!$B$95:$F$95,AC$12))/(INDEX(Annahmen!$B$80:$F$80,AC$12+1)-INDEX(Annahmen!$B$80:$F$80,AC$12))</f>
        <v>680.507513642084</v>
      </c>
      <c r="AD23" s="64" t="n">
        <f aca="false">INDEX(Annahmen!$B$95:$F$95,AD$12)+(AD$7-INDEX(Annahmen!$B$80:$F$80,AD$12))*(INDEX(Annahmen!$B$95:$F$95,AD$12+1)-INDEX(Annahmen!$B$95:$F$95,AD$12))/(INDEX(Annahmen!$B$80:$F$80,AD$12+1)-INDEX(Annahmen!$B$80:$F$80,AD$12))</f>
        <v>707.695182923639</v>
      </c>
      <c r="AE23" s="64" t="n">
        <f aca="false">INDEX(Annahmen!$B$95:$F$95,AE$12)+(AE$7-INDEX(Annahmen!$B$80:$F$80,AE$12))*(INDEX(Annahmen!$B$95:$F$95,AE$12+1)-INDEX(Annahmen!$B$95:$F$95,AE$12))/(INDEX(Annahmen!$B$80:$F$80,AE$12+1)-INDEX(Annahmen!$B$80:$F$80,AE$12))</f>
        <v>736.620163561412</v>
      </c>
      <c r="AF23" s="64" t="n">
        <f aca="false">INDEX(Annahmen!$B$95:$F$95,AF$12)+(AF$7-INDEX(Annahmen!$B$80:$F$80,AF$12))*(INDEX(Annahmen!$B$95:$F$95,AF$12+1)-INDEX(Annahmen!$B$95:$F$95,AF$12))/(INDEX(Annahmen!$B$80:$F$80,AF$12+1)-INDEX(Annahmen!$B$80:$F$80,AF$12))</f>
        <v>766.590156504918</v>
      </c>
      <c r="AG23" s="64" t="n">
        <f aca="false">INDEX(Annahmen!$B$95:$F$95,AG$12)+(AG$7-INDEX(Annahmen!$B$80:$F$80,AG$12))*(INDEX(Annahmen!$B$95:$F$95,AG$12+1)-INDEX(Annahmen!$B$95:$F$95,AG$12))/(INDEX(Annahmen!$B$80:$F$80,AG$12+1)-INDEX(Annahmen!$B$80:$F$80,AG$12))</f>
        <v>798.056110928472</v>
      </c>
      <c r="AH23" s="64" t="n">
        <f aca="false">INDEX(Annahmen!$B$95:$F$95,AH$12)+(AH$7-INDEX(Annahmen!$B$80:$F$80,AH$12))*(INDEX(Annahmen!$B$95:$F$95,AH$12+1)-INDEX(Annahmen!$B$95:$F$95,AH$12))/(INDEX(Annahmen!$B$80:$F$80,AH$12+1)-INDEX(Annahmen!$B$80:$F$80,AH$12))</f>
        <v>830.891225150305</v>
      </c>
      <c r="AI23" s="64" t="n">
        <f aca="false">INDEX(Annahmen!$B$95:$F$95,AI$12)+(AI$7-INDEX(Annahmen!$B$80:$F$80,AI$12))*(INDEX(Annahmen!$B$95:$F$95,AI$12+1)-INDEX(Annahmen!$B$95:$F$95,AI$12))/(INDEX(Annahmen!$B$80:$F$80,AI$12+1)-INDEX(Annahmen!$B$80:$F$80,AI$12))</f>
        <v>864.992714643118</v>
      </c>
      <c r="AJ23" s="64" t="n">
        <f aca="false">INDEX(Annahmen!$B$95:$F$95,AJ$12)+(AJ$7-INDEX(Annahmen!$B$80:$F$80,AJ$12))*(INDEX(Annahmen!$B$95:$F$95,AJ$12+1)-INDEX(Annahmen!$B$95:$F$95,AJ$12))/(INDEX(Annahmen!$B$80:$F$80,AJ$12+1)-INDEX(Annahmen!$B$80:$F$80,AJ$12))</f>
        <v>900.27525576985</v>
      </c>
      <c r="AK23" s="64" t="n">
        <f aca="false">INDEX(Annahmen!$B$95:$F$95,AK$12)+(AK$7-INDEX(Annahmen!$B$80:$F$80,AK$12))*(INDEX(Annahmen!$B$95:$F$95,AK$12+1)-INDEX(Annahmen!$B$95:$F$95,AK$12))/(INDEX(Annahmen!$B$80:$F$80,AK$12+1)-INDEX(Annahmen!$B$80:$F$80,AK$12))</f>
        <v>936.666666666667</v>
      </c>
    </row>
    <row r="24" customFormat="false" ht="16.5" hidden="false" customHeight="true" outlineLevel="0" collapsed="false">
      <c r="A24" s="14" t="s">
        <v>324</v>
      </c>
      <c r="B24" s="66" t="n">
        <f aca="false">B9*Annahmen!$B$105+B9*Annahmen!$B$110*Annahmen!$B$111</f>
        <v>0</v>
      </c>
      <c r="C24" s="66" t="n">
        <f aca="false">C9*Annahmen!$B$105+C9*Annahmen!$B$110*Annahmen!$B$111</f>
        <v>137.292686263665</v>
      </c>
      <c r="D24" s="66" t="n">
        <f aca="false">D9*Annahmen!$B$105+D9*Annahmen!$B$110*Annahmen!$B$111</f>
        <v>187.104843986648</v>
      </c>
      <c r="E24" s="66" t="n">
        <f aca="false">E9*Annahmen!$B$105+E9*Annahmen!$B$110*Annahmen!$B$111</f>
        <v>218.308151718934</v>
      </c>
      <c r="F24" s="66" t="n">
        <f aca="false">F9*Annahmen!$B$105+F9*Annahmen!$B$110*Annahmen!$B$111</f>
        <v>245.112487151843</v>
      </c>
      <c r="G24" s="66" t="n">
        <f aca="false">G9*Annahmen!$B$105+G9*Annahmen!$B$110*Annahmen!$B$111</f>
        <v>269.904852591169</v>
      </c>
      <c r="H24" s="66" t="n">
        <f aca="false">H9*Annahmen!$B$105+H9*Annahmen!$B$110*Annahmen!$B$111</f>
        <v>293.597611548574</v>
      </c>
      <c r="I24" s="66" t="n">
        <f aca="false">I9*Annahmen!$B$105+I9*Annahmen!$B$110*Annahmen!$B$111</f>
        <v>316.636261014662</v>
      </c>
      <c r="J24" s="66" t="n">
        <f aca="false">J9*Annahmen!$B$105+J9*Annahmen!$B$110*Annahmen!$B$111</f>
        <v>339.269689722949</v>
      </c>
      <c r="K24" s="66" t="n">
        <f aca="false">K9*Annahmen!$B$105+K9*Annahmen!$B$110*Annahmen!$B$111</f>
        <v>361.649509597534</v>
      </c>
      <c r="L24" s="66" t="n">
        <f aca="false">L9*Annahmen!$B$105+L9*Annahmen!$B$110*Annahmen!$B$111</f>
        <v>383.873814430504</v>
      </c>
      <c r="M24" s="66" t="n">
        <f aca="false">M9*Annahmen!$B$105+M9*Annahmen!$B$110*Annahmen!$B$111</f>
        <v>406.008936131016</v>
      </c>
      <c r="N24" s="66" t="n">
        <f aca="false">N9*Annahmen!$B$105+N9*Annahmen!$B$110*Annahmen!$B$111</f>
        <v>377.951290812367</v>
      </c>
      <c r="O24" s="66" t="n">
        <f aca="false">O9*Annahmen!$B$105+O9*Annahmen!$B$110*Annahmen!$B$111</f>
        <v>508.292545367906</v>
      </c>
      <c r="P24" s="66" t="n">
        <f aca="false">P9*Annahmen!$B$105+P9*Annahmen!$B$110*Annahmen!$B$111</f>
        <v>594.698644933491</v>
      </c>
      <c r="Q24" s="66" t="n">
        <f aca="false">Q9*Annahmen!$B$105+Q9*Annahmen!$B$110*Annahmen!$B$111</f>
        <v>669.481618328393</v>
      </c>
      <c r="R24" s="66" t="n">
        <f aca="false">R9*Annahmen!$B$105+R9*Annahmen!$B$110*Annahmen!$B$111</f>
        <v>738.842920268816</v>
      </c>
      <c r="S24" s="66" t="n">
        <f aca="false">S9*Annahmen!$B$105+S9*Annahmen!$B$110*Annahmen!$B$111</f>
        <v>805.264678572242</v>
      </c>
      <c r="T24" s="66" t="n">
        <f aca="false">T9*Annahmen!$B$105+T9*Annahmen!$B$110*Annahmen!$B$111</f>
        <v>869.996468417681</v>
      </c>
      <c r="U24" s="66" t="n">
        <f aca="false">U9*Annahmen!$B$105+U9*Annahmen!$B$110*Annahmen!$B$111</f>
        <v>933.752203048543</v>
      </c>
      <c r="V24" s="66" t="n">
        <f aca="false">V9*Annahmen!$B$105+V9*Annahmen!$B$110*Annahmen!$B$111</f>
        <v>996.974243647435</v>
      </c>
      <c r="W24" s="66" t="n">
        <f aca="false">W9*Annahmen!$B$105+W9*Annahmen!$B$110*Annahmen!$B$111</f>
        <v>1059.95257031745</v>
      </c>
      <c r="X24" s="66" t="n">
        <f aca="false">X9*Annahmen!$B$105+X9*Annahmen!$B$110*Annahmen!$B$111</f>
        <v>1122.88521615285</v>
      </c>
      <c r="Y24" s="66" t="n">
        <f aca="false">Y9*Annahmen!$B$105+Y9*Annahmen!$B$110*Annahmen!$B$111</f>
        <v>1185.91161928989</v>
      </c>
      <c r="Z24" s="66" t="n">
        <f aca="false">Z9*Annahmen!$B$105+Z9*Annahmen!$B$110*Annahmen!$B$111</f>
        <v>907.962065299788</v>
      </c>
      <c r="AA24" s="66" t="n">
        <f aca="false">AA9*Annahmen!$B$105+AA9*Annahmen!$B$110*Annahmen!$B$111</f>
        <v>1116.50807258865</v>
      </c>
      <c r="AB24" s="66" t="n">
        <f aca="false">AB9*Annahmen!$B$105+AB9*Annahmen!$B$110*Annahmen!$B$111</f>
        <v>1254.75783189358</v>
      </c>
      <c r="AC24" s="66" t="n">
        <f aca="false">AC9*Annahmen!$B$105+AC9*Annahmen!$B$110*Annahmen!$B$111</f>
        <v>1374.41058932543</v>
      </c>
      <c r="AD24" s="66" t="n">
        <f aca="false">AD9*Annahmen!$B$105+AD9*Annahmen!$B$110*Annahmen!$B$111</f>
        <v>1485.38867243011</v>
      </c>
      <c r="AE24" s="66" t="n">
        <f aca="false">AE9*Annahmen!$B$105+AE9*Annahmen!$B$110*Annahmen!$B$111</f>
        <v>1591.66348571559</v>
      </c>
      <c r="AF24" s="66" t="n">
        <f aca="false">AF9*Annahmen!$B$105+AF9*Annahmen!$B$110*Annahmen!$B$111</f>
        <v>1695.23434946829</v>
      </c>
      <c r="AG24" s="66" t="n">
        <f aca="false">AG9*Annahmen!$B$105+AG9*Annahmen!$B$110*Annahmen!$B$111</f>
        <v>1797.24352487767</v>
      </c>
      <c r="AH24" s="66" t="n">
        <f aca="false">AH9*Annahmen!$B$105+AH9*Annahmen!$B$110*Annahmen!$B$111</f>
        <v>1898.3987898359</v>
      </c>
      <c r="AI24" s="66" t="n">
        <f aca="false">AI9*Annahmen!$B$105+AI9*Annahmen!$B$110*Annahmen!$B$111</f>
        <v>1999.16411250793</v>
      </c>
      <c r="AJ24" s="66" t="n">
        <f aca="false">AJ9*Annahmen!$B$105+AJ9*Annahmen!$B$110*Annahmen!$B$111</f>
        <v>2099.85634584457</v>
      </c>
      <c r="AK24" s="66" t="n">
        <f aca="false">AK9*Annahmen!$B$105+AK9*Annahmen!$B$110*Annahmen!$B$111</f>
        <v>2200.69859086382</v>
      </c>
    </row>
    <row r="25" customFormat="false" ht="16.5" hidden="false" customHeight="true" outlineLevel="0" collapsed="false">
      <c r="A25" s="14" t="s">
        <v>325</v>
      </c>
      <c r="B25" s="66" t="n">
        <f aca="false">B9*Annahmen!$B$146*Annahmen!$B$147*Annahmen!$B$148</f>
        <v>0</v>
      </c>
      <c r="C25" s="66" t="n">
        <f aca="false">C9*Annahmen!$B$146*Annahmen!$B$147*Annahmen!$B$148</f>
        <v>11.2724521353325</v>
      </c>
      <c r="D25" s="66" t="n">
        <f aca="false">D9*Annahmen!$B$146*Annahmen!$B$147*Annahmen!$B$148</f>
        <v>15.3622924536406</v>
      </c>
      <c r="E25" s="66" t="n">
        <f aca="false">E9*Annahmen!$B$146*Annahmen!$B$147*Annahmen!$B$148</f>
        <v>17.9242482463967</v>
      </c>
      <c r="F25" s="66" t="n">
        <f aca="false">F9*Annahmen!$B$146*Annahmen!$B$147*Annahmen!$B$148</f>
        <v>20.1250252608882</v>
      </c>
      <c r="G25" s="66" t="n">
        <f aca="false">G9*Annahmen!$B$146*Annahmen!$B$147*Annahmen!$B$148</f>
        <v>22.1606089495907</v>
      </c>
      <c r="H25" s="66" t="n">
        <f aca="false">H9*Annahmen!$B$146*Annahmen!$B$147*Annahmen!$B$148</f>
        <v>24.1059091587251</v>
      </c>
      <c r="I25" s="66" t="n">
        <f aca="false">I9*Annahmen!$B$146*Annahmen!$B$147*Annahmen!$B$148</f>
        <v>25.9975035359407</v>
      </c>
      <c r="J25" s="66" t="n">
        <f aca="false">J9*Annahmen!$B$146*Annahmen!$B$147*Annahmen!$B$148</f>
        <v>27.8558271562001</v>
      </c>
      <c r="K25" s="66" t="n">
        <f aca="false">K9*Annahmen!$B$146*Annahmen!$B$147*Annahmen!$B$148</f>
        <v>29.6933281564291</v>
      </c>
      <c r="L25" s="66" t="n">
        <f aca="false">L9*Annahmen!$B$146*Annahmen!$B$147*Annahmen!$B$148</f>
        <v>31.5180605532414</v>
      </c>
      <c r="M25" s="66" t="n">
        <f aca="false">M9*Annahmen!$B$146*Annahmen!$B$147*Annahmen!$B$148</f>
        <v>33.3354705454939</v>
      </c>
      <c r="N25" s="66" t="n">
        <f aca="false">N9*Annahmen!$B$146*Annahmen!$B$147*Annahmen!$B$148</f>
        <v>31.0317901930154</v>
      </c>
      <c r="O25" s="66" t="n">
        <f aca="false">O9*Annahmen!$B$146*Annahmen!$B$147*Annahmen!$B$148</f>
        <v>41.7334931986281</v>
      </c>
      <c r="P25" s="66" t="n">
        <f aca="false">P9*Annahmen!$B$146*Annahmen!$B$147*Annahmen!$B$148</f>
        <v>48.8278887419077</v>
      </c>
      <c r="Q25" s="66" t="n">
        <f aca="false">Q9*Annahmen!$B$146*Annahmen!$B$147*Annahmen!$B$148</f>
        <v>54.9679644522259</v>
      </c>
      <c r="R25" s="66" t="n">
        <f aca="false">R9*Annahmen!$B$146*Annahmen!$B$147*Annahmen!$B$148</f>
        <v>60.6628924010186</v>
      </c>
      <c r="S25" s="66" t="n">
        <f aca="false">S9*Annahmen!$B$146*Annahmen!$B$147*Annahmen!$B$148</f>
        <v>66.1164683459315</v>
      </c>
      <c r="T25" s="66" t="n">
        <f aca="false">T9*Annahmen!$B$146*Annahmen!$B$147*Annahmen!$B$148</f>
        <v>71.4312889858727</v>
      </c>
      <c r="U25" s="66" t="n">
        <f aca="false">U9*Annahmen!$B$146*Annahmen!$B$147*Annahmen!$B$148</f>
        <v>76.6659703555646</v>
      </c>
      <c r="V25" s="66" t="n">
        <f aca="false">V9*Annahmen!$B$146*Annahmen!$B$147*Annahmen!$B$148</f>
        <v>81.8568326363158</v>
      </c>
      <c r="W25" s="66" t="n">
        <f aca="false">W9*Annahmen!$B$146*Annahmen!$B$147*Annahmen!$B$148</f>
        <v>87.0276847208015</v>
      </c>
      <c r="X25" s="66" t="n">
        <f aca="false">X9*Annahmen!$B$146*Annahmen!$B$147*Annahmen!$B$148</f>
        <v>92.1947861683395</v>
      </c>
      <c r="Y25" s="66" t="n">
        <f aca="false">Y9*Annahmen!$B$146*Annahmen!$B$147*Annahmen!$B$148</f>
        <v>97.3695855838014</v>
      </c>
      <c r="Z25" s="66" t="n">
        <f aca="false">Z9*Annahmen!$B$146*Annahmen!$B$147*Annahmen!$B$148</f>
        <v>74.5484643088247</v>
      </c>
      <c r="AA25" s="66" t="n">
        <f aca="false">AA9*Annahmen!$B$146*Annahmen!$B$147*Annahmen!$B$148</f>
        <v>91.6711891178048</v>
      </c>
      <c r="AB25" s="66" t="n">
        <f aca="false">AB9*Annahmen!$B$146*Annahmen!$B$147*Annahmen!$B$148</f>
        <v>103.022221987052</v>
      </c>
      <c r="AC25" s="66" t="n">
        <f aca="false">AC9*Annahmen!$B$146*Annahmen!$B$147*Annahmen!$B$148</f>
        <v>112.846343123561</v>
      </c>
      <c r="AD25" s="66" t="n">
        <f aca="false">AD9*Annahmen!$B$146*Annahmen!$B$147*Annahmen!$B$148</f>
        <v>121.95822784163</v>
      </c>
      <c r="AE25" s="66" t="n">
        <f aca="false">AE9*Annahmen!$B$146*Annahmen!$B$147*Annahmen!$B$148</f>
        <v>130.68394935349</v>
      </c>
      <c r="AF25" s="66" t="n">
        <f aca="false">AF9*Annahmen!$B$146*Annahmen!$B$147*Annahmen!$B$148</f>
        <v>139.187662377396</v>
      </c>
      <c r="AG25" s="66" t="n">
        <f aca="false">AG9*Annahmen!$B$146*Annahmen!$B$147*Annahmen!$B$148</f>
        <v>147.563152568903</v>
      </c>
      <c r="AH25" s="66" t="n">
        <f aca="false">AH9*Annahmen!$B$146*Annahmen!$B$147*Annahmen!$B$148</f>
        <v>155.868532218105</v>
      </c>
      <c r="AI25" s="66" t="n">
        <f aca="false">AI9*Annahmen!$B$146*Annahmen!$B$147*Annahmen!$B$148</f>
        <v>164.141895553282</v>
      </c>
      <c r="AJ25" s="66" t="n">
        <f aca="false">AJ9*Annahmen!$B$146*Annahmen!$B$147*Annahmen!$B$148</f>
        <v>172.409257869343</v>
      </c>
      <c r="AK25" s="66" t="n">
        <f aca="false">AK9*Annahmen!$B$146*Annahmen!$B$147*Annahmen!$B$148</f>
        <v>180.688936934082</v>
      </c>
    </row>
    <row r="26" customFormat="false" ht="16.5" hidden="false" customHeight="true" outlineLevel="0" collapsed="false">
      <c r="A26" s="14" t="s">
        <v>326</v>
      </c>
      <c r="B26" s="64" t="n">
        <f aca="false">INDEX(Annahmen!$B$96:$F$96,B$12)+(B$7-INDEX(Annahmen!$B$80:$F$80,B$12))*(INDEX(Annahmen!$B$96:$F$96,B$12+1)-INDEX(Annahmen!$B$96:$F$96,B$12))/(INDEX(Annahmen!$B$80:$F$80,B$12+1)-INDEX(Annahmen!$B$80:$F$80,B$12))</f>
        <v>0</v>
      </c>
      <c r="C26" s="64" t="n">
        <f aca="false">INDEX(Annahmen!$B$96:$F$96,C$12)+(C$7-INDEX(Annahmen!$B$80:$F$80,C$12))*(INDEX(Annahmen!$B$96:$F$96,C$12+1)-INDEX(Annahmen!$B$96:$F$96,C$12))/(INDEX(Annahmen!$B$80:$F$80,C$12+1)-INDEX(Annahmen!$B$80:$F$80,C$12))</f>
        <v>0</v>
      </c>
      <c r="D26" s="64" t="n">
        <f aca="false">INDEX(Annahmen!$B$96:$F$96,D$12)+(D$7-INDEX(Annahmen!$B$80:$F$80,D$12))*(INDEX(Annahmen!$B$96:$F$96,D$12+1)-INDEX(Annahmen!$B$96:$F$96,D$12))/(INDEX(Annahmen!$B$80:$F$80,D$12+1)-INDEX(Annahmen!$B$80:$F$80,D$12))</f>
        <v>0</v>
      </c>
      <c r="E26" s="64" t="n">
        <f aca="false">INDEX(Annahmen!$B$96:$F$96,E$12)+(E$7-INDEX(Annahmen!$B$80:$F$80,E$12))*(INDEX(Annahmen!$B$96:$F$96,E$12+1)-INDEX(Annahmen!$B$96:$F$96,E$12))/(INDEX(Annahmen!$B$80:$F$80,E$12+1)-INDEX(Annahmen!$B$80:$F$80,E$12))</f>
        <v>0</v>
      </c>
      <c r="F26" s="64" t="n">
        <f aca="false">INDEX(Annahmen!$B$96:$F$96,F$12)+(F$7-INDEX(Annahmen!$B$80:$F$80,F$12))*(INDEX(Annahmen!$B$96:$F$96,F$12+1)-INDEX(Annahmen!$B$96:$F$96,F$12))/(INDEX(Annahmen!$B$80:$F$80,F$12+1)-INDEX(Annahmen!$B$80:$F$80,F$12))</f>
        <v>0</v>
      </c>
      <c r="G26" s="64" t="n">
        <f aca="false">INDEX(Annahmen!$B$96:$F$96,G$12)+(G$7-INDEX(Annahmen!$B$80:$F$80,G$12))*(INDEX(Annahmen!$B$96:$F$96,G$12+1)-INDEX(Annahmen!$B$96:$F$96,G$12))/(INDEX(Annahmen!$B$80:$F$80,G$12+1)-INDEX(Annahmen!$B$80:$F$80,G$12))</f>
        <v>0</v>
      </c>
      <c r="H26" s="64" t="n">
        <f aca="false">INDEX(Annahmen!$B$96:$F$96,H$12)+(H$7-INDEX(Annahmen!$B$80:$F$80,H$12))*(INDEX(Annahmen!$B$96:$F$96,H$12+1)-INDEX(Annahmen!$B$96:$F$96,H$12))/(INDEX(Annahmen!$B$80:$F$80,H$12+1)-INDEX(Annahmen!$B$80:$F$80,H$12))</f>
        <v>0</v>
      </c>
      <c r="I26" s="64" t="n">
        <f aca="false">INDEX(Annahmen!$B$96:$F$96,I$12)+(I$7-INDEX(Annahmen!$B$80:$F$80,I$12))*(INDEX(Annahmen!$B$96:$F$96,I$12+1)-INDEX(Annahmen!$B$96:$F$96,I$12))/(INDEX(Annahmen!$B$80:$F$80,I$12+1)-INDEX(Annahmen!$B$80:$F$80,I$12))</f>
        <v>0</v>
      </c>
      <c r="J26" s="64" t="n">
        <f aca="false">INDEX(Annahmen!$B$96:$F$96,J$12)+(J$7-INDEX(Annahmen!$B$80:$F$80,J$12))*(INDEX(Annahmen!$B$96:$F$96,J$12+1)-INDEX(Annahmen!$B$96:$F$96,J$12))/(INDEX(Annahmen!$B$80:$F$80,J$12+1)-INDEX(Annahmen!$B$80:$F$80,J$12))</f>
        <v>0</v>
      </c>
      <c r="K26" s="64" t="n">
        <f aca="false">INDEX(Annahmen!$B$96:$F$96,K$12)+(K$7-INDEX(Annahmen!$B$80:$F$80,K$12))*(INDEX(Annahmen!$B$96:$F$96,K$12+1)-INDEX(Annahmen!$B$96:$F$96,K$12))/(INDEX(Annahmen!$B$80:$F$80,K$12+1)-INDEX(Annahmen!$B$80:$F$80,K$12))</f>
        <v>0</v>
      </c>
      <c r="L26" s="64" t="n">
        <f aca="false">INDEX(Annahmen!$B$96:$F$96,L$12)+(L$7-INDEX(Annahmen!$B$80:$F$80,L$12))*(INDEX(Annahmen!$B$96:$F$96,L$12+1)-INDEX(Annahmen!$B$96:$F$96,L$12))/(INDEX(Annahmen!$B$80:$F$80,L$12+1)-INDEX(Annahmen!$B$80:$F$80,L$12))</f>
        <v>0</v>
      </c>
      <c r="M26" s="64" t="n">
        <f aca="false">INDEX(Annahmen!$B$96:$F$96,M$12)+(M$7-INDEX(Annahmen!$B$80:$F$80,M$12))*(INDEX(Annahmen!$B$96:$F$96,M$12+1)-INDEX(Annahmen!$B$96:$F$96,M$12))/(INDEX(Annahmen!$B$80:$F$80,M$12+1)-INDEX(Annahmen!$B$80:$F$80,M$12))</f>
        <v>0</v>
      </c>
      <c r="N26" s="64" t="n">
        <f aca="false">INDEX(Annahmen!$B$96:$F$96,N$12)+(N$7-INDEX(Annahmen!$B$80:$F$80,N$12))*(INDEX(Annahmen!$B$96:$F$96,N$12+1)-INDEX(Annahmen!$B$96:$F$96,N$12))/(INDEX(Annahmen!$B$80:$F$80,N$12+1)-INDEX(Annahmen!$B$80:$F$80,N$12))</f>
        <v>0</v>
      </c>
      <c r="O26" s="64" t="n">
        <f aca="false">INDEX(Annahmen!$B$96:$F$96,O$12)+(O$7-INDEX(Annahmen!$B$80:$F$80,O$12))*(INDEX(Annahmen!$B$96:$F$96,O$12+1)-INDEX(Annahmen!$B$96:$F$96,O$12))/(INDEX(Annahmen!$B$80:$F$80,O$12+1)-INDEX(Annahmen!$B$80:$F$80,O$12))</f>
        <v>0</v>
      </c>
      <c r="P26" s="64" t="n">
        <f aca="false">INDEX(Annahmen!$B$96:$F$96,P$12)+(P$7-INDEX(Annahmen!$B$80:$F$80,P$12))*(INDEX(Annahmen!$B$96:$F$96,P$12+1)-INDEX(Annahmen!$B$96:$F$96,P$12))/(INDEX(Annahmen!$B$80:$F$80,P$12+1)-INDEX(Annahmen!$B$80:$F$80,P$12))</f>
        <v>0</v>
      </c>
      <c r="Q26" s="64" t="n">
        <f aca="false">INDEX(Annahmen!$B$96:$F$96,Q$12)+(Q$7-INDEX(Annahmen!$B$80:$F$80,Q$12))*(INDEX(Annahmen!$B$96:$F$96,Q$12+1)-INDEX(Annahmen!$B$96:$F$96,Q$12))/(INDEX(Annahmen!$B$80:$F$80,Q$12+1)-INDEX(Annahmen!$B$80:$F$80,Q$12))</f>
        <v>0</v>
      </c>
      <c r="R26" s="64" t="n">
        <f aca="false">INDEX(Annahmen!$B$96:$F$96,R$12)+(R$7-INDEX(Annahmen!$B$80:$F$80,R$12))*(INDEX(Annahmen!$B$96:$F$96,R$12+1)-INDEX(Annahmen!$B$96:$F$96,R$12))/(INDEX(Annahmen!$B$80:$F$80,R$12+1)-INDEX(Annahmen!$B$80:$F$80,R$12))</f>
        <v>0</v>
      </c>
      <c r="S26" s="64" t="n">
        <f aca="false">INDEX(Annahmen!$B$96:$F$96,S$12)+(S$7-INDEX(Annahmen!$B$80:$F$80,S$12))*(INDEX(Annahmen!$B$96:$F$96,S$12+1)-INDEX(Annahmen!$B$96:$F$96,S$12))/(INDEX(Annahmen!$B$80:$F$80,S$12+1)-INDEX(Annahmen!$B$80:$F$80,S$12))</f>
        <v>0</v>
      </c>
      <c r="T26" s="64" t="n">
        <f aca="false">INDEX(Annahmen!$B$96:$F$96,T$12)+(T$7-INDEX(Annahmen!$B$80:$F$80,T$12))*(INDEX(Annahmen!$B$96:$F$96,T$12+1)-INDEX(Annahmen!$B$96:$F$96,T$12))/(INDEX(Annahmen!$B$80:$F$80,T$12+1)-INDEX(Annahmen!$B$80:$F$80,T$12))</f>
        <v>0</v>
      </c>
      <c r="U26" s="64" t="n">
        <f aca="false">INDEX(Annahmen!$B$96:$F$96,U$12)+(U$7-INDEX(Annahmen!$B$80:$F$80,U$12))*(INDEX(Annahmen!$B$96:$F$96,U$12+1)-INDEX(Annahmen!$B$96:$F$96,U$12))/(INDEX(Annahmen!$B$80:$F$80,U$12+1)-INDEX(Annahmen!$B$80:$F$80,U$12))</f>
        <v>0</v>
      </c>
      <c r="V26" s="64" t="n">
        <f aca="false">INDEX(Annahmen!$B$96:$F$96,V$12)+(V$7-INDEX(Annahmen!$B$80:$F$80,V$12))*(INDEX(Annahmen!$B$96:$F$96,V$12+1)-INDEX(Annahmen!$B$96:$F$96,V$12))/(INDEX(Annahmen!$B$80:$F$80,V$12+1)-INDEX(Annahmen!$B$80:$F$80,V$12))</f>
        <v>0</v>
      </c>
      <c r="W26" s="64" t="n">
        <f aca="false">INDEX(Annahmen!$B$96:$F$96,W$12)+(W$7-INDEX(Annahmen!$B$80:$F$80,W$12))*(INDEX(Annahmen!$B$96:$F$96,W$12+1)-INDEX(Annahmen!$B$96:$F$96,W$12))/(INDEX(Annahmen!$B$80:$F$80,W$12+1)-INDEX(Annahmen!$B$80:$F$80,W$12))</f>
        <v>0</v>
      </c>
      <c r="X26" s="64" t="n">
        <f aca="false">INDEX(Annahmen!$B$96:$F$96,X$12)+(X$7-INDEX(Annahmen!$B$80:$F$80,X$12))*(INDEX(Annahmen!$B$96:$F$96,X$12+1)-INDEX(Annahmen!$B$96:$F$96,X$12))/(INDEX(Annahmen!$B$80:$F$80,X$12+1)-INDEX(Annahmen!$B$80:$F$80,X$12))</f>
        <v>191.133826141927</v>
      </c>
      <c r="Y26" s="64" t="n">
        <f aca="false">INDEX(Annahmen!$B$96:$F$96,Y$12)+(Y$7-INDEX(Annahmen!$B$80:$F$80,Y$12))*(INDEX(Annahmen!$B$96:$F$96,Y$12+1)-INDEX(Annahmen!$B$96:$F$96,Y$12))/(INDEX(Annahmen!$B$80:$F$80,Y$12+1)-INDEX(Annahmen!$B$80:$F$80,Y$12))</f>
        <v>425</v>
      </c>
      <c r="Z26" s="64" t="n">
        <f aca="false">INDEX(Annahmen!$B$96:$F$96,Z$12)+(Z$7-INDEX(Annahmen!$B$80:$F$80,Z$12))*(INDEX(Annahmen!$B$96:$F$96,Z$12+1)-INDEX(Annahmen!$B$96:$F$96,Z$12))/(INDEX(Annahmen!$B$80:$F$80,Z$12+1)-INDEX(Annahmen!$B$80:$F$80,Z$12))</f>
        <v>546.723952904091</v>
      </c>
      <c r="AA26" s="64" t="n">
        <f aca="false">INDEX(Annahmen!$B$96:$F$96,AA$12)+(AA$7-INDEX(Annahmen!$B$80:$F$80,AA$12))*(INDEX(Annahmen!$B$96:$F$96,AA$12+1)-INDEX(Annahmen!$B$96:$F$96,AA$12))/(INDEX(Annahmen!$B$80:$F$80,AA$12+1)-INDEX(Annahmen!$B$80:$F$80,AA$12))</f>
        <v>733.145792064961</v>
      </c>
      <c r="AB26" s="64" t="n">
        <f aca="false">INDEX(Annahmen!$B$96:$F$96,AB$12)+(AB$7-INDEX(Annahmen!$B$80:$F$80,AB$12))*(INDEX(Annahmen!$B$96:$F$96,AB$12+1)-INDEX(Annahmen!$B$96:$F$96,AB$12))/(INDEX(Annahmen!$B$80:$F$80,AB$12+1)-INDEX(Annahmen!$B$80:$F$80,AB$12))</f>
        <v>955.540483283185</v>
      </c>
      <c r="AC26" s="64" t="n">
        <f aca="false">INDEX(Annahmen!$B$96:$F$96,AC$12)+(AC$7-INDEX(Annahmen!$B$80:$F$80,AC$12))*(INDEX(Annahmen!$B$96:$F$96,AC$12+1)-INDEX(Annahmen!$B$96:$F$96,AC$12))/(INDEX(Annahmen!$B$80:$F$80,AC$12+1)-INDEX(Annahmen!$B$80:$F$80,AC$12))</f>
        <v>1205.07513642084</v>
      </c>
      <c r="AD26" s="64" t="n">
        <f aca="false">INDEX(Annahmen!$B$96:$F$96,AD$12)+(AD$7-INDEX(Annahmen!$B$80:$F$80,AD$12))*(INDEX(Annahmen!$B$96:$F$96,AD$12+1)-INDEX(Annahmen!$B$96:$F$96,AD$12))/(INDEX(Annahmen!$B$80:$F$80,AD$12+1)-INDEX(Annahmen!$B$80:$F$80,AD$12))</f>
        <v>1476.95182923639</v>
      </c>
      <c r="AE26" s="64" t="n">
        <f aca="false">INDEX(Annahmen!$B$96:$F$96,AE$12)+(AE$7-INDEX(Annahmen!$B$80:$F$80,AE$12))*(INDEX(Annahmen!$B$96:$F$96,AE$12+1)-INDEX(Annahmen!$B$96:$F$96,AE$12))/(INDEX(Annahmen!$B$80:$F$80,AE$12+1)-INDEX(Annahmen!$B$80:$F$80,AE$12))</f>
        <v>1718.15206137806</v>
      </c>
      <c r="AF26" s="64" t="n">
        <f aca="false">INDEX(Annahmen!$B$96:$F$96,AF$12)+(AF$7-INDEX(Annahmen!$B$80:$F$80,AF$12))*(INDEX(Annahmen!$B$96:$F$96,AF$12+1)-INDEX(Annahmen!$B$96:$F$96,AF$12))/(INDEX(Annahmen!$B$80:$F$80,AF$12+1)-INDEX(Annahmen!$B$80:$F$80,AF$12))</f>
        <v>1800.32784848123</v>
      </c>
      <c r="AG26" s="64" t="n">
        <f aca="false">INDEX(Annahmen!$B$96:$F$96,AG$12)+(AG$7-INDEX(Annahmen!$B$80:$F$80,AG$12))*(INDEX(Annahmen!$B$96:$F$96,AG$12+1)-INDEX(Annahmen!$B$96:$F$96,AG$12))/(INDEX(Annahmen!$B$80:$F$80,AG$12+1)-INDEX(Annahmen!$B$80:$F$80,AG$12))</f>
        <v>1886.60546544904</v>
      </c>
      <c r="AH26" s="64" t="n">
        <f aca="false">INDEX(Annahmen!$B$96:$F$96,AH$12)+(AH$7-INDEX(Annahmen!$B$80:$F$80,AH$12))*(INDEX(Annahmen!$B$96:$F$96,AH$12+1)-INDEX(Annahmen!$B$96:$F$96,AH$12))/(INDEX(Annahmen!$B$80:$F$80,AH$12+1)-INDEX(Annahmen!$B$80:$F$80,AH$12))</f>
        <v>1976.63723025084</v>
      </c>
      <c r="AI26" s="64" t="n">
        <f aca="false">INDEX(Annahmen!$B$96:$F$96,AI$12)+(AI$7-INDEX(Annahmen!$B$80:$F$80,AI$12))*(INDEX(Annahmen!$B$96:$F$96,AI$12+1)-INDEX(Annahmen!$B$96:$F$96,AI$12))/(INDEX(Annahmen!$B$80:$F$80,AI$12+1)-INDEX(Annahmen!$B$80:$F$80,AI$12))</f>
        <v>2070.14131434403</v>
      </c>
      <c r="AJ26" s="64" t="n">
        <f aca="false">INDEX(Annahmen!$B$96:$F$96,AJ$12)+(AJ$7-INDEX(Annahmen!$B$80:$F$80,AJ$12))*(INDEX(Annahmen!$B$96:$F$96,AJ$12+1)-INDEX(Annahmen!$B$96:$F$96,AJ$12))/(INDEX(Annahmen!$B$80:$F$80,AJ$12+1)-INDEX(Annahmen!$B$80:$F$80,AJ$12))</f>
        <v>2166.88376582056</v>
      </c>
      <c r="AK26" s="64" t="n">
        <f aca="false">INDEX(Annahmen!$B$96:$F$96,AK$12)+(AK$7-INDEX(Annahmen!$B$80:$F$80,AK$12))*(INDEX(Annahmen!$B$96:$F$96,AK$12+1)-INDEX(Annahmen!$B$96:$F$96,AK$12))/(INDEX(Annahmen!$B$80:$F$80,AK$12+1)-INDEX(Annahmen!$B$80:$F$80,AK$12))</f>
        <v>2266.66666666667</v>
      </c>
    </row>
    <row r="27" customFormat="false" ht="16.5" hidden="false" customHeight="true" outlineLevel="0" collapsed="false">
      <c r="A27" s="14" t="s">
        <v>327</v>
      </c>
      <c r="B27" s="64" t="n">
        <f aca="false">INDEX(Annahmen!$B$97:$F$97,B$12)+(B$7-INDEX(Annahmen!$B$80:$F$80,B$12))*(INDEX(Annahmen!$B$97:$F$97,B$12+1)-INDEX(Annahmen!$B$97:$F$97,B$12))/(INDEX(Annahmen!$B$80:$F$80,B$12+1)-INDEX(Annahmen!$B$80:$F$80,B$12))</f>
        <v>150</v>
      </c>
      <c r="C27" s="64" t="n">
        <f aca="false">INDEX(Annahmen!$B$97:$F$97,C$12)+(C$7-INDEX(Annahmen!$B$80:$F$80,C$12))*(INDEX(Annahmen!$B$97:$F$97,C$12+1)-INDEX(Annahmen!$B$97:$F$97,C$12))/(INDEX(Annahmen!$B$80:$F$80,C$12+1)-INDEX(Annahmen!$B$80:$F$80,C$12))</f>
        <v>154.502137604973</v>
      </c>
      <c r="D27" s="64" t="n">
        <f aca="false">INDEX(Annahmen!$B$97:$F$97,D$12)+(D$7-INDEX(Annahmen!$B$80:$F$80,D$12))*(INDEX(Annahmen!$B$97:$F$97,D$12+1)-INDEX(Annahmen!$B$97:$F$97,D$12))/(INDEX(Annahmen!$B$80:$F$80,D$12+1)-INDEX(Annahmen!$B$80:$F$80,D$12))</f>
        <v>160.343196121607</v>
      </c>
      <c r="E27" s="64" t="n">
        <f aca="false">INDEX(Annahmen!$B$97:$F$97,E$12)+(E$7-INDEX(Annahmen!$B$80:$F$80,E$12))*(INDEX(Annahmen!$B$97:$F$97,E$12+1)-INDEX(Annahmen!$B$97:$F$97,E$12))/(INDEX(Annahmen!$B$80:$F$80,E$12+1)-INDEX(Annahmen!$B$80:$F$80,E$12))</f>
        <v>166.825356326766</v>
      </c>
      <c r="F27" s="64" t="n">
        <f aca="false">INDEX(Annahmen!$B$97:$F$97,F$12)+(F$7-INDEX(Annahmen!$B$80:$F$80,F$12))*(INDEX(Annahmen!$B$97:$F$97,F$12+1)-INDEX(Annahmen!$B$97:$F$97,F$12))/(INDEX(Annahmen!$B$80:$F$80,F$12+1)-INDEX(Annahmen!$B$80:$F$80,F$12))</f>
        <v>173.762424740602</v>
      </c>
      <c r="G27" s="64" t="n">
        <f aca="false">INDEX(Annahmen!$B$97:$F$97,G$12)+(G$7-INDEX(Annahmen!$B$80:$F$80,G$12))*(INDEX(Annahmen!$B$97:$F$97,G$12+1)-INDEX(Annahmen!$B$97:$F$97,G$12))/(INDEX(Annahmen!$B$80:$F$80,G$12+1)-INDEX(Annahmen!$B$80:$F$80,G$12))</f>
        <v>181.058663967809</v>
      </c>
      <c r="H27" s="64" t="n">
        <f aca="false">INDEX(Annahmen!$B$97:$F$97,H$12)+(H$7-INDEX(Annahmen!$B$80:$F$80,H$12))*(INDEX(Annahmen!$B$97:$F$97,H$12+1)-INDEX(Annahmen!$B$97:$F$97,H$12))/(INDEX(Annahmen!$B$80:$F$80,H$12+1)-INDEX(Annahmen!$B$80:$F$80,H$12))</f>
        <v>188.654518269589</v>
      </c>
      <c r="I27" s="64" t="n">
        <f aca="false">INDEX(Annahmen!$B$97:$F$97,I$12)+(I$7-INDEX(Annahmen!$B$80:$F$80,I$12))*(INDEX(Annahmen!$B$97:$F$97,I$12+1)-INDEX(Annahmen!$B$97:$F$97,I$12))/(INDEX(Annahmen!$B$80:$F$80,I$12+1)-INDEX(Annahmen!$B$80:$F$80,I$12))</f>
        <v>196.508936930577</v>
      </c>
      <c r="J27" s="64" t="n">
        <f aca="false">INDEX(Annahmen!$B$97:$F$97,J$12)+(J$7-INDEX(Annahmen!$B$80:$F$80,J$12))*(INDEX(Annahmen!$B$97:$F$97,J$12+1)-INDEX(Annahmen!$B$97:$F$97,J$12))/(INDEX(Annahmen!$B$80:$F$80,J$12+1)-INDEX(Annahmen!$B$80:$F$80,J$12))</f>
        <v>204.591716420541</v>
      </c>
      <c r="K27" s="64" t="n">
        <f aca="false">INDEX(Annahmen!$B$97:$F$97,K$12)+(K$7-INDEX(Annahmen!$B$80:$F$80,K$12))*(INDEX(Annahmen!$B$97:$F$97,K$12+1)-INDEX(Annahmen!$B$97:$F$97,K$12))/(INDEX(Annahmen!$B$80:$F$80,K$12+1)-INDEX(Annahmen!$B$80:$F$80,K$12))</f>
        <v>212.879600838923</v>
      </c>
      <c r="L27" s="64" t="n">
        <f aca="false">INDEX(Annahmen!$B$97:$F$97,L$12)+(L$7-INDEX(Annahmen!$B$80:$F$80,L$12))*(INDEX(Annahmen!$B$97:$F$97,L$12+1)-INDEX(Annahmen!$B$97:$F$97,L$12))/(INDEX(Annahmen!$B$80:$F$80,L$12+1)-INDEX(Annahmen!$B$80:$F$80,L$12))</f>
        <v>221.354072416456</v>
      </c>
      <c r="M27" s="64" t="n">
        <f aca="false">INDEX(Annahmen!$B$97:$F$97,M$12)+(M$7-INDEX(Annahmen!$B$80:$F$80,M$12))*(INDEX(Annahmen!$B$97:$F$97,M$12+1)-INDEX(Annahmen!$B$97:$F$97,M$12))/(INDEX(Annahmen!$B$80:$F$80,M$12+1)-INDEX(Annahmen!$B$80:$F$80,M$12))</f>
        <v>230</v>
      </c>
      <c r="N27" s="64" t="n">
        <f aca="false">INDEX(Annahmen!$B$97:$F$97,N$12)+(N$7-INDEX(Annahmen!$B$80:$F$80,N$12))*(INDEX(Annahmen!$B$97:$F$97,N$12+1)-INDEX(Annahmen!$B$97:$F$97,N$12))/(INDEX(Annahmen!$B$80:$F$80,N$12+1)-INDEX(Annahmen!$B$80:$F$80,N$12))</f>
        <v>237.16023252377</v>
      </c>
      <c r="O27" s="64" t="n">
        <f aca="false">INDEX(Annahmen!$B$97:$F$97,O$12)+(O$7-INDEX(Annahmen!$B$80:$F$80,O$12))*(INDEX(Annahmen!$B$97:$F$97,O$12+1)-INDEX(Annahmen!$B$97:$F$97,O$12))/(INDEX(Annahmen!$B$80:$F$80,O$12+1)-INDEX(Annahmen!$B$80:$F$80,O$12))</f>
        <v>248.126223062645</v>
      </c>
      <c r="P27" s="64" t="n">
        <f aca="false">INDEX(Annahmen!$B$97:$F$97,P$12)+(P$7-INDEX(Annahmen!$B$80:$F$80,P$12))*(INDEX(Annahmen!$B$97:$F$97,P$12+1)-INDEX(Annahmen!$B$97:$F$97,P$12))/(INDEX(Annahmen!$B$80:$F$80,P$12+1)-INDEX(Annahmen!$B$80:$F$80,P$12))</f>
        <v>262.008853988436</v>
      </c>
      <c r="Q27" s="64" t="n">
        <f aca="false">INDEX(Annahmen!$B$97:$F$97,Q$12)+(Q$7-INDEX(Annahmen!$B$80:$F$80,Q$12))*(INDEX(Annahmen!$B$97:$F$97,Q$12+1)-INDEX(Annahmen!$B$97:$F$97,Q$12))/(INDEX(Annahmen!$B$80:$F$80,Q$12+1)-INDEX(Annahmen!$B$80:$F$80,Q$12))</f>
        <v>277.735827925683</v>
      </c>
      <c r="R27" s="64" t="n">
        <f aca="false">INDEX(Annahmen!$B$97:$F$97,R$12)+(R$7-INDEX(Annahmen!$B$80:$F$80,R$12))*(INDEX(Annahmen!$B$97:$F$97,R$12+1)-INDEX(Annahmen!$B$97:$F$97,R$12))/(INDEX(Annahmen!$B$80:$F$80,R$12+1)-INDEX(Annahmen!$B$80:$F$80,R$12))</f>
        <v>294.870913607336</v>
      </c>
      <c r="S27" s="64" t="n">
        <f aca="false">INDEX(Annahmen!$B$97:$F$97,S$12)+(S$7-INDEX(Annahmen!$B$80:$F$80,S$12))*(INDEX(Annahmen!$B$97:$F$97,S$12+1)-INDEX(Annahmen!$B$97:$F$97,S$12))/(INDEX(Annahmen!$B$80:$F$80,S$12+1)-INDEX(Annahmen!$B$80:$F$80,S$12))</f>
        <v>313.218711985362</v>
      </c>
      <c r="T27" s="64" t="n">
        <f aca="false">INDEX(Annahmen!$B$97:$F$97,T$12)+(T$7-INDEX(Annahmen!$B$80:$F$80,T$12))*(INDEX(Annahmen!$B$97:$F$97,T$12+1)-INDEX(Annahmen!$B$97:$F$97,T$12))/(INDEX(Annahmen!$B$80:$F$80,T$12+1)-INDEX(Annahmen!$B$80:$F$80,T$12))</f>
        <v>332.640510407853</v>
      </c>
      <c r="U27" s="64" t="n">
        <f aca="false">INDEX(Annahmen!$B$97:$F$97,U$12)+(U$7-INDEX(Annahmen!$B$80:$F$80,U$12))*(INDEX(Annahmen!$B$97:$F$97,U$12+1)-INDEX(Annahmen!$B$97:$F$97,U$12))/(INDEX(Annahmen!$B$80:$F$80,U$12+1)-INDEX(Annahmen!$B$80:$F$80,U$12))</f>
        <v>353.0317539139</v>
      </c>
      <c r="V27" s="64" t="n">
        <f aca="false">INDEX(Annahmen!$B$97:$F$97,V$12)+(V$7-INDEX(Annahmen!$B$80:$F$80,V$12))*(INDEX(Annahmen!$B$97:$F$97,V$12+1)-INDEX(Annahmen!$B$97:$F$97,V$12))/(INDEX(Annahmen!$B$80:$F$80,V$12+1)-INDEX(Annahmen!$B$80:$F$80,V$12))</f>
        <v>374.310269754662</v>
      </c>
      <c r="W27" s="64" t="n">
        <f aca="false">INDEX(Annahmen!$B$97:$F$97,W$12)+(W$7-INDEX(Annahmen!$B$80:$F$80,W$12))*(INDEX(Annahmen!$B$97:$F$97,W$12+1)-INDEX(Annahmen!$B$97:$F$97,W$12))/(INDEX(Annahmen!$B$80:$F$80,W$12+1)-INDEX(Annahmen!$B$80:$F$80,W$12))</f>
        <v>396.409449293495</v>
      </c>
      <c r="X27" s="64" t="n">
        <f aca="false">INDEX(Annahmen!$B$97:$F$97,X$12)+(X$7-INDEX(Annahmen!$B$80:$F$80,X$12))*(INDEX(Annahmen!$B$97:$F$97,X$12+1)-INDEX(Annahmen!$B$97:$F$97,X$12))/(INDEX(Annahmen!$B$80:$F$80,X$12+1)-INDEX(Annahmen!$B$80:$F$80,X$12))</f>
        <v>422.486332487286</v>
      </c>
      <c r="Y27" s="64" t="n">
        <f aca="false">INDEX(Annahmen!$B$97:$F$97,Y$12)+(Y$7-INDEX(Annahmen!$B$80:$F$80,Y$12))*(INDEX(Annahmen!$B$97:$F$97,Y$12+1)-INDEX(Annahmen!$B$97:$F$97,Y$12))/(INDEX(Annahmen!$B$80:$F$80,Y$12+1)-INDEX(Annahmen!$B$80:$F$80,Y$12))</f>
        <v>450</v>
      </c>
      <c r="Z27" s="64" t="n">
        <f aca="false">INDEX(Annahmen!$B$97:$F$97,Z$12)+(Z$7-INDEX(Annahmen!$B$80:$F$80,Z$12))*(INDEX(Annahmen!$B$97:$F$97,Z$12+1)-INDEX(Annahmen!$B$97:$F$97,Z$12))/(INDEX(Annahmen!$B$80:$F$80,Z$12+1)-INDEX(Annahmen!$B$80:$F$80,Z$12))</f>
        <v>464.32046504754</v>
      </c>
      <c r="AA27" s="64" t="n">
        <f aca="false">INDEX(Annahmen!$B$97:$F$97,AA$12)+(AA$7-INDEX(Annahmen!$B$80:$F$80,AA$12))*(INDEX(Annahmen!$B$97:$F$97,AA$12+1)-INDEX(Annahmen!$B$97:$F$97,AA$12))/(INDEX(Annahmen!$B$80:$F$80,AA$12+1)-INDEX(Annahmen!$B$80:$F$80,AA$12))</f>
        <v>486.25244612529</v>
      </c>
      <c r="AB27" s="64" t="n">
        <f aca="false">INDEX(Annahmen!$B$97:$F$97,AB$12)+(AB$7-INDEX(Annahmen!$B$80:$F$80,AB$12))*(INDEX(Annahmen!$B$97:$F$97,AB$12+1)-INDEX(Annahmen!$B$97:$F$97,AB$12))/(INDEX(Annahmen!$B$80:$F$80,AB$12+1)-INDEX(Annahmen!$B$80:$F$80,AB$12))</f>
        <v>512.416527445081</v>
      </c>
      <c r="AC27" s="64" t="n">
        <f aca="false">INDEX(Annahmen!$B$97:$F$97,AC$12)+(AC$7-INDEX(Annahmen!$B$80:$F$80,AC$12))*(INDEX(Annahmen!$B$97:$F$97,AC$12+1)-INDEX(Annahmen!$B$97:$F$97,AC$12))/(INDEX(Annahmen!$B$80:$F$80,AC$12+1)-INDEX(Annahmen!$B$80:$F$80,AC$12))</f>
        <v>541.773545461275</v>
      </c>
      <c r="AD27" s="64" t="n">
        <f aca="false">INDEX(Annahmen!$B$97:$F$97,AD$12)+(AD$7-INDEX(Annahmen!$B$80:$F$80,AD$12))*(INDEX(Annahmen!$B$97:$F$97,AD$12+1)-INDEX(Annahmen!$B$97:$F$97,AD$12))/(INDEX(Annahmen!$B$80:$F$80,AD$12+1)-INDEX(Annahmen!$B$80:$F$80,AD$12))</f>
        <v>573.759038733693</v>
      </c>
      <c r="AE27" s="64" t="n">
        <f aca="false">INDEX(Annahmen!$B$97:$F$97,AE$12)+(AE$7-INDEX(Annahmen!$B$80:$F$80,AE$12))*(INDEX(Annahmen!$B$97:$F$97,AE$12+1)-INDEX(Annahmen!$B$97:$F$97,AE$12))/(INDEX(Annahmen!$B$80:$F$80,AE$12+1)-INDEX(Annahmen!$B$80:$F$80,AE$12))</f>
        <v>606.40660989814</v>
      </c>
      <c r="AF27" s="64" t="n">
        <f aca="false">INDEX(Annahmen!$B$97:$F$97,AF$12)+(AF$7-INDEX(Annahmen!$B$80:$F$80,AF$12))*(INDEX(Annahmen!$B$97:$F$97,AF$12+1)-INDEX(Annahmen!$B$97:$F$97,AF$12))/(INDEX(Annahmen!$B$80:$F$80,AF$12+1)-INDEX(Annahmen!$B$80:$F$80,AF$12))</f>
        <v>635.409828875727</v>
      </c>
      <c r="AG27" s="64" t="n">
        <f aca="false">INDEX(Annahmen!$B$97:$F$97,AG$12)+(AG$7-INDEX(Annahmen!$B$80:$F$80,AG$12))*(INDEX(Annahmen!$B$97:$F$97,AG$12+1)-INDEX(Annahmen!$B$97:$F$97,AG$12))/(INDEX(Annahmen!$B$80:$F$80,AG$12+1)-INDEX(Annahmen!$B$80:$F$80,AG$12))</f>
        <v>665.860752511424</v>
      </c>
      <c r="AH27" s="64" t="n">
        <f aca="false">INDEX(Annahmen!$B$97:$F$97,AH$12)+(AH$7-INDEX(Annahmen!$B$80:$F$80,AH$12))*(INDEX(Annahmen!$B$97:$F$97,AH$12+1)-INDEX(Annahmen!$B$97:$F$97,AH$12))/(INDEX(Annahmen!$B$80:$F$80,AH$12+1)-INDEX(Annahmen!$B$80:$F$80,AH$12))</f>
        <v>697.636669500295</v>
      </c>
      <c r="AI27" s="64" t="n">
        <f aca="false">INDEX(Annahmen!$B$97:$F$97,AI$12)+(AI$7-INDEX(Annahmen!$B$80:$F$80,AI$12))*(INDEX(Annahmen!$B$97:$F$97,AI$12+1)-INDEX(Annahmen!$B$97:$F$97,AI$12))/(INDEX(Annahmen!$B$80:$F$80,AI$12+1)-INDEX(Annahmen!$B$80:$F$80,AI$12))</f>
        <v>730.638110944953</v>
      </c>
      <c r="AJ27" s="64" t="n">
        <f aca="false">INDEX(Annahmen!$B$97:$F$97,AJ$12)+(AJ$7-INDEX(Annahmen!$B$80:$F$80,AJ$12))*(INDEX(Annahmen!$B$97:$F$97,AJ$12+1)-INDEX(Annahmen!$B$97:$F$97,AJ$12))/(INDEX(Annahmen!$B$80:$F$80,AJ$12+1)-INDEX(Annahmen!$B$80:$F$80,AJ$12))</f>
        <v>764.782505583726</v>
      </c>
      <c r="AK27" s="64" t="n">
        <f aca="false">INDEX(Annahmen!$B$97:$F$97,AK$12)+(AK$7-INDEX(Annahmen!$B$80:$F$80,AK$12))*(INDEX(Annahmen!$B$97:$F$97,AK$12+1)-INDEX(Annahmen!$B$97:$F$97,AK$12))/(INDEX(Annahmen!$B$80:$F$80,AK$12+1)-INDEX(Annahmen!$B$80:$F$80,AK$12))</f>
        <v>800</v>
      </c>
    </row>
    <row r="28" customFormat="false" ht="16.5" hidden="false" customHeight="true" outlineLevel="0" collapsed="false">
      <c r="A28" s="14" t="s">
        <v>328</v>
      </c>
      <c r="B28" s="64" t="n">
        <f aca="false">IF(B5&gt;=Annahmen!$B$145,B8*Annahmen!$B$144/12,0)</f>
        <v>166.666666666667</v>
      </c>
      <c r="C28" s="64" t="n">
        <f aca="false">IF(C5&gt;=Annahmen!$B$145,C8*Annahmen!$B$144/12,0)</f>
        <v>166.666666666667</v>
      </c>
      <c r="D28" s="64" t="n">
        <f aca="false">IF(D5&gt;=Annahmen!$B$145,D8*Annahmen!$B$144/12,0)</f>
        <v>166.666666666667</v>
      </c>
      <c r="E28" s="64" t="n">
        <f aca="false">IF(E5&gt;=Annahmen!$B$145,E8*Annahmen!$B$144/12,0)</f>
        <v>166.666666666667</v>
      </c>
      <c r="F28" s="64" t="n">
        <f aca="false">IF(F5&gt;=Annahmen!$B$145,F8*Annahmen!$B$144/12,0)</f>
        <v>166.666666666667</v>
      </c>
      <c r="G28" s="64" t="n">
        <f aca="false">IF(G5&gt;=Annahmen!$B$145,G8*Annahmen!$B$144/12,0)</f>
        <v>166.666666666667</v>
      </c>
      <c r="H28" s="64" t="n">
        <f aca="false">IF(H5&gt;=Annahmen!$B$145,H8*Annahmen!$B$144/12,0)</f>
        <v>166.666666666667</v>
      </c>
      <c r="I28" s="64" t="n">
        <f aca="false">IF(I5&gt;=Annahmen!$B$145,I8*Annahmen!$B$144/12,0)</f>
        <v>166.666666666667</v>
      </c>
      <c r="J28" s="64" t="n">
        <f aca="false">IF(J5&gt;=Annahmen!$B$145,J8*Annahmen!$B$144/12,0)</f>
        <v>166.666666666667</v>
      </c>
      <c r="K28" s="64" t="n">
        <f aca="false">IF(K5&gt;=Annahmen!$B$145,K8*Annahmen!$B$144/12,0)</f>
        <v>166.666666666667</v>
      </c>
      <c r="L28" s="64" t="n">
        <f aca="false">IF(L5&gt;=Annahmen!$B$145,L8*Annahmen!$B$144/12,0)</f>
        <v>166.666666666667</v>
      </c>
      <c r="M28" s="64" t="n">
        <f aca="false">IF(M5&gt;=Annahmen!$B$145,M8*Annahmen!$B$144/12,0)</f>
        <v>166.666666666667</v>
      </c>
      <c r="N28" s="64" t="n">
        <f aca="false">IF(N5&gt;=Annahmen!$B$145,N8*Annahmen!$B$144/12,0)</f>
        <v>333.333333333333</v>
      </c>
      <c r="O28" s="64" t="n">
        <f aca="false">IF(O5&gt;=Annahmen!$B$145,O8*Annahmen!$B$144/12,0)</f>
        <v>333.333333333333</v>
      </c>
      <c r="P28" s="64" t="n">
        <f aca="false">IF(P5&gt;=Annahmen!$B$145,P8*Annahmen!$B$144/12,0)</f>
        <v>333.333333333333</v>
      </c>
      <c r="Q28" s="64" t="n">
        <f aca="false">IF(Q5&gt;=Annahmen!$B$145,Q8*Annahmen!$B$144/12,0)</f>
        <v>333.333333333333</v>
      </c>
      <c r="R28" s="64" t="n">
        <f aca="false">IF(R5&gt;=Annahmen!$B$145,R8*Annahmen!$B$144/12,0)</f>
        <v>333.333333333333</v>
      </c>
      <c r="S28" s="64" t="n">
        <f aca="false">IF(S5&gt;=Annahmen!$B$145,S8*Annahmen!$B$144/12,0)</f>
        <v>333.333333333333</v>
      </c>
      <c r="T28" s="64" t="n">
        <f aca="false">IF(T5&gt;=Annahmen!$B$145,T8*Annahmen!$B$144/12,0)</f>
        <v>333.333333333333</v>
      </c>
      <c r="U28" s="64" t="n">
        <f aca="false">IF(U5&gt;=Annahmen!$B$145,U8*Annahmen!$B$144/12,0)</f>
        <v>333.333333333333</v>
      </c>
      <c r="V28" s="64" t="n">
        <f aca="false">IF(V5&gt;=Annahmen!$B$145,V8*Annahmen!$B$144/12,0)</f>
        <v>333.333333333333</v>
      </c>
      <c r="W28" s="64" t="n">
        <f aca="false">IF(W5&gt;=Annahmen!$B$145,W8*Annahmen!$B$144/12,0)</f>
        <v>333.333333333333</v>
      </c>
      <c r="X28" s="64" t="n">
        <f aca="false">IF(X5&gt;=Annahmen!$B$145,X8*Annahmen!$B$144/12,0)</f>
        <v>333.333333333333</v>
      </c>
      <c r="Y28" s="64" t="n">
        <f aca="false">IF(Y5&gt;=Annahmen!$B$145,Y8*Annahmen!$B$144/12,0)</f>
        <v>333.333333333333</v>
      </c>
      <c r="Z28" s="64" t="n">
        <f aca="false">IF(Z5&gt;=Annahmen!$B$145,Z8*Annahmen!$B$144/12,0)</f>
        <v>333.333333333333</v>
      </c>
      <c r="AA28" s="64" t="n">
        <f aca="false">IF(AA5&gt;=Annahmen!$B$145,AA8*Annahmen!$B$144/12,0)</f>
        <v>333.333333333333</v>
      </c>
      <c r="AB28" s="64" t="n">
        <f aca="false">IF(AB5&gt;=Annahmen!$B$145,AB8*Annahmen!$B$144/12,0)</f>
        <v>333.333333333333</v>
      </c>
      <c r="AC28" s="64" t="n">
        <f aca="false">IF(AC5&gt;=Annahmen!$B$145,AC8*Annahmen!$B$144/12,0)</f>
        <v>333.333333333333</v>
      </c>
      <c r="AD28" s="64" t="n">
        <f aca="false">IF(AD5&gt;=Annahmen!$B$145,AD8*Annahmen!$B$144/12,0)</f>
        <v>333.333333333333</v>
      </c>
      <c r="AE28" s="64" t="n">
        <f aca="false">IF(AE5&gt;=Annahmen!$B$145,AE8*Annahmen!$B$144/12,0)</f>
        <v>333.333333333333</v>
      </c>
      <c r="AF28" s="64" t="n">
        <f aca="false">IF(AF5&gt;=Annahmen!$B$145,AF8*Annahmen!$B$144/12,0)</f>
        <v>333.333333333333</v>
      </c>
      <c r="AG28" s="64" t="n">
        <f aca="false">IF(AG5&gt;=Annahmen!$B$145,AG8*Annahmen!$B$144/12,0)</f>
        <v>333.333333333333</v>
      </c>
      <c r="AH28" s="64" t="n">
        <f aca="false">IF(AH5&gt;=Annahmen!$B$145,AH8*Annahmen!$B$144/12,0)</f>
        <v>333.333333333333</v>
      </c>
      <c r="AI28" s="64" t="n">
        <f aca="false">IF(AI5&gt;=Annahmen!$B$145,AI8*Annahmen!$B$144/12,0)</f>
        <v>333.333333333333</v>
      </c>
      <c r="AJ28" s="64" t="n">
        <f aca="false">IF(AJ5&gt;=Annahmen!$B$145,AJ8*Annahmen!$B$144/12,0)</f>
        <v>333.333333333333</v>
      </c>
      <c r="AK28" s="64" t="n">
        <f aca="false">IF(AK5&gt;=Annahmen!$B$145,AK8*Annahmen!$B$144/12,0)</f>
        <v>333.333333333333</v>
      </c>
    </row>
    <row r="29" customFormat="false" ht="16.5" hidden="false" customHeight="true" outlineLevel="0" collapsed="false">
      <c r="A29" s="14" t="s">
        <v>329</v>
      </c>
      <c r="B29" s="64" t="n">
        <f aca="false">IF(B5=Annahmen!$B$136,Annahmen!$B$135,0)+IF(B5=Annahmen!$B$138,Annahmen!$B$137,0)+IF(B5=Annahmen!$B$140,Annahmen!$B$139,0)</f>
        <v>10000</v>
      </c>
      <c r="C29" s="64" t="n">
        <f aca="false">IF(C5=Annahmen!$B$136,Annahmen!$B$135,0)+IF(C5=Annahmen!$B$138,Annahmen!$B$137,0)+IF(C5=Annahmen!$B$140,Annahmen!$B$139,0)</f>
        <v>0</v>
      </c>
      <c r="D29" s="64" t="n">
        <f aca="false">IF(D5=Annahmen!$B$136,Annahmen!$B$135,0)+IF(D5=Annahmen!$B$138,Annahmen!$B$137,0)+IF(D5=Annahmen!$B$140,Annahmen!$B$139,0)</f>
        <v>0</v>
      </c>
      <c r="E29" s="64" t="n">
        <f aca="false">IF(E5=Annahmen!$B$136,Annahmen!$B$135,0)+IF(E5=Annahmen!$B$138,Annahmen!$B$137,0)+IF(E5=Annahmen!$B$140,Annahmen!$B$139,0)</f>
        <v>0</v>
      </c>
      <c r="F29" s="64" t="n">
        <f aca="false">IF(F5=Annahmen!$B$136,Annahmen!$B$135,0)+IF(F5=Annahmen!$B$138,Annahmen!$B$137,0)+IF(F5=Annahmen!$B$140,Annahmen!$B$139,0)</f>
        <v>0</v>
      </c>
      <c r="G29" s="64" t="n">
        <f aca="false">IF(G5=Annahmen!$B$136,Annahmen!$B$135,0)+IF(G5=Annahmen!$B$138,Annahmen!$B$137,0)+IF(G5=Annahmen!$B$140,Annahmen!$B$139,0)</f>
        <v>0</v>
      </c>
      <c r="H29" s="64" t="n">
        <f aca="false">IF(H5=Annahmen!$B$136,Annahmen!$B$135,0)+IF(H5=Annahmen!$B$138,Annahmen!$B$137,0)+IF(H5=Annahmen!$B$140,Annahmen!$B$139,0)</f>
        <v>0</v>
      </c>
      <c r="I29" s="64" t="n">
        <f aca="false">IF(I5=Annahmen!$B$136,Annahmen!$B$135,0)+IF(I5=Annahmen!$B$138,Annahmen!$B$137,0)+IF(I5=Annahmen!$B$140,Annahmen!$B$139,0)</f>
        <v>0</v>
      </c>
      <c r="J29" s="64" t="n">
        <f aca="false">IF(J5=Annahmen!$B$136,Annahmen!$B$135,0)+IF(J5=Annahmen!$B$138,Annahmen!$B$137,0)+IF(J5=Annahmen!$B$140,Annahmen!$B$139,0)</f>
        <v>0</v>
      </c>
      <c r="K29" s="64" t="n">
        <f aca="false">IF(K5=Annahmen!$B$136,Annahmen!$B$135,0)+IF(K5=Annahmen!$B$138,Annahmen!$B$137,0)+IF(K5=Annahmen!$B$140,Annahmen!$B$139,0)</f>
        <v>0</v>
      </c>
      <c r="L29" s="64" t="n">
        <f aca="false">IF(L5=Annahmen!$B$136,Annahmen!$B$135,0)+IF(L5=Annahmen!$B$138,Annahmen!$B$137,0)+IF(L5=Annahmen!$B$140,Annahmen!$B$139,0)</f>
        <v>0</v>
      </c>
      <c r="M29" s="64" t="n">
        <f aca="false">IF(M5=Annahmen!$B$136,Annahmen!$B$135,0)+IF(M5=Annahmen!$B$138,Annahmen!$B$137,0)+IF(M5=Annahmen!$B$140,Annahmen!$B$139,0)</f>
        <v>0</v>
      </c>
      <c r="N29" s="64" t="n">
        <f aca="false">IF(N5=Annahmen!$B$136,Annahmen!$B$135,0)+IF(N5=Annahmen!$B$138,Annahmen!$B$137,0)+IF(N5=Annahmen!$B$140,Annahmen!$B$139,0)</f>
        <v>0</v>
      </c>
      <c r="O29" s="64" t="n">
        <f aca="false">IF(O5=Annahmen!$B$136,Annahmen!$B$135,0)+IF(O5=Annahmen!$B$138,Annahmen!$B$137,0)+IF(O5=Annahmen!$B$140,Annahmen!$B$139,0)</f>
        <v>0</v>
      </c>
      <c r="P29" s="64" t="n">
        <f aca="false">IF(P5=Annahmen!$B$136,Annahmen!$B$135,0)+IF(P5=Annahmen!$B$138,Annahmen!$B$137,0)+IF(P5=Annahmen!$B$140,Annahmen!$B$139,0)</f>
        <v>0</v>
      </c>
      <c r="Q29" s="64" t="n">
        <f aca="false">IF(Q5=Annahmen!$B$136,Annahmen!$B$135,0)+IF(Q5=Annahmen!$B$138,Annahmen!$B$137,0)+IF(Q5=Annahmen!$B$140,Annahmen!$B$139,0)</f>
        <v>0</v>
      </c>
      <c r="R29" s="64" t="n">
        <f aca="false">IF(R5=Annahmen!$B$136,Annahmen!$B$135,0)+IF(R5=Annahmen!$B$138,Annahmen!$B$137,0)+IF(R5=Annahmen!$B$140,Annahmen!$B$139,0)</f>
        <v>0</v>
      </c>
      <c r="S29" s="64" t="n">
        <f aca="false">IF(S5=Annahmen!$B$136,Annahmen!$B$135,0)+IF(S5=Annahmen!$B$138,Annahmen!$B$137,0)+IF(S5=Annahmen!$B$140,Annahmen!$B$139,0)</f>
        <v>0</v>
      </c>
      <c r="T29" s="64" t="n">
        <f aca="false">IF(T5=Annahmen!$B$136,Annahmen!$B$135,0)+IF(T5=Annahmen!$B$138,Annahmen!$B$137,0)+IF(T5=Annahmen!$B$140,Annahmen!$B$139,0)</f>
        <v>0</v>
      </c>
      <c r="U29" s="64" t="n">
        <f aca="false">IF(U5=Annahmen!$B$136,Annahmen!$B$135,0)+IF(U5=Annahmen!$B$138,Annahmen!$B$137,0)+IF(U5=Annahmen!$B$140,Annahmen!$B$139,0)</f>
        <v>0</v>
      </c>
      <c r="V29" s="64" t="n">
        <f aca="false">IF(V5=Annahmen!$B$136,Annahmen!$B$135,0)+IF(V5=Annahmen!$B$138,Annahmen!$B$137,0)+IF(V5=Annahmen!$B$140,Annahmen!$B$139,0)</f>
        <v>0</v>
      </c>
      <c r="W29" s="64" t="n">
        <f aca="false">IF(W5=Annahmen!$B$136,Annahmen!$B$135,0)+IF(W5=Annahmen!$B$138,Annahmen!$B$137,0)+IF(W5=Annahmen!$B$140,Annahmen!$B$139,0)</f>
        <v>0</v>
      </c>
      <c r="X29" s="64" t="n">
        <f aca="false">IF(X5=Annahmen!$B$136,Annahmen!$B$135,0)+IF(X5=Annahmen!$B$138,Annahmen!$B$137,0)+IF(X5=Annahmen!$B$140,Annahmen!$B$139,0)</f>
        <v>0</v>
      </c>
      <c r="Y29" s="64" t="n">
        <f aca="false">IF(Y5=Annahmen!$B$136,Annahmen!$B$135,0)+IF(Y5=Annahmen!$B$138,Annahmen!$B$137,0)+IF(Y5=Annahmen!$B$140,Annahmen!$B$139,0)</f>
        <v>0</v>
      </c>
      <c r="Z29" s="64" t="n">
        <f aca="false">IF(Z5=Annahmen!$B$136,Annahmen!$B$135,0)+IF(Z5=Annahmen!$B$138,Annahmen!$B$137,0)+IF(Z5=Annahmen!$B$140,Annahmen!$B$139,0)</f>
        <v>4000</v>
      </c>
      <c r="AA29" s="64" t="n">
        <f aca="false">IF(AA5=Annahmen!$B$136,Annahmen!$B$135,0)+IF(AA5=Annahmen!$B$138,Annahmen!$B$137,0)+IF(AA5=Annahmen!$B$140,Annahmen!$B$139,0)</f>
        <v>0</v>
      </c>
      <c r="AB29" s="64" t="n">
        <f aca="false">IF(AB5=Annahmen!$B$136,Annahmen!$B$135,0)+IF(AB5=Annahmen!$B$138,Annahmen!$B$137,0)+IF(AB5=Annahmen!$B$140,Annahmen!$B$139,0)</f>
        <v>0</v>
      </c>
      <c r="AC29" s="64" t="n">
        <f aca="false">IF(AC5=Annahmen!$B$136,Annahmen!$B$135,0)+IF(AC5=Annahmen!$B$138,Annahmen!$B$137,0)+IF(AC5=Annahmen!$B$140,Annahmen!$B$139,0)</f>
        <v>0</v>
      </c>
      <c r="AD29" s="64" t="n">
        <f aca="false">IF(AD5=Annahmen!$B$136,Annahmen!$B$135,0)+IF(AD5=Annahmen!$B$138,Annahmen!$B$137,0)+IF(AD5=Annahmen!$B$140,Annahmen!$B$139,0)</f>
        <v>0</v>
      </c>
      <c r="AE29" s="64" t="n">
        <f aca="false">IF(AE5=Annahmen!$B$136,Annahmen!$B$135,0)+IF(AE5=Annahmen!$B$138,Annahmen!$B$137,0)+IF(AE5=Annahmen!$B$140,Annahmen!$B$139,0)</f>
        <v>0</v>
      </c>
      <c r="AF29" s="64" t="n">
        <f aca="false">IF(AF5=Annahmen!$B$136,Annahmen!$B$135,0)+IF(AF5=Annahmen!$B$138,Annahmen!$B$137,0)+IF(AF5=Annahmen!$B$140,Annahmen!$B$139,0)</f>
        <v>0</v>
      </c>
      <c r="AG29" s="64" t="n">
        <f aca="false">IF(AG5=Annahmen!$B$136,Annahmen!$B$135,0)+IF(AG5=Annahmen!$B$138,Annahmen!$B$137,0)+IF(AG5=Annahmen!$B$140,Annahmen!$B$139,0)</f>
        <v>0</v>
      </c>
      <c r="AH29" s="64" t="n">
        <f aca="false">IF(AH5=Annahmen!$B$136,Annahmen!$B$135,0)+IF(AH5=Annahmen!$B$138,Annahmen!$B$137,0)+IF(AH5=Annahmen!$B$140,Annahmen!$B$139,0)</f>
        <v>0</v>
      </c>
      <c r="AI29" s="64" t="n">
        <f aca="false">IF(AI5=Annahmen!$B$136,Annahmen!$B$135,0)+IF(AI5=Annahmen!$B$138,Annahmen!$B$137,0)+IF(AI5=Annahmen!$B$140,Annahmen!$B$139,0)</f>
        <v>0</v>
      </c>
      <c r="AJ29" s="64" t="n">
        <f aca="false">IF(AJ5=Annahmen!$B$136,Annahmen!$B$135,0)+IF(AJ5=Annahmen!$B$138,Annahmen!$B$137,0)+IF(AJ5=Annahmen!$B$140,Annahmen!$B$139,0)</f>
        <v>0</v>
      </c>
      <c r="AK29" s="64" t="n">
        <f aca="false">IF(AK5=Annahmen!$B$136,Annahmen!$B$135,0)+IF(AK5=Annahmen!$B$138,Annahmen!$B$137,0)+IF(AK5=Annahmen!$B$140,Annahmen!$B$139,0)</f>
        <v>0</v>
      </c>
    </row>
    <row r="30" customFormat="false" ht="16.5" hidden="false" customHeight="true" outlineLevel="0" collapsed="false">
      <c r="A30" s="14" t="s">
        <v>330</v>
      </c>
      <c r="B30" s="64" t="n">
        <f aca="false">SUMIF(Annahmen!$C$116:$C$129,B5,Annahmen!$B$116:$B$129)</f>
        <v>26700</v>
      </c>
      <c r="C30" s="64" t="n">
        <f aca="false">SUMIF(Annahmen!$C$116:$C$129,C5,Annahmen!$B$116:$B$129)</f>
        <v>2700</v>
      </c>
      <c r="D30" s="64" t="n">
        <f aca="false">SUMIF(Annahmen!$C$116:$C$129,D5,Annahmen!$B$116:$B$129)</f>
        <v>11500</v>
      </c>
      <c r="E30" s="64" t="n">
        <f aca="false">SUMIF(Annahmen!$C$116:$C$129,E5,Annahmen!$B$116:$B$129)</f>
        <v>4500</v>
      </c>
      <c r="F30" s="64" t="n">
        <f aca="false">SUMIF(Annahmen!$C$116:$C$129,F5,Annahmen!$B$116:$B$129)</f>
        <v>3000</v>
      </c>
      <c r="G30" s="64" t="n">
        <f aca="false">SUMIF(Annahmen!$C$116:$C$129,G5,Annahmen!$B$116:$B$129)</f>
        <v>2000</v>
      </c>
      <c r="H30" s="64" t="n">
        <f aca="false">SUMIF(Annahmen!$C$116:$C$129,H5,Annahmen!$B$116:$B$129)</f>
        <v>0</v>
      </c>
      <c r="I30" s="64" t="n">
        <f aca="false">SUMIF(Annahmen!$C$116:$C$129,I5,Annahmen!$B$116:$B$129)</f>
        <v>5500</v>
      </c>
      <c r="J30" s="64" t="n">
        <f aca="false">SUMIF(Annahmen!$C$116:$C$129,J5,Annahmen!$B$116:$B$129)</f>
        <v>0</v>
      </c>
      <c r="K30" s="64" t="n">
        <f aca="false">SUMIF(Annahmen!$C$116:$C$129,K5,Annahmen!$B$116:$B$129)</f>
        <v>0</v>
      </c>
      <c r="L30" s="64" t="n">
        <f aca="false">SUMIF(Annahmen!$C$116:$C$129,L5,Annahmen!$B$116:$B$129)</f>
        <v>0</v>
      </c>
      <c r="M30" s="64" t="n">
        <f aca="false">SUMIF(Annahmen!$C$116:$C$129,M5,Annahmen!$B$116:$B$129)</f>
        <v>0</v>
      </c>
      <c r="N30" s="64" t="n">
        <f aca="false">SUMIF(Annahmen!$C$116:$C$129,N5,Annahmen!$B$116:$B$129)</f>
        <v>0</v>
      </c>
      <c r="O30" s="64" t="n">
        <f aca="false">SUMIF(Annahmen!$C$116:$C$129,O5,Annahmen!$B$116:$B$129)</f>
        <v>0</v>
      </c>
      <c r="P30" s="64" t="n">
        <f aca="false">SUMIF(Annahmen!$C$116:$C$129,P5,Annahmen!$B$116:$B$129)</f>
        <v>0</v>
      </c>
      <c r="Q30" s="64" t="n">
        <f aca="false">SUMIF(Annahmen!$C$116:$C$129,Q5,Annahmen!$B$116:$B$129)</f>
        <v>0</v>
      </c>
      <c r="R30" s="64" t="n">
        <f aca="false">SUMIF(Annahmen!$C$116:$C$129,R5,Annahmen!$B$116:$B$129)</f>
        <v>0</v>
      </c>
      <c r="S30" s="64" t="n">
        <f aca="false">SUMIF(Annahmen!$C$116:$C$129,S5,Annahmen!$B$116:$B$129)</f>
        <v>0</v>
      </c>
      <c r="T30" s="64" t="n">
        <f aca="false">SUMIF(Annahmen!$C$116:$C$129,T5,Annahmen!$B$116:$B$129)</f>
        <v>0</v>
      </c>
      <c r="U30" s="64" t="n">
        <f aca="false">SUMIF(Annahmen!$C$116:$C$129,U5,Annahmen!$B$116:$B$129)</f>
        <v>0</v>
      </c>
      <c r="V30" s="64" t="n">
        <f aca="false">SUMIF(Annahmen!$C$116:$C$129,V5,Annahmen!$B$116:$B$129)</f>
        <v>0</v>
      </c>
      <c r="W30" s="64" t="n">
        <f aca="false">SUMIF(Annahmen!$C$116:$C$129,W5,Annahmen!$B$116:$B$129)</f>
        <v>0</v>
      </c>
      <c r="X30" s="64" t="n">
        <f aca="false">SUMIF(Annahmen!$C$116:$C$129,X5,Annahmen!$B$116:$B$129)</f>
        <v>0</v>
      </c>
      <c r="Y30" s="64" t="n">
        <f aca="false">SUMIF(Annahmen!$C$116:$C$129,Y5,Annahmen!$B$116:$B$129)</f>
        <v>0</v>
      </c>
      <c r="Z30" s="64" t="n">
        <f aca="false">SUMIF(Annahmen!$C$116:$C$129,Z5,Annahmen!$B$116:$B$129)</f>
        <v>0</v>
      </c>
      <c r="AA30" s="64" t="n">
        <f aca="false">SUMIF(Annahmen!$C$116:$C$129,AA5,Annahmen!$B$116:$B$129)</f>
        <v>0</v>
      </c>
      <c r="AB30" s="64" t="n">
        <f aca="false">SUMIF(Annahmen!$C$116:$C$129,AB5,Annahmen!$B$116:$B$129)</f>
        <v>0</v>
      </c>
      <c r="AC30" s="64" t="n">
        <f aca="false">SUMIF(Annahmen!$C$116:$C$129,AC5,Annahmen!$B$116:$B$129)</f>
        <v>0</v>
      </c>
      <c r="AD30" s="64" t="n">
        <f aca="false">SUMIF(Annahmen!$C$116:$C$129,AD5,Annahmen!$B$116:$B$129)</f>
        <v>0</v>
      </c>
      <c r="AE30" s="64" t="n">
        <f aca="false">SUMIF(Annahmen!$C$116:$C$129,AE5,Annahmen!$B$116:$B$129)</f>
        <v>0</v>
      </c>
      <c r="AF30" s="64" t="n">
        <f aca="false">SUMIF(Annahmen!$C$116:$C$129,AF5,Annahmen!$B$116:$B$129)</f>
        <v>0</v>
      </c>
      <c r="AG30" s="64" t="n">
        <f aca="false">SUMIF(Annahmen!$C$116:$C$129,AG5,Annahmen!$B$116:$B$129)</f>
        <v>0</v>
      </c>
      <c r="AH30" s="64" t="n">
        <f aca="false">SUMIF(Annahmen!$C$116:$C$129,AH5,Annahmen!$B$116:$B$129)</f>
        <v>0</v>
      </c>
      <c r="AI30" s="64" t="n">
        <f aca="false">SUMIF(Annahmen!$C$116:$C$129,AI5,Annahmen!$B$116:$B$129)</f>
        <v>0</v>
      </c>
      <c r="AJ30" s="64" t="n">
        <f aca="false">SUMIF(Annahmen!$C$116:$C$129,AJ5,Annahmen!$B$116:$B$129)</f>
        <v>0</v>
      </c>
      <c r="AK30" s="64" t="n">
        <f aca="false">SUMIF(Annahmen!$C$116:$C$129,AK5,Annahmen!$B$116:$B$129)</f>
        <v>0</v>
      </c>
    </row>
    <row r="31" customFormat="false" ht="16.5" hidden="false" customHeight="true" outlineLevel="0" collapsed="false">
      <c r="A31" s="27" t="s">
        <v>331</v>
      </c>
      <c r="B31" s="65" t="n">
        <f aca="false">SUM(B22:B30)</f>
        <v>38286.6666666667</v>
      </c>
      <c r="C31" s="65" t="n">
        <f aca="false">SUM(C22:C30)</f>
        <v>4459.54334813252</v>
      </c>
      <c r="D31" s="65" t="n">
        <f aca="false">SUM(D22:D30)</f>
        <v>13344.9870621636</v>
      </c>
      <c r="E31" s="65" t="n">
        <f aca="false">SUM(E22:E30)</f>
        <v>6413.75599079653</v>
      </c>
      <c r="F31" s="65" t="n">
        <f aca="false">SUM(F22:F30)</f>
        <v>4980.22127267865</v>
      </c>
      <c r="G31" s="65" t="n">
        <f aca="false">SUM(G22:G30)</f>
        <v>4046.44891363359</v>
      </c>
      <c r="H31" s="65" t="n">
        <f aca="false">SUM(H22:H30)</f>
        <v>2113.10458602975</v>
      </c>
      <c r="I31" s="65" t="n">
        <f aca="false">SUM(I22:I30)</f>
        <v>7680.44869064239</v>
      </c>
      <c r="J31" s="65" t="n">
        <f aca="false">SUM(J22:J30)</f>
        <v>2248.58745221674</v>
      </c>
      <c r="K31" s="65" t="n">
        <f aca="false">SUM(K22:K30)</f>
        <v>2317.55934895081</v>
      </c>
      <c r="L31" s="65" t="n">
        <f aca="false">SUM(L22:L30)</f>
        <v>2387.37053269927</v>
      </c>
      <c r="M31" s="65" t="n">
        <f aca="false">SUM(M22:M30)</f>
        <v>2458.01107334318</v>
      </c>
      <c r="N31" s="65" t="n">
        <f aca="false">SUM(N22:N30)</f>
        <v>2632.98166996707</v>
      </c>
      <c r="O31" s="65" t="n">
        <f aca="false">SUM(O22:O30)</f>
        <v>2833.24097643815</v>
      </c>
      <c r="P31" s="65" t="n">
        <f aca="false">SUM(P22:P30)</f>
        <v>2986.49646349427</v>
      </c>
      <c r="Q31" s="65" t="n">
        <f aca="false">SUM(Q22:Q30)</f>
        <v>3132.42433820678</v>
      </c>
      <c r="R31" s="65" t="n">
        <f aca="false">SUM(R22:R30)</f>
        <v>3278.30558891349</v>
      </c>
      <c r="S31" s="65" t="n">
        <f aca="false">SUM(S22:S30)</f>
        <v>3426.018489791</v>
      </c>
      <c r="T31" s="65" t="n">
        <f aca="false">SUM(T22:T30)</f>
        <v>3576.34186708934</v>
      </c>
      <c r="U31" s="65" t="n">
        <f aca="false">SUM(U22:U30)</f>
        <v>3729.61608958156</v>
      </c>
      <c r="V31" s="65" t="n">
        <f aca="false">SUM(V22:V30)</f>
        <v>3885.98019126969</v>
      </c>
      <c r="W31" s="65" t="n">
        <f aca="false">SUM(W22:W30)</f>
        <v>4045.47264545137</v>
      </c>
      <c r="X31" s="65" t="n">
        <f aca="false">SUM(X22:X30)</f>
        <v>4402.74659199941</v>
      </c>
      <c r="Y31" s="65" t="n">
        <f aca="false">SUM(Y22:Y30)</f>
        <v>4806.61453820702</v>
      </c>
      <c r="Z31" s="65" t="n">
        <f aca="false">SUM(Z22:Z30)</f>
        <v>8680.55353652194</v>
      </c>
      <c r="AA31" s="65" t="n">
        <f aca="false">SUM(AA22:AA30)</f>
        <v>5173.79243776832</v>
      </c>
      <c r="AB31" s="65" t="n">
        <f aca="false">SUM(AB22:AB30)</f>
        <v>5642.59502204395</v>
      </c>
      <c r="AC31" s="65" t="n">
        <f aca="false">SUM(AC22:AC30)</f>
        <v>6130.22752040988</v>
      </c>
      <c r="AD31" s="65" t="n">
        <f aca="false">SUM(AD22:AD30)</f>
        <v>6640.54050615613</v>
      </c>
      <c r="AE31" s="65" t="n">
        <f aca="false">SUM(AE22:AE30)</f>
        <v>7119.77959986794</v>
      </c>
      <c r="AF31" s="65" t="n">
        <f aca="false">SUM(AF22:AF30)</f>
        <v>7431.49300060694</v>
      </c>
      <c r="AG31" s="65" t="n">
        <f aca="false">SUM(AG22:AG30)</f>
        <v>7751.48152390021</v>
      </c>
      <c r="AH31" s="65" t="n">
        <f aca="false">SUM(AH22:AH30)</f>
        <v>8079.66639711436</v>
      </c>
      <c r="AI31" s="65" t="n">
        <f aca="false">SUM(AI22:AI30)</f>
        <v>8415.86500506563</v>
      </c>
      <c r="AJ31" s="65" t="n">
        <f aca="false">SUM(AJ22:AJ30)</f>
        <v>8759.85185048189</v>
      </c>
      <c r="AK31" s="65" t="n">
        <f aca="false">SUM(AK22:AK30)</f>
        <v>9111.3875277979</v>
      </c>
    </row>
    <row r="33" customFormat="false" ht="16.5" hidden="false" customHeight="true" outlineLevel="0" collapsed="false">
      <c r="A33" s="27" t="s">
        <v>332</v>
      </c>
      <c r="B33" s="67" t="n">
        <f aca="false">B19-B31</f>
        <v>-38286.6666666667</v>
      </c>
      <c r="C33" s="67" t="n">
        <f aca="false">C19-C31</f>
        <v>-4459.54334813252</v>
      </c>
      <c r="D33" s="67" t="n">
        <f aca="false">D19-D31</f>
        <v>-13344.9870621636</v>
      </c>
      <c r="E33" s="67" t="n">
        <f aca="false">E19-E31</f>
        <v>-6413.75599079653</v>
      </c>
      <c r="F33" s="67" t="n">
        <f aca="false">F19-F31</f>
        <v>-4980.22127267865</v>
      </c>
      <c r="G33" s="67" t="n">
        <f aca="false">G19-G31</f>
        <v>-4046.44891363359</v>
      </c>
      <c r="H33" s="67" t="n">
        <f aca="false">H19-H31</f>
        <v>-2113.10458602975</v>
      </c>
      <c r="I33" s="67" t="n">
        <f aca="false">I19-I31</f>
        <v>-7680.44869064239</v>
      </c>
      <c r="J33" s="67" t="n">
        <f aca="false">J19-J31</f>
        <v>-2248.58745221674</v>
      </c>
      <c r="K33" s="67" t="n">
        <f aca="false">K19-K31</f>
        <v>-2317.55934895081</v>
      </c>
      <c r="L33" s="67" t="n">
        <f aca="false">L19-L31</f>
        <v>-2387.37053269927</v>
      </c>
      <c r="M33" s="67" t="n">
        <f aca="false">M19-M31</f>
        <v>-2458.01107334318</v>
      </c>
      <c r="N33" s="67" t="n">
        <f aca="false">N19-N31</f>
        <v>-2632.98166996707</v>
      </c>
      <c r="O33" s="67" t="n">
        <f aca="false">O19-O31</f>
        <v>-2759.64630914117</v>
      </c>
      <c r="P33" s="67" t="n">
        <f aca="false">P19-P31</f>
        <v>-2903.09026570236</v>
      </c>
      <c r="Q33" s="67" t="n">
        <f aca="false">Q19-Q31</f>
        <v>-3038.0092586588</v>
      </c>
      <c r="R33" s="67" t="n">
        <f aca="false">R19-R31</f>
        <v>-3171.89594938835</v>
      </c>
      <c r="S33" s="67" t="n">
        <f aca="false">S19-S31</f>
        <v>-2821.96990819682</v>
      </c>
      <c r="T33" s="67" t="n">
        <f aca="false">T19-T31</f>
        <v>-2147.01094085684</v>
      </c>
      <c r="U33" s="67" t="n">
        <f aca="false">U19-U31</f>
        <v>-1127.33689515193</v>
      </c>
      <c r="V33" s="67" t="n">
        <f aca="false">V19-V31</f>
        <v>-1103.66430345586</v>
      </c>
      <c r="W33" s="67" t="n">
        <f aca="false">W19-W31</f>
        <v>-1076.17646068217</v>
      </c>
      <c r="X33" s="67" t="n">
        <f aca="false">X19-X31</f>
        <v>-1239.99434078458</v>
      </c>
      <c r="Y33" s="67" t="n">
        <f aca="false">Y19-Y31</f>
        <v>-1444.32622808938</v>
      </c>
      <c r="Z33" s="67" t="n">
        <f aca="false">Z19-Z31</f>
        <v>-5214.40960061681</v>
      </c>
      <c r="AA33" s="67" t="n">
        <f aca="false">AA19-AA31</f>
        <v>-1548.59224132784</v>
      </c>
      <c r="AB33" s="67" t="n">
        <f aca="false">AB19-AB31</f>
        <v>-1827.64630629206</v>
      </c>
      <c r="AC33" s="67" t="n">
        <f aca="false">AC19-AC31</f>
        <v>-2102.37430279965</v>
      </c>
      <c r="AD33" s="67" t="n">
        <f aca="false">AD19-AD31</f>
        <v>-2380.72042092668</v>
      </c>
      <c r="AE33" s="67" t="n">
        <f aca="false">AE19-AE31</f>
        <v>-2150.77550322868</v>
      </c>
      <c r="AF33" s="67" t="n">
        <f aca="false">AF19-AF31</f>
        <v>-2199.56557651557</v>
      </c>
      <c r="AG33" s="67" t="n">
        <f aca="false">AG19-AG31</f>
        <v>-2243.50687303464</v>
      </c>
      <c r="AH33" s="67" t="n">
        <f aca="false">AH19-AH31</f>
        <v>-2283.63303683409</v>
      </c>
      <c r="AI33" s="67" t="n">
        <f aca="false">AI19-AI31</f>
        <v>-2320.66316965676</v>
      </c>
      <c r="AJ33" s="67" t="n">
        <f aca="false">AJ19-AJ31</f>
        <v>-2355.12030876001</v>
      </c>
      <c r="AK33" s="67" t="n">
        <f aca="false">AK19-AK31</f>
        <v>-2387.39829183152</v>
      </c>
    </row>
    <row r="34" customFormat="false" ht="16.5" hidden="false" customHeight="true" outlineLevel="0" collapsed="false">
      <c r="A34" s="27" t="s">
        <v>333</v>
      </c>
      <c r="B34" s="68" t="n">
        <f aca="false">B33</f>
        <v>-38286.6666666667</v>
      </c>
      <c r="C34" s="68" t="n">
        <f aca="false">B34+C33</f>
        <v>-42746.2100147992</v>
      </c>
      <c r="D34" s="68" t="n">
        <f aca="false">C34+D33</f>
        <v>-56091.1970769628</v>
      </c>
      <c r="E34" s="68" t="n">
        <f aca="false">D34+E33</f>
        <v>-62504.9530677594</v>
      </c>
      <c r="F34" s="68" t="n">
        <f aca="false">E34+F33</f>
        <v>-67485.174340438</v>
      </c>
      <c r="G34" s="68" t="n">
        <f aca="false">F34+G33</f>
        <v>-71531.6232540716</v>
      </c>
      <c r="H34" s="68" t="n">
        <f aca="false">G34+H33</f>
        <v>-73644.7278401013</v>
      </c>
      <c r="I34" s="68" t="n">
        <f aca="false">H34+I33</f>
        <v>-81325.1765307437</v>
      </c>
      <c r="J34" s="68" t="n">
        <f aca="false">I34+J33</f>
        <v>-83573.7639829605</v>
      </c>
      <c r="K34" s="68" t="n">
        <f aca="false">J34+K33</f>
        <v>-85891.3233319113</v>
      </c>
      <c r="L34" s="68" t="n">
        <f aca="false">K34+L33</f>
        <v>-88278.6938646106</v>
      </c>
      <c r="M34" s="68" t="n">
        <f aca="false">L34+M33</f>
        <v>-90736.7049379537</v>
      </c>
      <c r="N34" s="68" t="n">
        <f aca="false">M34+N33</f>
        <v>-93369.6866079208</v>
      </c>
      <c r="O34" s="68" t="n">
        <f aca="false">N34+O33</f>
        <v>-96129.332917062</v>
      </c>
      <c r="P34" s="68" t="n">
        <f aca="false">O34+P33</f>
        <v>-99032.4231827644</v>
      </c>
      <c r="Q34" s="68" t="n">
        <f aca="false">P34+Q33</f>
        <v>-102070.432441423</v>
      </c>
      <c r="R34" s="68" t="n">
        <f aca="false">Q34+R33</f>
        <v>-105242.328390812</v>
      </c>
      <c r="S34" s="68" t="n">
        <f aca="false">R34+S33</f>
        <v>-108064.298299008</v>
      </c>
      <c r="T34" s="68" t="n">
        <f aca="false">S34+T33</f>
        <v>-110211.309239865</v>
      </c>
      <c r="U34" s="68" t="n">
        <f aca="false">T34+U33</f>
        <v>-111338.646135017</v>
      </c>
      <c r="V34" s="68" t="n">
        <f aca="false">U34+V33</f>
        <v>-112442.310438473</v>
      </c>
      <c r="W34" s="68" t="n">
        <f aca="false">V34+W33</f>
        <v>-113518.486899155</v>
      </c>
      <c r="X34" s="68" t="n">
        <f aca="false">W34+X33</f>
        <v>-114758.48123994</v>
      </c>
      <c r="Y34" s="68" t="n">
        <f aca="false">X34+Y33</f>
        <v>-116202.807468029</v>
      </c>
      <c r="Z34" s="68" t="n">
        <f aca="false">Y34+Z33</f>
        <v>-121417.217068646</v>
      </c>
      <c r="AA34" s="68" t="n">
        <f aca="false">Z34+AA33</f>
        <v>-122965.809309974</v>
      </c>
      <c r="AB34" s="68" t="n">
        <f aca="false">AA34+AB33</f>
        <v>-124793.455616266</v>
      </c>
      <c r="AC34" s="68" t="n">
        <f aca="false">AB34+AC33</f>
        <v>-126895.829919065</v>
      </c>
      <c r="AD34" s="68" t="n">
        <f aca="false">AC34+AD33</f>
        <v>-129276.550339992</v>
      </c>
      <c r="AE34" s="68" t="n">
        <f aca="false">AD34+AE33</f>
        <v>-131427.325843221</v>
      </c>
      <c r="AF34" s="68" t="n">
        <f aca="false">AE34+AF33</f>
        <v>-133626.891419736</v>
      </c>
      <c r="AG34" s="68" t="n">
        <f aca="false">AF34+AG33</f>
        <v>-135870.398292771</v>
      </c>
      <c r="AH34" s="68" t="n">
        <f aca="false">AG34+AH33</f>
        <v>-138154.031329605</v>
      </c>
      <c r="AI34" s="68" t="n">
        <f aca="false">AH34+AI33</f>
        <v>-140474.694499262</v>
      </c>
      <c r="AJ34" s="68" t="n">
        <f aca="false">AI34+AJ33</f>
        <v>-142829.814808022</v>
      </c>
      <c r="AK34" s="68" t="n">
        <f aca="false">AJ34+AK33</f>
        <v>-145217.213099853</v>
      </c>
    </row>
    <row r="36" customFormat="false" ht="16.5" hidden="false" customHeight="true" outlineLevel="0" collapsed="false">
      <c r="A36" s="14" t="s">
        <v>334</v>
      </c>
      <c r="B36" s="64" t="n">
        <f aca="false">Annahmen!$B$154*Annahmen!$B$155</f>
        <v>400</v>
      </c>
      <c r="C36" s="64" t="n">
        <f aca="false">B36+Annahmen!$B$154*Annahmen!$B$155</f>
        <v>800</v>
      </c>
      <c r="D36" s="64" t="n">
        <f aca="false">C36+Annahmen!$B$154*Annahmen!$B$155</f>
        <v>1200</v>
      </c>
      <c r="E36" s="64" t="n">
        <f aca="false">D36+Annahmen!$B$154*Annahmen!$B$155</f>
        <v>1600</v>
      </c>
      <c r="F36" s="64" t="n">
        <f aca="false">E36+Annahmen!$B$154*Annahmen!$B$155</f>
        <v>2000</v>
      </c>
      <c r="G36" s="64" t="n">
        <f aca="false">F36+Annahmen!$B$154*Annahmen!$B$155</f>
        <v>2400</v>
      </c>
      <c r="H36" s="64" t="n">
        <f aca="false">G36+Annahmen!$B$154*Annahmen!$B$155</f>
        <v>2800</v>
      </c>
      <c r="I36" s="64" t="n">
        <f aca="false">H36+Annahmen!$B$154*Annahmen!$B$155</f>
        <v>3200</v>
      </c>
      <c r="J36" s="64" t="n">
        <f aca="false">I36+Annahmen!$B$154*Annahmen!$B$155</f>
        <v>3600</v>
      </c>
      <c r="K36" s="64" t="n">
        <f aca="false">J36+Annahmen!$B$154*Annahmen!$B$155</f>
        <v>4000</v>
      </c>
      <c r="L36" s="64" t="n">
        <f aca="false">K36+Annahmen!$B$154*Annahmen!$B$155</f>
        <v>4400</v>
      </c>
      <c r="M36" s="64" t="n">
        <f aca="false">L36+Annahmen!$B$154*Annahmen!$B$155</f>
        <v>4800</v>
      </c>
      <c r="N36" s="64" t="n">
        <f aca="false">M36+Annahmen!$B$154*Annahmen!$B$155</f>
        <v>5200</v>
      </c>
      <c r="O36" s="64" t="n">
        <f aca="false">N36+Annahmen!$B$154*Annahmen!$B$155</f>
        <v>5600</v>
      </c>
      <c r="P36" s="64" t="n">
        <f aca="false">O36+Annahmen!$B$154*Annahmen!$B$155</f>
        <v>6000</v>
      </c>
      <c r="Q36" s="64" t="n">
        <f aca="false">P36+Annahmen!$B$154*Annahmen!$B$155</f>
        <v>6400</v>
      </c>
      <c r="R36" s="64" t="n">
        <f aca="false">Q36+Annahmen!$B$154*Annahmen!$B$155</f>
        <v>6800</v>
      </c>
      <c r="S36" s="64" t="n">
        <f aca="false">R36+Annahmen!$B$154*Annahmen!$B$155</f>
        <v>7200</v>
      </c>
      <c r="T36" s="64" t="n">
        <f aca="false">S36+Annahmen!$B$154*Annahmen!$B$155</f>
        <v>7600</v>
      </c>
      <c r="U36" s="64" t="n">
        <f aca="false">T36+Annahmen!$B$154*Annahmen!$B$155</f>
        <v>8000</v>
      </c>
      <c r="V36" s="64" t="n">
        <f aca="false">U36+Annahmen!$B$154*Annahmen!$B$155</f>
        <v>8400</v>
      </c>
      <c r="W36" s="64" t="n">
        <f aca="false">V36+Annahmen!$B$154*Annahmen!$B$155</f>
        <v>8800</v>
      </c>
      <c r="X36" s="64" t="n">
        <f aca="false">W36+Annahmen!$B$154*Annahmen!$B$155</f>
        <v>9200</v>
      </c>
      <c r="Y36" s="64" t="n">
        <f aca="false">X36+Annahmen!$B$154*Annahmen!$B$155</f>
        <v>9600</v>
      </c>
      <c r="Z36" s="64" t="n">
        <f aca="false">Y36+Annahmen!$B$154*Annahmen!$B$155</f>
        <v>10000</v>
      </c>
      <c r="AA36" s="64" t="n">
        <f aca="false">Z36+Annahmen!$B$154*Annahmen!$B$155</f>
        <v>10400</v>
      </c>
      <c r="AB36" s="64" t="n">
        <f aca="false">AA36+Annahmen!$B$154*Annahmen!$B$155</f>
        <v>10800</v>
      </c>
      <c r="AC36" s="64" t="n">
        <f aca="false">AB36+Annahmen!$B$154*Annahmen!$B$155</f>
        <v>11200</v>
      </c>
      <c r="AD36" s="64" t="n">
        <f aca="false">AC36+Annahmen!$B$154*Annahmen!$B$155</f>
        <v>11600</v>
      </c>
      <c r="AE36" s="64" t="n">
        <f aca="false">AD36+Annahmen!$B$154*Annahmen!$B$155</f>
        <v>12000</v>
      </c>
      <c r="AF36" s="64" t="n">
        <f aca="false">AE36+Annahmen!$B$154*Annahmen!$B$155</f>
        <v>12400</v>
      </c>
      <c r="AG36" s="64" t="n">
        <f aca="false">AF36+Annahmen!$B$154*Annahmen!$B$155</f>
        <v>12800</v>
      </c>
      <c r="AH36" s="64" t="n">
        <f aca="false">AG36+Annahmen!$B$154*Annahmen!$B$155</f>
        <v>13200</v>
      </c>
      <c r="AI36" s="64" t="n">
        <f aca="false">AH36+Annahmen!$B$154*Annahmen!$B$155</f>
        <v>13600</v>
      </c>
      <c r="AJ36" s="64" t="n">
        <f aca="false">AI36+Annahmen!$B$154*Annahmen!$B$155</f>
        <v>14000</v>
      </c>
      <c r="AK36" s="64" t="n">
        <f aca="false">AJ36+Annahmen!$B$154*Annahmen!$B$155</f>
        <v>14400</v>
      </c>
    </row>
    <row r="37" customFormat="false" ht="16.5" hidden="false" customHeight="true" outlineLevel="0" collapsed="false">
      <c r="A37" s="14" t="s">
        <v>335</v>
      </c>
      <c r="B37" s="64" t="n">
        <f aca="false">Annahmen!$B$156*Annahmen!$B$155</f>
        <v>2200</v>
      </c>
      <c r="C37" s="64" t="n">
        <f aca="false">B37+Annahmen!$B$156*Annahmen!$B$155</f>
        <v>4400</v>
      </c>
      <c r="D37" s="64" t="n">
        <f aca="false">C37+Annahmen!$B$156*Annahmen!$B$155</f>
        <v>6600</v>
      </c>
      <c r="E37" s="64" t="n">
        <f aca="false">D37+Annahmen!$B$156*Annahmen!$B$155</f>
        <v>8800</v>
      </c>
      <c r="F37" s="64" t="n">
        <f aca="false">E37+Annahmen!$B$156*Annahmen!$B$155</f>
        <v>11000</v>
      </c>
      <c r="G37" s="64" t="n">
        <f aca="false">F37+Annahmen!$B$156*Annahmen!$B$155</f>
        <v>13200</v>
      </c>
      <c r="H37" s="64" t="n">
        <f aca="false">G37+Annahmen!$B$156*Annahmen!$B$155</f>
        <v>15400</v>
      </c>
      <c r="I37" s="64" t="n">
        <f aca="false">H37+Annahmen!$B$156*Annahmen!$B$155</f>
        <v>17600</v>
      </c>
      <c r="J37" s="64" t="n">
        <f aca="false">I37+Annahmen!$B$156*Annahmen!$B$155</f>
        <v>19800</v>
      </c>
      <c r="K37" s="64" t="n">
        <f aca="false">J37+Annahmen!$B$156*Annahmen!$B$155</f>
        <v>22000</v>
      </c>
      <c r="L37" s="64" t="n">
        <f aca="false">K37+Annahmen!$B$156*Annahmen!$B$155</f>
        <v>24200</v>
      </c>
      <c r="M37" s="64" t="n">
        <f aca="false">L37+Annahmen!$B$156*Annahmen!$B$155</f>
        <v>26400</v>
      </c>
      <c r="N37" s="64" t="n">
        <f aca="false">M37+Annahmen!$B$156*Annahmen!$B$155</f>
        <v>28600</v>
      </c>
      <c r="O37" s="64" t="n">
        <f aca="false">N37+Annahmen!$B$156*Annahmen!$B$155</f>
        <v>30800</v>
      </c>
      <c r="P37" s="64" t="n">
        <f aca="false">O37+Annahmen!$B$156*Annahmen!$B$155</f>
        <v>33000</v>
      </c>
      <c r="Q37" s="64" t="n">
        <f aca="false">P37+Annahmen!$B$156*Annahmen!$B$155</f>
        <v>35200</v>
      </c>
      <c r="R37" s="64" t="n">
        <f aca="false">Q37+Annahmen!$B$156*Annahmen!$B$155</f>
        <v>37400</v>
      </c>
      <c r="S37" s="64" t="n">
        <f aca="false">R37+Annahmen!$B$156*Annahmen!$B$155</f>
        <v>39600</v>
      </c>
      <c r="T37" s="64" t="n">
        <f aca="false">S37+Annahmen!$B$156*Annahmen!$B$155</f>
        <v>41800</v>
      </c>
      <c r="U37" s="64" t="n">
        <f aca="false">T37+Annahmen!$B$156*Annahmen!$B$155</f>
        <v>44000</v>
      </c>
      <c r="V37" s="64" t="n">
        <f aca="false">U37+Annahmen!$B$156*Annahmen!$B$155</f>
        <v>46200</v>
      </c>
      <c r="W37" s="64" t="n">
        <f aca="false">V37+Annahmen!$B$156*Annahmen!$B$155</f>
        <v>48400</v>
      </c>
      <c r="X37" s="64" t="n">
        <f aca="false">W37+Annahmen!$B$156*Annahmen!$B$155</f>
        <v>50600</v>
      </c>
      <c r="Y37" s="64" t="n">
        <f aca="false">X37+Annahmen!$B$156*Annahmen!$B$155</f>
        <v>52800</v>
      </c>
      <c r="Z37" s="64" t="n">
        <f aca="false">Y37+Annahmen!$B$156*Annahmen!$B$155</f>
        <v>55000</v>
      </c>
      <c r="AA37" s="64" t="n">
        <f aca="false">Z37+Annahmen!$B$156*Annahmen!$B$155</f>
        <v>57200</v>
      </c>
      <c r="AB37" s="64" t="n">
        <f aca="false">AA37+Annahmen!$B$156*Annahmen!$B$155</f>
        <v>59400</v>
      </c>
      <c r="AC37" s="64" t="n">
        <f aca="false">AB37+Annahmen!$B$156*Annahmen!$B$155</f>
        <v>61600</v>
      </c>
      <c r="AD37" s="64" t="n">
        <f aca="false">AC37+Annahmen!$B$156*Annahmen!$B$155</f>
        <v>63800</v>
      </c>
      <c r="AE37" s="64" t="n">
        <f aca="false">AD37+Annahmen!$B$156*Annahmen!$B$155</f>
        <v>66000</v>
      </c>
      <c r="AF37" s="64" t="n">
        <f aca="false">AE37+Annahmen!$B$156*Annahmen!$B$155</f>
        <v>68200</v>
      </c>
      <c r="AG37" s="64" t="n">
        <f aca="false">AF37+Annahmen!$B$156*Annahmen!$B$155</f>
        <v>70400</v>
      </c>
      <c r="AH37" s="64" t="n">
        <f aca="false">AG37+Annahmen!$B$156*Annahmen!$B$155</f>
        <v>72600</v>
      </c>
      <c r="AI37" s="64" t="n">
        <f aca="false">AH37+Annahmen!$B$156*Annahmen!$B$155</f>
        <v>74800</v>
      </c>
      <c r="AJ37" s="64" t="n">
        <f aca="false">AI37+Annahmen!$B$156*Annahmen!$B$155</f>
        <v>77000</v>
      </c>
      <c r="AK37" s="64" t="n">
        <f aca="false">AJ37+Annahmen!$B$156*Annahmen!$B$155</f>
        <v>79200</v>
      </c>
    </row>
    <row r="39" customFormat="false" ht="15" hidden="false" customHeight="true" outlineLevel="0" collapsed="false">
      <c r="A39" s="69" t="s">
        <v>336</v>
      </c>
    </row>
    <row r="40" customFormat="false" ht="21.75" hidden="false" customHeight="true" outlineLevel="0" collapsed="false">
      <c r="A40" s="10" t="s">
        <v>29</v>
      </c>
      <c r="B40" s="10" t="s">
        <v>337</v>
      </c>
      <c r="C40" s="10" t="s">
        <v>338</v>
      </c>
      <c r="D40" s="10" t="s">
        <v>339</v>
      </c>
      <c r="E40" s="10" t="s">
        <v>340</v>
      </c>
    </row>
    <row r="41" customFormat="false" ht="15" hidden="false" customHeight="true" outlineLevel="0" collapsed="false">
      <c r="A41" s="42" t="s">
        <v>341</v>
      </c>
      <c r="B41" s="70" t="n">
        <f aca="false">AVERAGE(B7:M7)</f>
        <v>1835.33593182435</v>
      </c>
      <c r="C41" s="70" t="n">
        <f aca="false">AVERAGE(N7:Y7)</f>
        <v>8696.75024886606</v>
      </c>
      <c r="D41" s="70" t="n">
        <f aca="false">AVERAGE(Z7:AK7)</f>
        <v>21514.8003981857</v>
      </c>
      <c r="E41" s="71" t="n">
        <f aca="false">AVERAGE(B7:AK7)</f>
        <v>10682.295526292</v>
      </c>
    </row>
    <row r="42" customFormat="false" ht="15" hidden="false" customHeight="true" outlineLevel="0" collapsed="false">
      <c r="A42" s="42" t="s">
        <v>342</v>
      </c>
      <c r="B42" s="70" t="n">
        <f aca="false">AVERAGE(B11:M11)</f>
        <v>0</v>
      </c>
      <c r="C42" s="70" t="n">
        <f aca="false">AVERAGE(N11:Y11)</f>
        <v>125.23178279991</v>
      </c>
      <c r="D42" s="70" t="n">
        <f aca="false">AVERAGE(Z11:AK11)</f>
        <v>473.325608760085</v>
      </c>
      <c r="E42" s="71" t="n">
        <f aca="false">AVERAGE(B11:AK11)</f>
        <v>199.519130519998</v>
      </c>
    </row>
    <row r="43" customFormat="false" ht="15" hidden="false" customHeight="true" outlineLevel="0" collapsed="false">
      <c r="A43" s="42" t="s">
        <v>320</v>
      </c>
      <c r="B43" s="72" t="n">
        <f aca="false">SUM(B19:M19)</f>
        <v>0</v>
      </c>
      <c r="C43" s="72" t="n">
        <f aca="false">SUM(N19:Y19)</f>
        <v>17270.1369203338</v>
      </c>
      <c r="D43" s="72" t="n">
        <f aca="false">SUM(Z19:AK19)</f>
        <v>59922.8282959108</v>
      </c>
      <c r="E43" s="54" t="n">
        <f aca="false">SUM(B19:AK19)</f>
        <v>77192.9652162446</v>
      </c>
    </row>
    <row r="44" customFormat="false" ht="15" hidden="false" customHeight="true" outlineLevel="0" collapsed="false">
      <c r="A44" s="42" t="s">
        <v>331</v>
      </c>
      <c r="B44" s="72" t="n">
        <f aca="false">SUM(B31:M31)</f>
        <v>90736.7049379537</v>
      </c>
      <c r="C44" s="72" t="n">
        <f aca="false">SUM(N31:Y31)</f>
        <v>42736.2394504092</v>
      </c>
      <c r="D44" s="72" t="n">
        <f aca="false">SUM(Z31:AK31)</f>
        <v>88937.2339277351</v>
      </c>
      <c r="E44" s="54" t="n">
        <f aca="false">SUM(B31:AK31)</f>
        <v>222410.178316098</v>
      </c>
    </row>
    <row r="45" customFormat="false" ht="15" hidden="false" customHeight="true" outlineLevel="0" collapsed="false">
      <c r="A45" s="42" t="s">
        <v>343</v>
      </c>
      <c r="B45" s="72" t="n">
        <f aca="false">SUM(B33:M33)</f>
        <v>-90736.7049379537</v>
      </c>
      <c r="C45" s="72" t="n">
        <f aca="false">SUM(N33:Y33)</f>
        <v>-25466.1025300753</v>
      </c>
      <c r="D45" s="72" t="n">
        <f aca="false">SUM(Z33:AK33)</f>
        <v>-29014.4056318243</v>
      </c>
      <c r="E45" s="54" t="n">
        <f aca="false">SUM(B33:AK33)</f>
        <v>-145217.213099853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37" min="2" style="1" width="11"/>
  </cols>
  <sheetData>
    <row r="1" customFormat="false" ht="19.5" hidden="false" customHeight="true" outlineLevel="0" collapsed="false">
      <c r="A1" s="2" t="s">
        <v>344</v>
      </c>
    </row>
    <row r="2" customFormat="false" ht="25.5" hidden="false" customHeight="true" outlineLevel="0" collapsed="false">
      <c r="A2" s="3" t="s">
        <v>270</v>
      </c>
    </row>
    <row r="4" customFormat="false" ht="21.75" hidden="false" customHeight="true" outlineLevel="0" collapsed="false">
      <c r="A4" s="10" t="s">
        <v>150</v>
      </c>
      <c r="B4" s="10" t="s">
        <v>271</v>
      </c>
      <c r="C4" s="10" t="s">
        <v>272</v>
      </c>
      <c r="D4" s="10" t="s">
        <v>273</v>
      </c>
      <c r="E4" s="10" t="s">
        <v>274</v>
      </c>
      <c r="F4" s="10" t="s">
        <v>275</v>
      </c>
      <c r="G4" s="10" t="s">
        <v>276</v>
      </c>
      <c r="H4" s="10" t="s">
        <v>277</v>
      </c>
      <c r="I4" s="10" t="s">
        <v>278</v>
      </c>
      <c r="J4" s="10" t="s">
        <v>279</v>
      </c>
      <c r="K4" s="10" t="s">
        <v>280</v>
      </c>
      <c r="L4" s="10" t="s">
        <v>281</v>
      </c>
      <c r="M4" s="10" t="s">
        <v>282</v>
      </c>
      <c r="N4" s="10" t="s">
        <v>283</v>
      </c>
      <c r="O4" s="10" t="s">
        <v>284</v>
      </c>
      <c r="P4" s="10" t="s">
        <v>285</v>
      </c>
      <c r="Q4" s="10" t="s">
        <v>286</v>
      </c>
      <c r="R4" s="10" t="s">
        <v>287</v>
      </c>
      <c r="S4" s="10" t="s">
        <v>288</v>
      </c>
      <c r="T4" s="10" t="s">
        <v>289</v>
      </c>
      <c r="U4" s="10" t="s">
        <v>290</v>
      </c>
      <c r="V4" s="10" t="s">
        <v>291</v>
      </c>
      <c r="W4" s="10" t="s">
        <v>292</v>
      </c>
      <c r="X4" s="10" t="s">
        <v>293</v>
      </c>
      <c r="Y4" s="10" t="s">
        <v>294</v>
      </c>
      <c r="Z4" s="10" t="s">
        <v>295</v>
      </c>
      <c r="AA4" s="10" t="s">
        <v>296</v>
      </c>
      <c r="AB4" s="10" t="s">
        <v>297</v>
      </c>
      <c r="AC4" s="10" t="s">
        <v>298</v>
      </c>
      <c r="AD4" s="10" t="s">
        <v>299</v>
      </c>
      <c r="AE4" s="10" t="s">
        <v>300</v>
      </c>
      <c r="AF4" s="10" t="s">
        <v>301</v>
      </c>
      <c r="AG4" s="10" t="s">
        <v>302</v>
      </c>
      <c r="AH4" s="10" t="s">
        <v>303</v>
      </c>
      <c r="AI4" s="10" t="s">
        <v>304</v>
      </c>
      <c r="AJ4" s="10" t="s">
        <v>305</v>
      </c>
      <c r="AK4" s="10" t="s">
        <v>306</v>
      </c>
    </row>
    <row r="5" customFormat="false" ht="16.5" hidden="false" customHeight="true" outlineLevel="0" collapsed="false">
      <c r="A5" s="14" t="s">
        <v>198</v>
      </c>
      <c r="B5" s="59" t="n">
        <v>1</v>
      </c>
      <c r="C5" s="59" t="n">
        <v>2</v>
      </c>
      <c r="D5" s="59" t="n">
        <v>3</v>
      </c>
      <c r="E5" s="59" t="n">
        <v>4</v>
      </c>
      <c r="F5" s="59" t="n">
        <v>5</v>
      </c>
      <c r="G5" s="59" t="n">
        <v>6</v>
      </c>
      <c r="H5" s="59" t="n">
        <v>7</v>
      </c>
      <c r="I5" s="59" t="n">
        <v>8</v>
      </c>
      <c r="J5" s="59" t="n">
        <v>9</v>
      </c>
      <c r="K5" s="59" t="n">
        <v>10</v>
      </c>
      <c r="L5" s="59" t="n">
        <v>11</v>
      </c>
      <c r="M5" s="59" t="n">
        <v>12</v>
      </c>
      <c r="N5" s="59" t="n">
        <v>13</v>
      </c>
      <c r="O5" s="59" t="n">
        <v>14</v>
      </c>
      <c r="P5" s="59" t="n">
        <v>15</v>
      </c>
      <c r="Q5" s="59" t="n">
        <v>16</v>
      </c>
      <c r="R5" s="59" t="n">
        <v>17</v>
      </c>
      <c r="S5" s="59" t="n">
        <v>18</v>
      </c>
      <c r="T5" s="59" t="n">
        <v>19</v>
      </c>
      <c r="U5" s="59" t="n">
        <v>20</v>
      </c>
      <c r="V5" s="59" t="n">
        <v>21</v>
      </c>
      <c r="W5" s="59" t="n">
        <v>22</v>
      </c>
      <c r="X5" s="59" t="n">
        <v>23</v>
      </c>
      <c r="Y5" s="59" t="n">
        <v>24</v>
      </c>
      <c r="Z5" s="59" t="n">
        <v>25</v>
      </c>
      <c r="AA5" s="59" t="n">
        <v>26</v>
      </c>
      <c r="AB5" s="59" t="n">
        <v>27</v>
      </c>
      <c r="AC5" s="59" t="n">
        <v>28</v>
      </c>
      <c r="AD5" s="59" t="n">
        <v>29</v>
      </c>
      <c r="AE5" s="59" t="n">
        <v>30</v>
      </c>
      <c r="AF5" s="59" t="n">
        <v>31</v>
      </c>
      <c r="AG5" s="59" t="n">
        <v>32</v>
      </c>
      <c r="AH5" s="59" t="n">
        <v>33</v>
      </c>
      <c r="AI5" s="59" t="n">
        <v>34</v>
      </c>
      <c r="AJ5" s="59" t="n">
        <v>35</v>
      </c>
      <c r="AK5" s="59" t="n">
        <v>36</v>
      </c>
    </row>
    <row r="6" customFormat="false" ht="16.5" hidden="false" customHeight="true" outlineLevel="0" collapsed="false">
      <c r="A6" s="14" t="s">
        <v>307</v>
      </c>
      <c r="B6" s="59" t="n">
        <f aca="false">ROUNDUP(B5/12,0)</f>
        <v>1</v>
      </c>
      <c r="C6" s="59" t="n">
        <f aca="false">ROUNDUP(C5/12,0)</f>
        <v>1</v>
      </c>
      <c r="D6" s="59" t="n">
        <f aca="false">ROUNDUP(D5/12,0)</f>
        <v>1</v>
      </c>
      <c r="E6" s="59" t="n">
        <f aca="false">ROUNDUP(E5/12,0)</f>
        <v>1</v>
      </c>
      <c r="F6" s="59" t="n">
        <f aca="false">ROUNDUP(F5/12,0)</f>
        <v>1</v>
      </c>
      <c r="G6" s="59" t="n">
        <f aca="false">ROUNDUP(G5/12,0)</f>
        <v>1</v>
      </c>
      <c r="H6" s="59" t="n">
        <f aca="false">ROUNDUP(H5/12,0)</f>
        <v>1</v>
      </c>
      <c r="I6" s="59" t="n">
        <f aca="false">ROUNDUP(I5/12,0)</f>
        <v>1</v>
      </c>
      <c r="J6" s="59" t="n">
        <f aca="false">ROUNDUP(J5/12,0)</f>
        <v>1</v>
      </c>
      <c r="K6" s="59" t="n">
        <f aca="false">ROUNDUP(K5/12,0)</f>
        <v>1</v>
      </c>
      <c r="L6" s="59" t="n">
        <f aca="false">ROUNDUP(L5/12,0)</f>
        <v>1</v>
      </c>
      <c r="M6" s="59" t="n">
        <f aca="false">ROUNDUP(M5/12,0)</f>
        <v>1</v>
      </c>
      <c r="N6" s="59" t="n">
        <f aca="false">ROUNDUP(N5/12,0)</f>
        <v>2</v>
      </c>
      <c r="O6" s="59" t="n">
        <f aca="false">ROUNDUP(O5/12,0)</f>
        <v>2</v>
      </c>
      <c r="P6" s="59" t="n">
        <f aca="false">ROUNDUP(P5/12,0)</f>
        <v>2</v>
      </c>
      <c r="Q6" s="59" t="n">
        <f aca="false">ROUNDUP(Q5/12,0)</f>
        <v>2</v>
      </c>
      <c r="R6" s="59" t="n">
        <f aca="false">ROUNDUP(R5/12,0)</f>
        <v>2</v>
      </c>
      <c r="S6" s="59" t="n">
        <f aca="false">ROUNDUP(S5/12,0)</f>
        <v>2</v>
      </c>
      <c r="T6" s="59" t="n">
        <f aca="false">ROUNDUP(T5/12,0)</f>
        <v>2</v>
      </c>
      <c r="U6" s="59" t="n">
        <f aca="false">ROUNDUP(U5/12,0)</f>
        <v>2</v>
      </c>
      <c r="V6" s="59" t="n">
        <f aca="false">ROUNDUP(V5/12,0)</f>
        <v>2</v>
      </c>
      <c r="W6" s="59" t="n">
        <f aca="false">ROUNDUP(W5/12,0)</f>
        <v>2</v>
      </c>
      <c r="X6" s="59" t="n">
        <f aca="false">ROUNDUP(X5/12,0)</f>
        <v>2</v>
      </c>
      <c r="Y6" s="59" t="n">
        <f aca="false">ROUNDUP(Y5/12,0)</f>
        <v>2</v>
      </c>
      <c r="Z6" s="59" t="n">
        <f aca="false">ROUNDUP(Z5/12,0)</f>
        <v>3</v>
      </c>
      <c r="AA6" s="59" t="n">
        <f aca="false">ROUNDUP(AA5/12,0)</f>
        <v>3</v>
      </c>
      <c r="AB6" s="59" t="n">
        <f aca="false">ROUNDUP(AB5/12,0)</f>
        <v>3</v>
      </c>
      <c r="AC6" s="59" t="n">
        <f aca="false">ROUNDUP(AC5/12,0)</f>
        <v>3</v>
      </c>
      <c r="AD6" s="59" t="n">
        <f aca="false">ROUNDUP(AD5/12,0)</f>
        <v>3</v>
      </c>
      <c r="AE6" s="59" t="n">
        <f aca="false">ROUNDUP(AE5/12,0)</f>
        <v>3</v>
      </c>
      <c r="AF6" s="59" t="n">
        <f aca="false">ROUNDUP(AF5/12,0)</f>
        <v>3</v>
      </c>
      <c r="AG6" s="59" t="n">
        <f aca="false">ROUNDUP(AG5/12,0)</f>
        <v>3</v>
      </c>
      <c r="AH6" s="59" t="n">
        <f aca="false">ROUNDUP(AH5/12,0)</f>
        <v>3</v>
      </c>
      <c r="AI6" s="59" t="n">
        <f aca="false">ROUNDUP(AI5/12,0)</f>
        <v>3</v>
      </c>
      <c r="AJ6" s="59" t="n">
        <f aca="false">ROUNDUP(AJ5/12,0)</f>
        <v>3</v>
      </c>
      <c r="AK6" s="59" t="n">
        <f aca="false">ROUNDUP(AK5/12,0)</f>
        <v>3</v>
      </c>
    </row>
    <row r="7" customFormat="false" ht="16.5" hidden="false" customHeight="true" outlineLevel="0" collapsed="false">
      <c r="A7" s="27" t="s">
        <v>308</v>
      </c>
      <c r="B7" s="60" t="n">
        <f aca="false">IF(B5&lt;Annahmen!$C$9,0,IF(B5&lt;=12,Annahmen!$C$6*((B5-Annahmen!$C$9+1)/(12-Annahmen!$C$9+1))^Annahmen!$C$10,IF(B5&lt;=24,Annahmen!$C$6+(Annahmen!$C$7-Annahmen!$C$6)*((B5-12)/12)^Annahmen!$C$11,Annahmen!$C$7+(Annahmen!$C$8-Annahmen!$C$7)*((B5-24)/12)^Annahmen!$C$11)))</f>
        <v>0</v>
      </c>
      <c r="C7" s="60" t="n">
        <f aca="false">IF(C5&lt;Annahmen!$C$9,0,IF(C5&lt;=12,Annahmen!$C$6*((C5-Annahmen!$C$9+1)/(12-Annahmen!$C$9+1))^Annahmen!$C$10,IF(C5&lt;=24,Annahmen!$C$6+(Annahmen!$C$7-Annahmen!$C$6)*((C5-12)/12)^Annahmen!$C$11,Annahmen!$C$7+(Annahmen!$C$8-Annahmen!$C$7)*((C5-24)/12)^Annahmen!$C$11)))</f>
        <v>274.119138262654</v>
      </c>
      <c r="D7" s="60" t="n">
        <f aca="false">IF(D5&lt;Annahmen!$C$9,0,IF(D5&lt;=12,Annahmen!$C$6*((D5-Annahmen!$C$9+1)/(12-Annahmen!$C$9+1))^Annahmen!$C$10,IF(D5&lt;=24,Annahmen!$C$6+(Annahmen!$C$7-Annahmen!$C$6)*((D5-12)/12)^Annahmen!$C$11,Annahmen!$C$7+(Annahmen!$C$8-Annahmen!$C$7)*((D5-24)/12)^Annahmen!$C$11)))</f>
        <v>713.445415997731</v>
      </c>
      <c r="E7" s="60" t="n">
        <f aca="false">IF(E5&lt;Annahmen!$C$9,0,IF(E5&lt;=12,Annahmen!$C$6*((E5-Annahmen!$C$9+1)/(12-Annahmen!$C$9+1))^Annahmen!$C$10,IF(E5&lt;=24,Annahmen!$C$6+(Annahmen!$C$7-Annahmen!$C$6)*((E5-12)/12)^Annahmen!$C$11,Annahmen!$C$7+(Annahmen!$C$8-Annahmen!$C$7)*((E5-24)/12)^Annahmen!$C$11)))</f>
        <v>1248.43716670462</v>
      </c>
      <c r="F7" s="60" t="n">
        <f aca="false">IF(F5&lt;Annahmen!$C$9,0,IF(F5&lt;=12,Annahmen!$C$6*((F5-Annahmen!$C$9+1)/(12-Annahmen!$C$9+1))^Annahmen!$C$10,IF(F5&lt;=24,Annahmen!$C$6+(Annahmen!$C$7-Annahmen!$C$6)*((F5-12)/12)^Annahmen!$C$11,Annahmen!$C$7+(Annahmen!$C$8-Annahmen!$C$7)*((F5-24)/12)^Annahmen!$C$11)))</f>
        <v>1856.87276282206</v>
      </c>
      <c r="G7" s="60" t="n">
        <f aca="false">IF(G5&lt;Annahmen!$C$9,0,IF(G5&lt;=12,Annahmen!$C$6*((G5-Annahmen!$C$9+1)/(12-Annahmen!$C$9+1))^Annahmen!$C$10,IF(G5&lt;=24,Annahmen!$C$6+(Annahmen!$C$7-Annahmen!$C$6)*((G5-12)/12)^Annahmen!$C$11,Annahmen!$C$7+(Annahmen!$C$8-Annahmen!$C$7)*((G5-24)/12)^Annahmen!$C$11)))</f>
        <v>2526.49221204985</v>
      </c>
      <c r="H7" s="60" t="n">
        <f aca="false">IF(H5&lt;Annahmen!$C$9,0,IF(H5&lt;=12,Annahmen!$C$6*((H5-Annahmen!$C$9+1)/(12-Annahmen!$C$9+1))^Annahmen!$C$10,IF(H5&lt;=24,Annahmen!$C$6+(Annahmen!$C$7-Annahmen!$C$6)*((H5-12)/12)^Annahmen!$C$11,Annahmen!$C$7+(Annahmen!$C$8-Annahmen!$C$7)*((H5-24)/12)^Annahmen!$C$11)))</f>
        <v>3249.28707784412</v>
      </c>
      <c r="I7" s="60" t="n">
        <f aca="false">IF(I5&lt;Annahmen!$C$9,0,IF(I5&lt;=12,Annahmen!$C$6*((I5-Annahmen!$C$9+1)/(12-Annahmen!$C$9+1))^Annahmen!$C$10,IF(I5&lt;=24,Annahmen!$C$6+(Annahmen!$C$7-Annahmen!$C$6)*((I5-12)/12)^Annahmen!$C$11,Annahmen!$C$7+(Annahmen!$C$8-Annahmen!$C$7)*((I5-24)/12)^Annahmen!$C$11)))</f>
        <v>4019.52424968034</v>
      </c>
      <c r="J7" s="60" t="n">
        <f aca="false">IF(J5&lt;Annahmen!$C$9,0,IF(J5&lt;=12,Annahmen!$C$6*((J5-Annahmen!$C$9+1)/(12-Annahmen!$C$9+1))^Annahmen!$C$10,IF(J5&lt;=24,Annahmen!$C$6+(Annahmen!$C$7-Annahmen!$C$6)*((J5-12)/12)^Annahmen!$C$11,Annahmen!$C$7+(Annahmen!$C$8-Annahmen!$C$7)*((J5-24)/12)^Annahmen!$C$11)))</f>
        <v>4832.85249298089</v>
      </c>
      <c r="K7" s="60" t="n">
        <f aca="false">IF(K5&lt;Annahmen!$C$9,0,IF(K5&lt;=12,Annahmen!$C$6*((K5-Annahmen!$C$9+1)/(12-Annahmen!$C$9+1))^Annahmen!$C$10,IF(K5&lt;=24,Annahmen!$C$6+(Annahmen!$C$7-Annahmen!$C$6)*((K5-12)/12)^Annahmen!$C$11,Annahmen!$C$7+(Annahmen!$C$8-Annahmen!$C$7)*((K5-24)/12)^Annahmen!$C$11)))</f>
        <v>5685.83196739826</v>
      </c>
      <c r="L7" s="60" t="n">
        <f aca="false">IF(L5&lt;Annahmen!$C$9,0,IF(L5&lt;=12,Annahmen!$C$6*((L5-Annahmen!$C$9+1)/(12-Annahmen!$C$9+1))^Annahmen!$C$10,IF(L5&lt;=24,Annahmen!$C$6+(Annahmen!$C$7-Annahmen!$C$6)*((L5-12)/12)^Annahmen!$C$11,Annahmen!$C$7+(Annahmen!$C$8-Annahmen!$C$7)*((L5-24)/12)^Annahmen!$C$11)))</f>
        <v>6575.66012597708</v>
      </c>
      <c r="M7" s="60" t="n">
        <f aca="false">IF(M5&lt;Annahmen!$C$9,0,IF(M5&lt;=12,Annahmen!$C$6*((M5-Annahmen!$C$9+1)/(12-Annahmen!$C$9+1))^Annahmen!$C$10,IF(M5&lt;=24,Annahmen!$C$6+(Annahmen!$C$7-Annahmen!$C$6)*((M5-12)/12)^Annahmen!$C$11,Annahmen!$C$7+(Annahmen!$C$8-Annahmen!$C$7)*((M5-24)/12)^Annahmen!$C$11)))</f>
        <v>7500</v>
      </c>
      <c r="N7" s="60" t="n">
        <f aca="false">IF(N5&lt;Annahmen!$C$9,0,IF(N5&lt;=12,Annahmen!$C$6*((N5-Annahmen!$C$9+1)/(12-Annahmen!$C$9+1))^Annahmen!$C$10,IF(N5&lt;=24,Annahmen!$C$6+(Annahmen!$C$7-Annahmen!$C$6)*((N5-12)/12)^Annahmen!$C$11,Annahmen!$C$7+(Annahmen!$C$8-Annahmen!$C$7)*((N5-24)/12)^Annahmen!$C$11)))</f>
        <v>8185.69652616326</v>
      </c>
      <c r="O7" s="60" t="n">
        <f aca="false">IF(O5&lt;Annahmen!$C$9,0,IF(O5&lt;=12,Annahmen!$C$6*((O5-Annahmen!$C$9+1)/(12-Annahmen!$C$9+1))^Annahmen!$C$10,IF(O5&lt;=24,Annahmen!$C$6+(Annahmen!$C$7-Annahmen!$C$6)*((O5-12)/12)^Annahmen!$C$11,Annahmen!$C$7+(Annahmen!$C$8-Annahmen!$C$7)*((O5-24)/12)^Annahmen!$C$11)))</f>
        <v>9165.13842862977</v>
      </c>
      <c r="P7" s="60" t="n">
        <f aca="false">IF(P5&lt;Annahmen!$C$9,0,IF(P5&lt;=12,Annahmen!$C$6*((P5-Annahmen!$C$9+1)/(12-Annahmen!$C$9+1))^Annahmen!$C$10,IF(P5&lt;=24,Annahmen!$C$6+(Annahmen!$C$7-Annahmen!$C$6)*((P5-12)/12)^Annahmen!$C$11,Annahmen!$C$7+(Annahmen!$C$8-Annahmen!$C$7)*((P5-24)/12)^Annahmen!$C$11)))</f>
        <v>10297.9964253608</v>
      </c>
      <c r="Q7" s="60" t="n">
        <f aca="false">IF(Q5&lt;Annahmen!$C$9,0,IF(Q5&lt;=12,Annahmen!$C$6*((Q5-Annahmen!$C$9+1)/(12-Annahmen!$C$9+1))^Annahmen!$C$10,IF(Q5&lt;=24,Annahmen!$C$6+(Annahmen!$C$7-Annahmen!$C$6)*((Q5-12)/12)^Annahmen!$C$11,Annahmen!$C$7+(Annahmen!$C$8-Annahmen!$C$7)*((Q5-24)/12)^Annahmen!$C$11)))</f>
        <v>11543.6051237038</v>
      </c>
      <c r="R7" s="60" t="n">
        <f aca="false">IF(R5&lt;Annahmen!$C$9,0,IF(R5&lt;=12,Annahmen!$C$6*((R5-Annahmen!$C$9+1)/(12-Annahmen!$C$9+1))^Annahmen!$C$10,IF(R5&lt;=24,Annahmen!$C$6+(Annahmen!$C$7-Annahmen!$C$6)*((R5-12)/12)^Annahmen!$C$11,Annahmen!$C$7+(Annahmen!$C$8-Annahmen!$C$7)*((R5-24)/12)^Annahmen!$C$11)))</f>
        <v>12880.387497263</v>
      </c>
      <c r="S7" s="60" t="n">
        <f aca="false">IF(S5&lt;Annahmen!$C$9,0,IF(S5&lt;=12,Annahmen!$C$6*((S5-Annahmen!$C$9+1)/(12-Annahmen!$C$9+1))^Annahmen!$C$10,IF(S5&lt;=24,Annahmen!$C$6+(Annahmen!$C$7-Annahmen!$C$6)*((S5-12)/12)^Annahmen!$C$11,Annahmen!$C$7+(Annahmen!$C$8-Annahmen!$C$7)*((S5-24)/12)^Annahmen!$C$11)))</f>
        <v>14294.6258924575</v>
      </c>
      <c r="T7" s="60" t="n">
        <f aca="false">IF(T5&lt;Annahmen!$C$9,0,IF(T5&lt;=12,Annahmen!$C$6*((T5-Annahmen!$C$9+1)/(12-Annahmen!$C$9+1))^Annahmen!$C$10,IF(T5&lt;=24,Annahmen!$C$6+(Annahmen!$C$7-Annahmen!$C$6)*((T5-12)/12)^Annahmen!$C$11,Annahmen!$C$7+(Annahmen!$C$8-Annahmen!$C$7)*((T5-24)/12)^Annahmen!$C$11)))</f>
        <v>15776.7043182751</v>
      </c>
      <c r="U7" s="60" t="n">
        <f aca="false">IF(U5&lt;Annahmen!$C$9,0,IF(U5&lt;=12,Annahmen!$C$6*((U5-Annahmen!$C$9+1)/(12-Annahmen!$C$9+1))^Annahmen!$C$10,IF(U5&lt;=24,Annahmen!$C$6+(Annahmen!$C$7-Annahmen!$C$6)*((U5-12)/12)^Annahmen!$C$11,Annahmen!$C$7+(Annahmen!$C$8-Annahmen!$C$7)*((U5-24)/12)^Annahmen!$C$11)))</f>
        <v>17319.4493114294</v>
      </c>
      <c r="V7" s="60" t="n">
        <f aca="false">IF(V5&lt;Annahmen!$C$9,0,IF(V5&lt;=12,Annahmen!$C$6*((V5-Annahmen!$C$9+1)/(12-Annahmen!$C$9+1))^Annahmen!$C$10,IF(V5&lt;=24,Annahmen!$C$6+(Annahmen!$C$7-Annahmen!$C$6)*((V5-12)/12)^Annahmen!$C$11,Annahmen!$C$7+(Annahmen!$C$8-Annahmen!$C$7)*((V5-24)/12)^Annahmen!$C$11)))</f>
        <v>18917.272361196</v>
      </c>
      <c r="W7" s="60" t="n">
        <f aca="false">IF(W5&lt;Annahmen!$C$9,0,IF(W5&lt;=12,Annahmen!$C$6*((W5-Annahmen!$C$9+1)/(12-Annahmen!$C$9+1))^Annahmen!$C$10,IF(W5&lt;=24,Annahmen!$C$6+(Annahmen!$C$7-Annahmen!$C$6)*((W5-12)/12)^Annahmen!$C$11,Annahmen!$C$7+(Annahmen!$C$8-Annahmen!$C$7)*((W5-24)/12)^Annahmen!$C$11)))</f>
        <v>20565.6779504795</v>
      </c>
      <c r="X7" s="60" t="n">
        <f aca="false">IF(X5&lt;Annahmen!$C$9,0,IF(X5&lt;=12,Annahmen!$C$6*((X5-Annahmen!$C$9+1)/(12-Annahmen!$C$9+1))^Annahmen!$C$10,IF(X5&lt;=24,Annahmen!$C$6+(Annahmen!$C$7-Annahmen!$C$6)*((X5-12)/12)^Annahmen!$C$11,Annahmen!$C$7+(Annahmen!$C$8-Annahmen!$C$7)*((X5-24)/12)^Annahmen!$C$11)))</f>
        <v>22260.9594191876</v>
      </c>
      <c r="Y7" s="60" t="n">
        <f aca="false">IF(Y5&lt;Annahmen!$C$9,0,IF(Y5&lt;=12,Annahmen!$C$6*((Y5-Annahmen!$C$9+1)/(12-Annahmen!$C$9+1))^Annahmen!$C$10,IF(Y5&lt;=24,Annahmen!$C$6+(Annahmen!$C$7-Annahmen!$C$6)*((Y5-12)/12)^Annahmen!$C$11,Annahmen!$C$7+(Annahmen!$C$8-Annahmen!$C$7)*((Y5-24)/12)^Annahmen!$C$11)))</f>
        <v>24000</v>
      </c>
      <c r="Z7" s="60" t="n">
        <f aca="false">IF(Z5&lt;Annahmen!$C$9,0,IF(Z5&lt;=12,Annahmen!$C$6*((Z5-Annahmen!$C$9+1)/(12-Annahmen!$C$9+1))^Annahmen!$C$10,IF(Z5&lt;=24,Annahmen!$C$6+(Annahmen!$C$7-Annahmen!$C$6)*((Z5-12)/12)^Annahmen!$C$11,Annahmen!$C$7+(Annahmen!$C$8-Annahmen!$C$7)*((Z5-24)/12)^Annahmen!$C$11)))</f>
        <v>25579.1798784366</v>
      </c>
      <c r="AA7" s="60" t="n">
        <f aca="false">IF(AA5&lt;Annahmen!$C$9,0,IF(AA5&lt;=12,Annahmen!$C$6*((AA5-Annahmen!$C$9+1)/(12-Annahmen!$C$9+1))^Annahmen!$C$10,IF(AA5&lt;=24,Annahmen!$C$6+(Annahmen!$C$7-Annahmen!$C$6)*((AA5-12)/12)^Annahmen!$C$11,Annahmen!$C$7+(Annahmen!$C$8-Annahmen!$C$7)*((AA5-24)/12)^Annahmen!$C$11)))</f>
        <v>27834.8642598746</v>
      </c>
      <c r="AB7" s="60" t="n">
        <f aca="false">IF(AB5&lt;Annahmen!$C$9,0,IF(AB5&lt;=12,Annahmen!$C$6*((AB5-Annahmen!$C$9+1)/(12-Annahmen!$C$9+1))^Annahmen!$C$10,IF(AB5&lt;=24,Annahmen!$C$6+(Annahmen!$C$7-Annahmen!$C$6)*((AB5-12)/12)^Annahmen!$C$11,Annahmen!$C$7+(Annahmen!$C$8-Annahmen!$C$7)*((AB5-24)/12)^Annahmen!$C$11)))</f>
        <v>30443.8705553764</v>
      </c>
      <c r="AC7" s="60" t="n">
        <f aca="false">IF(AC5&lt;Annahmen!$C$9,0,IF(AC5&lt;=12,Annahmen!$C$6*((AC5-Annahmen!$C$9+1)/(12-Annahmen!$C$9+1))^Annahmen!$C$10,IF(AC5&lt;=24,Annahmen!$C$6+(Annahmen!$C$7-Annahmen!$C$6)*((AC5-12)/12)^Annahmen!$C$11,Annahmen!$C$7+(Annahmen!$C$8-Annahmen!$C$7)*((AC5-24)/12)^Annahmen!$C$11)))</f>
        <v>33312.5451333783</v>
      </c>
      <c r="AD7" s="60" t="n">
        <f aca="false">IF(AD5&lt;Annahmen!$C$9,0,IF(AD5&lt;=12,Annahmen!$C$6*((AD5-Annahmen!$C$9+1)/(12-Annahmen!$C$9+1))^Annahmen!$C$10,IF(AD5&lt;=24,Annahmen!$C$6+(Annahmen!$C$7-Annahmen!$C$6)*((AD5-12)/12)^Annahmen!$C$11,Annahmen!$C$7+(Annahmen!$C$8-Annahmen!$C$7)*((AD5-24)/12)^Annahmen!$C$11)))</f>
        <v>36391.195448242</v>
      </c>
      <c r="AE7" s="60" t="n">
        <f aca="false">IF(AE5&lt;Annahmen!$C$9,0,IF(AE5&lt;=12,Annahmen!$C$6*((AE5-Annahmen!$C$9+1)/(12-Annahmen!$C$9+1))^Annahmen!$C$10,IF(AE5&lt;=24,Annahmen!$C$6+(Annahmen!$C$7-Annahmen!$C$6)*((AE5-12)/12)^Annahmen!$C$11,Annahmen!$C$7+(Annahmen!$C$8-Annahmen!$C$7)*((AE5-24)/12)^Annahmen!$C$11)))</f>
        <v>39648.2293280839</v>
      </c>
      <c r="AF7" s="60" t="n">
        <f aca="false">IF(AF5&lt;Annahmen!$C$9,0,IF(AF5&lt;=12,Annahmen!$C$6*((AF5-Annahmen!$C$9+1)/(12-Annahmen!$C$9+1))^Annahmen!$C$10,IF(AF5&lt;=24,Annahmen!$C$6+(Annahmen!$C$7-Annahmen!$C$6)*((AF5-12)/12)^Annahmen!$C$11,Annahmen!$C$7+(Annahmen!$C$8-Annahmen!$C$7)*((AF5-24)/12)^Annahmen!$C$11)))</f>
        <v>43061.5008542093</v>
      </c>
      <c r="AG7" s="60" t="n">
        <f aca="false">IF(AG5&lt;Annahmen!$C$9,0,IF(AG5&lt;=12,Annahmen!$C$6*((AG5-Annahmen!$C$9+1)/(12-Annahmen!$C$9+1))^Annahmen!$C$10,IF(AG5&lt;=24,Annahmen!$C$6+(Annahmen!$C$7-Annahmen!$C$6)*((AG5-12)/12)^Annahmen!$C$11,Annahmen!$C$7+(Annahmen!$C$8-Annahmen!$C$7)*((AG5-24)/12)^Annahmen!$C$11)))</f>
        <v>46614.489323292</v>
      </c>
      <c r="AH7" s="60" t="n">
        <f aca="false">IF(AH5&lt;Annahmen!$C$9,0,IF(AH5&lt;=12,Annahmen!$C$6*((AH5-Annahmen!$C$9+1)/(12-Annahmen!$C$9+1))^Annahmen!$C$10,IF(AH5&lt;=24,Annahmen!$C$6+(Annahmen!$C$7-Annahmen!$C$6)*((AH5-12)/12)^Annahmen!$C$11,Annahmen!$C$7+(Annahmen!$C$8-Annahmen!$C$7)*((AH5-24)/12)^Annahmen!$C$11)))</f>
        <v>50294.3242257848</v>
      </c>
      <c r="AI7" s="60" t="n">
        <f aca="false">IF(AI5&lt;Annahmen!$C$9,0,IF(AI5&lt;=12,Annahmen!$C$6*((AI5-Annahmen!$C$9+1)/(12-Annahmen!$C$9+1))^Annahmen!$C$10,IF(AI5&lt;=24,Annahmen!$C$6+(Annahmen!$C$7-Annahmen!$C$6)*((AI5-12)/12)^Annahmen!$C$11,Annahmen!$C$7+(Annahmen!$C$8-Annahmen!$C$7)*((AI5-24)/12)^Annahmen!$C$11)))</f>
        <v>54090.6522495892</v>
      </c>
      <c r="AJ7" s="60" t="n">
        <f aca="false">IF(AJ5&lt;Annahmen!$C$9,0,IF(AJ5&lt;=12,Annahmen!$C$6*((AJ5-Annahmen!$C$9+1)/(12-Annahmen!$C$9+1))^Annahmen!$C$10,IF(AJ5&lt;=24,Annahmen!$C$6+(Annahmen!$C$7-Annahmen!$C$6)*((AJ5-12)/12)^Annahmen!$C$11,Annahmen!$C$7+(Annahmen!$C$8-Annahmen!$C$7)*((AJ5-24)/12)^Annahmen!$C$11)))</f>
        <v>57994.9368441897</v>
      </c>
      <c r="AK7" s="60" t="n">
        <f aca="false">IF(AK5&lt;Annahmen!$C$9,0,IF(AK5&lt;=12,Annahmen!$C$6*((AK5-Annahmen!$C$9+1)/(12-Annahmen!$C$9+1))^Annahmen!$C$10,IF(AK5&lt;=24,Annahmen!$C$6+(Annahmen!$C$7-Annahmen!$C$6)*((AK5-12)/12)^Annahmen!$C$11,Annahmen!$C$7+(Annahmen!$C$8-Annahmen!$C$7)*((AK5-24)/12)^Annahmen!$C$11)))</f>
        <v>62000</v>
      </c>
    </row>
    <row r="8" customFormat="false" ht="16.5" hidden="false" customHeight="true" outlineLevel="0" collapsed="false">
      <c r="A8" s="14" t="s">
        <v>309</v>
      </c>
      <c r="B8" s="60" t="n">
        <f aca="false">IF(B5&lt;=12,Annahmen!$C$12,IF(B5&lt;=24,Annahmen!$C$13,Annahmen!$C$14))</f>
        <v>1</v>
      </c>
      <c r="C8" s="60" t="n">
        <f aca="false">IF(C5&lt;=12,Annahmen!$C$12,IF(C5&lt;=24,Annahmen!$C$13,Annahmen!$C$14))</f>
        <v>1</v>
      </c>
      <c r="D8" s="60" t="n">
        <f aca="false">IF(D5&lt;=12,Annahmen!$C$12,IF(D5&lt;=24,Annahmen!$C$13,Annahmen!$C$14))</f>
        <v>1</v>
      </c>
      <c r="E8" s="60" t="n">
        <f aca="false">IF(E5&lt;=12,Annahmen!$C$12,IF(E5&lt;=24,Annahmen!$C$13,Annahmen!$C$14))</f>
        <v>1</v>
      </c>
      <c r="F8" s="60" t="n">
        <f aca="false">IF(F5&lt;=12,Annahmen!$C$12,IF(F5&lt;=24,Annahmen!$C$13,Annahmen!$C$14))</f>
        <v>1</v>
      </c>
      <c r="G8" s="60" t="n">
        <f aca="false">IF(G5&lt;=12,Annahmen!$C$12,IF(G5&lt;=24,Annahmen!$C$13,Annahmen!$C$14))</f>
        <v>1</v>
      </c>
      <c r="H8" s="60" t="n">
        <f aca="false">IF(H5&lt;=12,Annahmen!$C$12,IF(H5&lt;=24,Annahmen!$C$13,Annahmen!$C$14))</f>
        <v>1</v>
      </c>
      <c r="I8" s="60" t="n">
        <f aca="false">IF(I5&lt;=12,Annahmen!$C$12,IF(I5&lt;=24,Annahmen!$C$13,Annahmen!$C$14))</f>
        <v>1</v>
      </c>
      <c r="J8" s="60" t="n">
        <f aca="false">IF(J5&lt;=12,Annahmen!$C$12,IF(J5&lt;=24,Annahmen!$C$13,Annahmen!$C$14))</f>
        <v>1</v>
      </c>
      <c r="K8" s="60" t="n">
        <f aca="false">IF(K5&lt;=12,Annahmen!$C$12,IF(K5&lt;=24,Annahmen!$C$13,Annahmen!$C$14))</f>
        <v>1</v>
      </c>
      <c r="L8" s="60" t="n">
        <f aca="false">IF(L5&lt;=12,Annahmen!$C$12,IF(L5&lt;=24,Annahmen!$C$13,Annahmen!$C$14))</f>
        <v>1</v>
      </c>
      <c r="M8" s="60" t="n">
        <f aca="false">IF(M5&lt;=12,Annahmen!$C$12,IF(M5&lt;=24,Annahmen!$C$13,Annahmen!$C$14))</f>
        <v>1</v>
      </c>
      <c r="N8" s="60" t="n">
        <f aca="false">IF(N5&lt;=12,Annahmen!$C$12,IF(N5&lt;=24,Annahmen!$C$13,Annahmen!$C$14))</f>
        <v>2</v>
      </c>
      <c r="O8" s="60" t="n">
        <f aca="false">IF(O5&lt;=12,Annahmen!$C$12,IF(O5&lt;=24,Annahmen!$C$13,Annahmen!$C$14))</f>
        <v>2</v>
      </c>
      <c r="P8" s="60" t="n">
        <f aca="false">IF(P5&lt;=12,Annahmen!$C$12,IF(P5&lt;=24,Annahmen!$C$13,Annahmen!$C$14))</f>
        <v>2</v>
      </c>
      <c r="Q8" s="60" t="n">
        <f aca="false">IF(Q5&lt;=12,Annahmen!$C$12,IF(Q5&lt;=24,Annahmen!$C$13,Annahmen!$C$14))</f>
        <v>2</v>
      </c>
      <c r="R8" s="60" t="n">
        <f aca="false">IF(R5&lt;=12,Annahmen!$C$12,IF(R5&lt;=24,Annahmen!$C$13,Annahmen!$C$14))</f>
        <v>2</v>
      </c>
      <c r="S8" s="60" t="n">
        <f aca="false">IF(S5&lt;=12,Annahmen!$C$12,IF(S5&lt;=24,Annahmen!$C$13,Annahmen!$C$14))</f>
        <v>2</v>
      </c>
      <c r="T8" s="60" t="n">
        <f aca="false">IF(T5&lt;=12,Annahmen!$C$12,IF(T5&lt;=24,Annahmen!$C$13,Annahmen!$C$14))</f>
        <v>2</v>
      </c>
      <c r="U8" s="60" t="n">
        <f aca="false">IF(U5&lt;=12,Annahmen!$C$12,IF(U5&lt;=24,Annahmen!$C$13,Annahmen!$C$14))</f>
        <v>2</v>
      </c>
      <c r="V8" s="60" t="n">
        <f aca="false">IF(V5&lt;=12,Annahmen!$C$12,IF(V5&lt;=24,Annahmen!$C$13,Annahmen!$C$14))</f>
        <v>2</v>
      </c>
      <c r="W8" s="60" t="n">
        <f aca="false">IF(W5&lt;=12,Annahmen!$C$12,IF(W5&lt;=24,Annahmen!$C$13,Annahmen!$C$14))</f>
        <v>2</v>
      </c>
      <c r="X8" s="60" t="n">
        <f aca="false">IF(X5&lt;=12,Annahmen!$C$12,IF(X5&lt;=24,Annahmen!$C$13,Annahmen!$C$14))</f>
        <v>2</v>
      </c>
      <c r="Y8" s="60" t="n">
        <f aca="false">IF(Y5&lt;=12,Annahmen!$C$12,IF(Y5&lt;=24,Annahmen!$C$13,Annahmen!$C$14))</f>
        <v>2</v>
      </c>
      <c r="Z8" s="60" t="n">
        <f aca="false">IF(Z5&lt;=12,Annahmen!$C$12,IF(Z5&lt;=24,Annahmen!$C$13,Annahmen!$C$14))</f>
        <v>4</v>
      </c>
      <c r="AA8" s="60" t="n">
        <f aca="false">IF(AA5&lt;=12,Annahmen!$C$12,IF(AA5&lt;=24,Annahmen!$C$13,Annahmen!$C$14))</f>
        <v>4</v>
      </c>
      <c r="AB8" s="60" t="n">
        <f aca="false">IF(AB5&lt;=12,Annahmen!$C$12,IF(AB5&lt;=24,Annahmen!$C$13,Annahmen!$C$14))</f>
        <v>4</v>
      </c>
      <c r="AC8" s="60" t="n">
        <f aca="false">IF(AC5&lt;=12,Annahmen!$C$12,IF(AC5&lt;=24,Annahmen!$C$13,Annahmen!$C$14))</f>
        <v>4</v>
      </c>
      <c r="AD8" s="60" t="n">
        <f aca="false">IF(AD5&lt;=12,Annahmen!$C$12,IF(AD5&lt;=24,Annahmen!$C$13,Annahmen!$C$14))</f>
        <v>4</v>
      </c>
      <c r="AE8" s="60" t="n">
        <f aca="false">IF(AE5&lt;=12,Annahmen!$C$12,IF(AE5&lt;=24,Annahmen!$C$13,Annahmen!$C$14))</f>
        <v>4</v>
      </c>
      <c r="AF8" s="60" t="n">
        <f aca="false">IF(AF5&lt;=12,Annahmen!$C$12,IF(AF5&lt;=24,Annahmen!$C$13,Annahmen!$C$14))</f>
        <v>4</v>
      </c>
      <c r="AG8" s="60" t="n">
        <f aca="false">IF(AG5&lt;=12,Annahmen!$C$12,IF(AG5&lt;=24,Annahmen!$C$13,Annahmen!$C$14))</f>
        <v>4</v>
      </c>
      <c r="AH8" s="60" t="n">
        <f aca="false">IF(AH5&lt;=12,Annahmen!$C$12,IF(AH5&lt;=24,Annahmen!$C$13,Annahmen!$C$14))</f>
        <v>4</v>
      </c>
      <c r="AI8" s="60" t="n">
        <f aca="false">IF(AI5&lt;=12,Annahmen!$C$12,IF(AI5&lt;=24,Annahmen!$C$13,Annahmen!$C$14))</f>
        <v>4</v>
      </c>
      <c r="AJ8" s="60" t="n">
        <f aca="false">IF(AJ5&lt;=12,Annahmen!$C$12,IF(AJ5&lt;=24,Annahmen!$C$13,Annahmen!$C$14))</f>
        <v>4</v>
      </c>
      <c r="AK8" s="60" t="n">
        <f aca="false">IF(AK5&lt;=12,Annahmen!$C$12,IF(AK5&lt;=24,Annahmen!$C$13,Annahmen!$C$14))</f>
        <v>4</v>
      </c>
    </row>
    <row r="9" customFormat="false" ht="16.5" hidden="false" customHeight="true" outlineLevel="0" collapsed="false">
      <c r="A9" s="14" t="s">
        <v>310</v>
      </c>
      <c r="B9" s="60" t="n">
        <f aca="false">MAX(0,B7-0)+B7*Annahmen!$C$15*(1-Annahmen!$C$16)</f>
        <v>0</v>
      </c>
      <c r="C9" s="60" t="n">
        <f aca="false">MAX(0,C7-B7)+C7*Annahmen!$C$15*(1-Annahmen!$C$16)</f>
        <v>289.469810005362</v>
      </c>
      <c r="D9" s="60" t="n">
        <f aca="false">MAX(0,D7-C7)+D7*Annahmen!$C$15*(1-Annahmen!$C$16)</f>
        <v>479.27922103095</v>
      </c>
      <c r="E9" s="60" t="n">
        <f aca="false">MAX(0,E7-D7)+E7*Annahmen!$C$15*(1-Annahmen!$C$16)</f>
        <v>604.904232042348</v>
      </c>
      <c r="F9" s="60" t="n">
        <f aca="false">MAX(0,F7-E7)+F7*Annahmen!$C$15*(1-Annahmen!$C$16)</f>
        <v>712.420470835474</v>
      </c>
      <c r="G9" s="60" t="n">
        <f aca="false">MAX(0,G7-F7)+G7*Annahmen!$C$15*(1-Annahmen!$C$16)</f>
        <v>811.103013102579</v>
      </c>
      <c r="H9" s="60" t="n">
        <f aca="false">MAX(0,H7-G7)+H7*Annahmen!$C$15*(1-Annahmen!$C$16)</f>
        <v>904.754942153546</v>
      </c>
      <c r="I9" s="60" t="n">
        <f aca="false">MAX(0,I7-H7)+I7*Annahmen!$C$15*(1-Annahmen!$C$16)</f>
        <v>995.330529818321</v>
      </c>
      <c r="J9" s="60" t="n">
        <f aca="false">MAX(0,J7-I7)+J7*Annahmen!$C$15*(1-Annahmen!$C$16)</f>
        <v>1083.96798290748</v>
      </c>
      <c r="K9" s="60" t="n">
        <f aca="false">MAX(0,K7-J7)+K7*Annahmen!$C$15*(1-Annahmen!$C$16)</f>
        <v>1171.38606459167</v>
      </c>
      <c r="L9" s="60" t="n">
        <f aca="false">MAX(0,L7-K7)+L7*Annahmen!$C$15*(1-Annahmen!$C$16)</f>
        <v>1258.06512563354</v>
      </c>
      <c r="M9" s="60" t="n">
        <f aca="false">MAX(0,M7-L7)+M7*Annahmen!$C$15*(1-Annahmen!$C$16)</f>
        <v>1344.33987402292</v>
      </c>
      <c r="N9" s="60" t="n">
        <f aca="false">MAX(0,N7-M7)+N7*Annahmen!$C$15*(1-Annahmen!$C$16)</f>
        <v>1144.0955316284</v>
      </c>
      <c r="O9" s="60" t="n">
        <f aca="false">MAX(0,O7-N7)+O7*Annahmen!$C$15*(1-Annahmen!$C$16)</f>
        <v>1492.68965446978</v>
      </c>
      <c r="P9" s="60" t="n">
        <f aca="false">MAX(0,P7-O7)+P7*Annahmen!$C$15*(1-Annahmen!$C$16)</f>
        <v>1709.54579655126</v>
      </c>
      <c r="Q9" s="60" t="n">
        <f aca="false">MAX(0,Q7-P7)+Q7*Annahmen!$C$15*(1-Annahmen!$C$16)</f>
        <v>1892.05058527034</v>
      </c>
      <c r="R9" s="60" t="n">
        <f aca="false">MAX(0,R7-Q7)+R7*Annahmen!$C$15*(1-Annahmen!$C$16)</f>
        <v>2058.08407340594</v>
      </c>
      <c r="S9" s="60" t="n">
        <f aca="false">MAX(0,S7-R7)+S7*Annahmen!$C$15*(1-Annahmen!$C$16)</f>
        <v>2214.73744517213</v>
      </c>
      <c r="T9" s="60" t="n">
        <f aca="false">MAX(0,T7-S7)+T7*Annahmen!$C$15*(1-Annahmen!$C$16)</f>
        <v>2365.57386764104</v>
      </c>
      <c r="U9" s="60" t="n">
        <f aca="false">MAX(0,U7-T7)+U7*Annahmen!$C$15*(1-Annahmen!$C$16)</f>
        <v>2512.63415459434</v>
      </c>
      <c r="V9" s="60" t="n">
        <f aca="false">MAX(0,V7-U7)+V7*Annahmen!$C$15*(1-Annahmen!$C$16)</f>
        <v>2657.19030199362</v>
      </c>
      <c r="W9" s="60" t="n">
        <f aca="false">MAX(0,W7-V7)+W7*Annahmen!$C$15*(1-Annahmen!$C$16)</f>
        <v>2800.08355451034</v>
      </c>
      <c r="X9" s="60" t="n">
        <f aca="false">MAX(0,X7-W7)+X7*Annahmen!$C$15*(1-Annahmen!$C$16)</f>
        <v>2941.89519618262</v>
      </c>
      <c r="Y9" s="60" t="n">
        <f aca="false">MAX(0,Y7-X7)+Y7*Annahmen!$C$15*(1-Annahmen!$C$16)</f>
        <v>3083.04058081237</v>
      </c>
      <c r="Z9" s="60" t="n">
        <f aca="false">MAX(0,Z7-Y7)+Z7*Annahmen!$C$15*(1-Annahmen!$C$16)</f>
        <v>3011.61395162905</v>
      </c>
      <c r="AA9" s="60" t="n">
        <f aca="false">MAX(0,AA7-Z7)+AA7*Annahmen!$C$15*(1-Annahmen!$C$16)</f>
        <v>3814.43677999101</v>
      </c>
      <c r="AB9" s="60" t="n">
        <f aca="false">MAX(0,AB7-AA7)+AB7*Annahmen!$C$15*(1-Annahmen!$C$16)</f>
        <v>4313.86304660289</v>
      </c>
      <c r="AC9" s="60" t="n">
        <f aca="false">MAX(0,AC7-AB7)+AC7*Annahmen!$C$15*(1-Annahmen!$C$16)</f>
        <v>4734.17710547109</v>
      </c>
      <c r="AD9" s="60" t="n">
        <f aca="false">MAX(0,AD7-AC7)+AD7*Annahmen!$C$15*(1-Annahmen!$C$16)</f>
        <v>5116.55725996519</v>
      </c>
      <c r="AE9" s="60" t="n">
        <f aca="false">MAX(0,AE7-AD7)+AE7*Annahmen!$C$15*(1-Annahmen!$C$16)</f>
        <v>5477.33472221461</v>
      </c>
      <c r="AF9" s="60" t="n">
        <f aca="false">MAX(0,AF7-AE7)+AF7*Annahmen!$C$15*(1-Annahmen!$C$16)</f>
        <v>5824.71557396117</v>
      </c>
      <c r="AG9" s="60" t="n">
        <f aca="false">MAX(0,AG7-AF7)+AG7*Annahmen!$C$15*(1-Annahmen!$C$16)</f>
        <v>6163.39987118696</v>
      </c>
      <c r="AH9" s="60" t="n">
        <f aca="false">MAX(0,AH7-AG7)+AH7*Annahmen!$C$15*(1-Annahmen!$C$16)</f>
        <v>6496.31705913683</v>
      </c>
      <c r="AI9" s="60" t="n">
        <f aca="false">MAX(0,AI7-AH7)+AI7*Annahmen!$C$15*(1-Annahmen!$C$16)</f>
        <v>6825.40454978138</v>
      </c>
      <c r="AJ9" s="60" t="n">
        <f aca="false">MAX(0,AJ7-AI7)+AJ7*Annahmen!$C$15*(1-Annahmen!$C$16)</f>
        <v>7152.00105787511</v>
      </c>
      <c r="AK9" s="60" t="n">
        <f aca="false">MAX(0,AK7-AJ7)+AK7*Annahmen!$C$15*(1-Annahmen!$C$16)</f>
        <v>7477.0631558103</v>
      </c>
    </row>
    <row r="10" customFormat="false" ht="16.5" hidden="false" customHeight="true" outlineLevel="0" collapsed="false">
      <c r="A10" s="14" t="s">
        <v>311</v>
      </c>
      <c r="B10" s="61" t="n">
        <f aca="false">IF(B5&lt;Annahmen!$C$22,0,Annahmen!$C$23*(Annahmen!$C$24+(1-Annahmen!$C$24)*MIN(1,(B5-Annahmen!$C$22+1)/Annahmen!$C$25)))</f>
        <v>0</v>
      </c>
      <c r="C10" s="61" t="n">
        <f aca="false">IF(C5&lt;Annahmen!$C$22,0,Annahmen!$C$23*(Annahmen!$C$24+(1-Annahmen!$C$24)*MIN(1,(C5-Annahmen!$C$22+1)/Annahmen!$C$25)))</f>
        <v>0</v>
      </c>
      <c r="D10" s="61" t="n">
        <f aca="false">IF(D5&lt;Annahmen!$C$22,0,Annahmen!$C$23*(Annahmen!$C$24+(1-Annahmen!$C$24)*MIN(1,(D5-Annahmen!$C$22+1)/Annahmen!$C$25)))</f>
        <v>0</v>
      </c>
      <c r="E10" s="61" t="n">
        <f aca="false">IF(E5&lt;Annahmen!$C$22,0,Annahmen!$C$23*(Annahmen!$C$24+(1-Annahmen!$C$24)*MIN(1,(E5-Annahmen!$C$22+1)/Annahmen!$C$25)))</f>
        <v>0</v>
      </c>
      <c r="F10" s="61" t="n">
        <f aca="false">IF(F5&lt;Annahmen!$C$22,0,Annahmen!$C$23*(Annahmen!$C$24+(1-Annahmen!$C$24)*MIN(1,(F5-Annahmen!$C$22+1)/Annahmen!$C$25)))</f>
        <v>0</v>
      </c>
      <c r="G10" s="61" t="n">
        <f aca="false">IF(G5&lt;Annahmen!$C$22,0,Annahmen!$C$23*(Annahmen!$C$24+(1-Annahmen!$C$24)*MIN(1,(G5-Annahmen!$C$22+1)/Annahmen!$C$25)))</f>
        <v>0</v>
      </c>
      <c r="H10" s="61" t="n">
        <f aca="false">IF(H5&lt;Annahmen!$C$22,0,Annahmen!$C$23*(Annahmen!$C$24+(1-Annahmen!$C$24)*MIN(1,(H5-Annahmen!$C$22+1)/Annahmen!$C$25)))</f>
        <v>0</v>
      </c>
      <c r="I10" s="61" t="n">
        <f aca="false">IF(I5&lt;Annahmen!$C$22,0,Annahmen!$C$23*(Annahmen!$C$24+(1-Annahmen!$C$24)*MIN(1,(I5-Annahmen!$C$22+1)/Annahmen!$C$25)))</f>
        <v>0</v>
      </c>
      <c r="J10" s="61" t="n">
        <f aca="false">IF(J5&lt;Annahmen!$C$22,0,Annahmen!$C$23*(Annahmen!$C$24+(1-Annahmen!$C$24)*MIN(1,(J5-Annahmen!$C$22+1)/Annahmen!$C$25)))</f>
        <v>0</v>
      </c>
      <c r="K10" s="61" t="n">
        <f aca="false">IF(K5&lt;Annahmen!$C$22,0,Annahmen!$C$23*(Annahmen!$C$24+(1-Annahmen!$C$24)*MIN(1,(K5-Annahmen!$C$22+1)/Annahmen!$C$25)))</f>
        <v>0</v>
      </c>
      <c r="L10" s="61" t="n">
        <f aca="false">IF(L5&lt;Annahmen!$C$22,0,Annahmen!$C$23*(Annahmen!$C$24+(1-Annahmen!$C$24)*MIN(1,(L5-Annahmen!$C$22+1)/Annahmen!$C$25)))</f>
        <v>0</v>
      </c>
      <c r="M10" s="61" t="n">
        <f aca="false">IF(M5&lt;Annahmen!$C$22,0,Annahmen!$C$23*(Annahmen!$C$24+(1-Annahmen!$C$24)*MIN(1,(M5-Annahmen!$C$22+1)/Annahmen!$C$25)))</f>
        <v>0</v>
      </c>
      <c r="N10" s="61" t="n">
        <f aca="false">IF(N5&lt;Annahmen!$C$22,0,Annahmen!$C$23*(Annahmen!$C$24+(1-Annahmen!$C$24)*MIN(1,(N5-Annahmen!$C$22+1)/Annahmen!$C$25)))</f>
        <v>0</v>
      </c>
      <c r="O10" s="61" t="n">
        <f aca="false">IF(O5&lt;Annahmen!$C$22,0,Annahmen!$C$23*(Annahmen!$C$24+(1-Annahmen!$C$24)*MIN(1,(O5-Annahmen!$C$22+1)/Annahmen!$C$25)))</f>
        <v>0.0181309090909091</v>
      </c>
      <c r="P10" s="61" t="n">
        <f aca="false">IF(P5&lt;Annahmen!$C$22,0,Annahmen!$C$23*(Annahmen!$C$24+(1-Annahmen!$C$24)*MIN(1,(P5-Annahmen!$C$22+1)/Annahmen!$C$25)))</f>
        <v>0.0189818181818182</v>
      </c>
      <c r="Q10" s="61" t="n">
        <f aca="false">IF(Q5&lt;Annahmen!$C$22,0,Annahmen!$C$23*(Annahmen!$C$24+(1-Annahmen!$C$24)*MIN(1,(Q5-Annahmen!$C$22+1)/Annahmen!$C$25)))</f>
        <v>0.0198327272727273</v>
      </c>
      <c r="R10" s="61" t="n">
        <f aca="false">IF(R5&lt;Annahmen!$C$22,0,Annahmen!$C$23*(Annahmen!$C$24+(1-Annahmen!$C$24)*MIN(1,(R5-Annahmen!$C$22+1)/Annahmen!$C$25)))</f>
        <v>0.0206836363636364</v>
      </c>
      <c r="S10" s="61" t="n">
        <f aca="false">IF(S5&lt;Annahmen!$C$22,0,Annahmen!$C$23*(Annahmen!$C$24+(1-Annahmen!$C$24)*MIN(1,(S5-Annahmen!$C$22+1)/Annahmen!$C$25)))</f>
        <v>0.0215345454545455</v>
      </c>
      <c r="T10" s="61" t="n">
        <f aca="false">IF(T5&lt;Annahmen!$C$22,0,Annahmen!$C$23*(Annahmen!$C$24+(1-Annahmen!$C$24)*MIN(1,(T5-Annahmen!$C$22+1)/Annahmen!$C$25)))</f>
        <v>0.0223854545454545</v>
      </c>
      <c r="U10" s="61" t="n">
        <f aca="false">IF(U5&lt;Annahmen!$C$22,0,Annahmen!$C$23*(Annahmen!$C$24+(1-Annahmen!$C$24)*MIN(1,(U5-Annahmen!$C$22+1)/Annahmen!$C$25)))</f>
        <v>0.0232363636363636</v>
      </c>
      <c r="V10" s="61" t="n">
        <f aca="false">IF(V5&lt;Annahmen!$C$22,0,Annahmen!$C$23*(Annahmen!$C$24+(1-Annahmen!$C$24)*MIN(1,(V5-Annahmen!$C$22+1)/Annahmen!$C$25)))</f>
        <v>0.0240872727272727</v>
      </c>
      <c r="W10" s="61" t="n">
        <f aca="false">IF(W5&lt;Annahmen!$C$22,0,Annahmen!$C$23*(Annahmen!$C$24+(1-Annahmen!$C$24)*MIN(1,(W5-Annahmen!$C$22+1)/Annahmen!$C$25)))</f>
        <v>0.0249381818181818</v>
      </c>
      <c r="X10" s="61" t="n">
        <f aca="false">IF(X5&lt;Annahmen!$C$22,0,Annahmen!$C$23*(Annahmen!$C$24+(1-Annahmen!$C$24)*MIN(1,(X5-Annahmen!$C$22+1)/Annahmen!$C$25)))</f>
        <v>0.0257890909090909</v>
      </c>
      <c r="Y10" s="61" t="n">
        <f aca="false">IF(Y5&lt;Annahmen!$C$22,0,Annahmen!$C$23*(Annahmen!$C$24+(1-Annahmen!$C$24)*MIN(1,(Y5-Annahmen!$C$22+1)/Annahmen!$C$25)))</f>
        <v>0.02664</v>
      </c>
      <c r="Z10" s="61" t="n">
        <f aca="false">IF(Z5&lt;Annahmen!$C$22,0,Annahmen!$C$23*(Annahmen!$C$24+(1-Annahmen!$C$24)*MIN(1,(Z5-Annahmen!$C$22+1)/Annahmen!$C$25)))</f>
        <v>0.0274909090909091</v>
      </c>
      <c r="AA10" s="61" t="n">
        <f aca="false">IF(AA5&lt;Annahmen!$C$22,0,Annahmen!$C$23*(Annahmen!$C$24+(1-Annahmen!$C$24)*MIN(1,(AA5-Annahmen!$C$22+1)/Annahmen!$C$25)))</f>
        <v>0.0283418181818182</v>
      </c>
      <c r="AB10" s="61" t="n">
        <f aca="false">IF(AB5&lt;Annahmen!$C$22,0,Annahmen!$C$23*(Annahmen!$C$24+(1-Annahmen!$C$24)*MIN(1,(AB5-Annahmen!$C$22+1)/Annahmen!$C$25)))</f>
        <v>0.0291927272727273</v>
      </c>
      <c r="AC10" s="61" t="n">
        <f aca="false">IF(AC5&lt;Annahmen!$C$22,0,Annahmen!$C$23*(Annahmen!$C$24+(1-Annahmen!$C$24)*MIN(1,(AC5-Annahmen!$C$22+1)/Annahmen!$C$25)))</f>
        <v>0.0300436363636364</v>
      </c>
      <c r="AD10" s="61" t="n">
        <f aca="false">IF(AD5&lt;Annahmen!$C$22,0,Annahmen!$C$23*(Annahmen!$C$24+(1-Annahmen!$C$24)*MIN(1,(AD5-Annahmen!$C$22+1)/Annahmen!$C$25)))</f>
        <v>0.0308945454545455</v>
      </c>
      <c r="AE10" s="61" t="n">
        <f aca="false">IF(AE5&lt;Annahmen!$C$22,0,Annahmen!$C$23*(Annahmen!$C$24+(1-Annahmen!$C$24)*MIN(1,(AE5-Annahmen!$C$22+1)/Annahmen!$C$25)))</f>
        <v>0.0317454545454545</v>
      </c>
      <c r="AF10" s="61" t="n">
        <f aca="false">IF(AF5&lt;Annahmen!$C$22,0,Annahmen!$C$23*(Annahmen!$C$24+(1-Annahmen!$C$24)*MIN(1,(AF5-Annahmen!$C$22+1)/Annahmen!$C$25)))</f>
        <v>0.0325963636363636</v>
      </c>
      <c r="AG10" s="61" t="n">
        <f aca="false">IF(AG5&lt;Annahmen!$C$22,0,Annahmen!$C$23*(Annahmen!$C$24+(1-Annahmen!$C$24)*MIN(1,(AG5-Annahmen!$C$22+1)/Annahmen!$C$25)))</f>
        <v>0.0334472727272727</v>
      </c>
      <c r="AH10" s="61" t="n">
        <f aca="false">IF(AH5&lt;Annahmen!$C$22,0,Annahmen!$C$23*(Annahmen!$C$24+(1-Annahmen!$C$24)*MIN(1,(AH5-Annahmen!$C$22+1)/Annahmen!$C$25)))</f>
        <v>0.0342981818181818</v>
      </c>
      <c r="AI10" s="61" t="n">
        <f aca="false">IF(AI5&lt;Annahmen!$C$22,0,Annahmen!$C$23*(Annahmen!$C$24+(1-Annahmen!$C$24)*MIN(1,(AI5-Annahmen!$C$22+1)/Annahmen!$C$25)))</f>
        <v>0.0351490909090909</v>
      </c>
      <c r="AJ10" s="61" t="n">
        <f aca="false">IF(AJ5&lt;Annahmen!$C$22,0,Annahmen!$C$23*(Annahmen!$C$24+(1-Annahmen!$C$24)*MIN(1,(AJ5-Annahmen!$C$22+1)/Annahmen!$C$25)))</f>
        <v>0.036</v>
      </c>
      <c r="AK10" s="61" t="n">
        <f aca="false">IF(AK5&lt;Annahmen!$C$22,0,Annahmen!$C$23*(Annahmen!$C$24+(1-Annahmen!$C$24)*MIN(1,(AK5-Annahmen!$C$22+1)/Annahmen!$C$25)))</f>
        <v>0.036</v>
      </c>
    </row>
    <row r="11" customFormat="false" ht="16.5" hidden="false" customHeight="true" outlineLevel="0" collapsed="false">
      <c r="A11" s="27" t="s">
        <v>312</v>
      </c>
      <c r="B11" s="60" t="n">
        <f aca="false">B7*B10</f>
        <v>0</v>
      </c>
      <c r="C11" s="60" t="n">
        <f aca="false">C7*C10</f>
        <v>0</v>
      </c>
      <c r="D11" s="60" t="n">
        <f aca="false">D7*D10</f>
        <v>0</v>
      </c>
      <c r="E11" s="60" t="n">
        <f aca="false">E7*E10</f>
        <v>0</v>
      </c>
      <c r="F11" s="60" t="n">
        <f aca="false">F7*F10</f>
        <v>0</v>
      </c>
      <c r="G11" s="60" t="n">
        <f aca="false">G7*G10</f>
        <v>0</v>
      </c>
      <c r="H11" s="60" t="n">
        <f aca="false">H7*H10</f>
        <v>0</v>
      </c>
      <c r="I11" s="60" t="n">
        <f aca="false">I7*I10</f>
        <v>0</v>
      </c>
      <c r="J11" s="60" t="n">
        <f aca="false">J7*J10</f>
        <v>0</v>
      </c>
      <c r="K11" s="60" t="n">
        <f aca="false">K7*K10</f>
        <v>0</v>
      </c>
      <c r="L11" s="60" t="n">
        <f aca="false">L7*L10</f>
        <v>0</v>
      </c>
      <c r="M11" s="60" t="n">
        <f aca="false">M7*M10</f>
        <v>0</v>
      </c>
      <c r="N11" s="60" t="n">
        <f aca="false">N7*N10</f>
        <v>0</v>
      </c>
      <c r="O11" s="60" t="n">
        <f aca="false">O7*O10</f>
        <v>166.172291655084</v>
      </c>
      <c r="P11" s="60" t="n">
        <f aca="false">P7*P10</f>
        <v>195.474695783213</v>
      </c>
      <c r="Q11" s="60" t="n">
        <f aca="false">Q7*Q10</f>
        <v>228.941172162474</v>
      </c>
      <c r="R11" s="60" t="n">
        <f aca="false">R7*R10</f>
        <v>266.413251216115</v>
      </c>
      <c r="S11" s="60" t="n">
        <f aca="false">S7*S10</f>
        <v>307.828271036848</v>
      </c>
      <c r="T11" s="60" t="n">
        <f aca="false">T7*T10</f>
        <v>353.168697393824</v>
      </c>
      <c r="U11" s="60" t="n">
        <f aca="false">U7*U10</f>
        <v>402.441022181941</v>
      </c>
      <c r="V11" s="60" t="n">
        <f aca="false">V7*V10</f>
        <v>455.665498620228</v>
      </c>
      <c r="W11" s="60" t="n">
        <f aca="false">W7*W10</f>
        <v>512.870615943231</v>
      </c>
      <c r="X11" s="60" t="n">
        <f aca="false">X7*X10</f>
        <v>574.089906185013</v>
      </c>
      <c r="Y11" s="60" t="n">
        <f aca="false">Y7*Y10</f>
        <v>639.36</v>
      </c>
      <c r="Z11" s="60" t="n">
        <f aca="false">Z7*Z10</f>
        <v>703.194908658112</v>
      </c>
      <c r="AA11" s="60" t="n">
        <f aca="false">AA7*AA10</f>
        <v>788.890661968956</v>
      </c>
      <c r="AB11" s="60" t="n">
        <f aca="false">AB7*AB10</f>
        <v>888.739610249317</v>
      </c>
      <c r="AC11" s="60" t="n">
        <f aca="false">AC7*AC10</f>
        <v>1000.82999233444</v>
      </c>
      <c r="AD11" s="60" t="n">
        <f aca="false">AD7*AD10</f>
        <v>1124.28944192096</v>
      </c>
      <c r="AE11" s="60" t="n">
        <f aca="false">AE7*AE10</f>
        <v>1258.65106194244</v>
      </c>
      <c r="AF11" s="60" t="n">
        <f aca="false">AF7*AF10</f>
        <v>1403.64834057139</v>
      </c>
      <c r="AG11" s="60" t="n">
        <f aca="false">AG7*AG10</f>
        <v>1559.12753743869</v>
      </c>
      <c r="AH11" s="60" t="n">
        <f aca="false">AH7*AH10</f>
        <v>1725.00387671855</v>
      </c>
      <c r="AI11" s="60" t="n">
        <f aca="false">AI7*AI10</f>
        <v>1901.23725325283</v>
      </c>
      <c r="AJ11" s="60" t="n">
        <f aca="false">AJ7*AJ10</f>
        <v>2087.81772639083</v>
      </c>
      <c r="AK11" s="60" t="n">
        <f aca="false">AK7*AK10</f>
        <v>2232</v>
      </c>
    </row>
    <row r="12" customFormat="false" ht="16.5" hidden="false" customHeight="true" outlineLevel="0" collapsed="false">
      <c r="A12" s="14" t="s">
        <v>313</v>
      </c>
      <c r="B12" s="60" t="n">
        <f aca="false">MIN(MATCH(B7,Annahmen!$B$80:$F$80,1),4)</f>
        <v>1</v>
      </c>
      <c r="C12" s="60" t="n">
        <f aca="false">MIN(MATCH(C7,Annahmen!$B$80:$F$80,1),4)</f>
        <v>1</v>
      </c>
      <c r="D12" s="60" t="n">
        <f aca="false">MIN(MATCH(D7,Annahmen!$B$80:$F$80,1),4)</f>
        <v>1</v>
      </c>
      <c r="E12" s="60" t="n">
        <f aca="false">MIN(MATCH(E7,Annahmen!$B$80:$F$80,1),4)</f>
        <v>1</v>
      </c>
      <c r="F12" s="60" t="n">
        <f aca="false">MIN(MATCH(F7,Annahmen!$B$80:$F$80,1),4)</f>
        <v>1</v>
      </c>
      <c r="G12" s="60" t="n">
        <f aca="false">MIN(MATCH(G7,Annahmen!$B$80:$F$80,1),4)</f>
        <v>1</v>
      </c>
      <c r="H12" s="60" t="n">
        <f aca="false">MIN(MATCH(H7,Annahmen!$B$80:$F$80,1),4)</f>
        <v>1</v>
      </c>
      <c r="I12" s="60" t="n">
        <f aca="false">MIN(MATCH(I7,Annahmen!$B$80:$F$80,1),4)</f>
        <v>1</v>
      </c>
      <c r="J12" s="60" t="n">
        <f aca="false">MIN(MATCH(J7,Annahmen!$B$80:$F$80,1),4)</f>
        <v>1</v>
      </c>
      <c r="K12" s="60" t="n">
        <f aca="false">MIN(MATCH(K7,Annahmen!$B$80:$F$80,1),4)</f>
        <v>2</v>
      </c>
      <c r="L12" s="60" t="n">
        <f aca="false">MIN(MATCH(L7,Annahmen!$B$80:$F$80,1),4)</f>
        <v>2</v>
      </c>
      <c r="M12" s="60" t="n">
        <f aca="false">MIN(MATCH(M7,Annahmen!$B$80:$F$80,1),4)</f>
        <v>2</v>
      </c>
      <c r="N12" s="60" t="n">
        <f aca="false">MIN(MATCH(N7,Annahmen!$B$80:$F$80,1),4)</f>
        <v>2</v>
      </c>
      <c r="O12" s="60" t="n">
        <f aca="false">MIN(MATCH(O7,Annahmen!$B$80:$F$80,1),4)</f>
        <v>2</v>
      </c>
      <c r="P12" s="60" t="n">
        <f aca="false">MIN(MATCH(P7,Annahmen!$B$80:$F$80,1),4)</f>
        <v>2</v>
      </c>
      <c r="Q12" s="60" t="n">
        <f aca="false">MIN(MATCH(Q7,Annahmen!$B$80:$F$80,1),4)</f>
        <v>2</v>
      </c>
      <c r="R12" s="60" t="n">
        <f aca="false">MIN(MATCH(R7,Annahmen!$B$80:$F$80,1),4)</f>
        <v>3</v>
      </c>
      <c r="S12" s="60" t="n">
        <f aca="false">MIN(MATCH(S7,Annahmen!$B$80:$F$80,1),4)</f>
        <v>3</v>
      </c>
      <c r="T12" s="60" t="n">
        <f aca="false">MIN(MATCH(T7,Annahmen!$B$80:$F$80,1),4)</f>
        <v>3</v>
      </c>
      <c r="U12" s="60" t="n">
        <f aca="false">MIN(MATCH(U7,Annahmen!$B$80:$F$80,1),4)</f>
        <v>3</v>
      </c>
      <c r="V12" s="60" t="n">
        <f aca="false">MIN(MATCH(V7,Annahmen!$B$80:$F$80,1),4)</f>
        <v>3</v>
      </c>
      <c r="W12" s="60" t="n">
        <f aca="false">MIN(MATCH(W7,Annahmen!$B$80:$F$80,1),4)</f>
        <v>4</v>
      </c>
      <c r="X12" s="60" t="n">
        <f aca="false">MIN(MATCH(X7,Annahmen!$B$80:$F$80,1),4)</f>
        <v>4</v>
      </c>
      <c r="Y12" s="60" t="n">
        <f aca="false">MIN(MATCH(Y7,Annahmen!$B$80:$F$80,1),4)</f>
        <v>4</v>
      </c>
      <c r="Z12" s="60" t="n">
        <f aca="false">MIN(MATCH(Z7,Annahmen!$B$80:$F$80,1),4)</f>
        <v>4</v>
      </c>
      <c r="AA12" s="60" t="n">
        <f aca="false">MIN(MATCH(AA7,Annahmen!$B$80:$F$80,1),4)</f>
        <v>4</v>
      </c>
      <c r="AB12" s="60" t="n">
        <f aca="false">MIN(MATCH(AB7,Annahmen!$B$80:$F$80,1),4)</f>
        <v>4</v>
      </c>
      <c r="AC12" s="60" t="n">
        <f aca="false">MIN(MATCH(AC7,Annahmen!$B$80:$F$80,1),4)</f>
        <v>4</v>
      </c>
      <c r="AD12" s="60" t="n">
        <f aca="false">MIN(MATCH(AD7,Annahmen!$B$80:$F$80,1),4)</f>
        <v>4</v>
      </c>
      <c r="AE12" s="60" t="n">
        <f aca="false">MIN(MATCH(AE7,Annahmen!$B$80:$F$80,1),4)</f>
        <v>4</v>
      </c>
      <c r="AF12" s="60" t="n">
        <f aca="false">MIN(MATCH(AF7,Annahmen!$B$80:$F$80,1),4)</f>
        <v>4</v>
      </c>
      <c r="AG12" s="60" t="n">
        <f aca="false">MIN(MATCH(AG7,Annahmen!$B$80:$F$80,1),4)</f>
        <v>4</v>
      </c>
      <c r="AH12" s="60" t="n">
        <f aca="false">MIN(MATCH(AH7,Annahmen!$B$80:$F$80,1),4)</f>
        <v>4</v>
      </c>
      <c r="AI12" s="60" t="n">
        <f aca="false">MIN(MATCH(AI7,Annahmen!$B$80:$F$80,1),4)</f>
        <v>4</v>
      </c>
      <c r="AJ12" s="60" t="n">
        <f aca="false">MIN(MATCH(AJ7,Annahmen!$B$80:$F$80,1),4)</f>
        <v>4</v>
      </c>
      <c r="AK12" s="60" t="n">
        <f aca="false">MIN(MATCH(AK7,Annahmen!$B$80:$F$80,1),4)</f>
        <v>4</v>
      </c>
    </row>
    <row r="13" customFormat="false" ht="15" hidden="false" customHeight="true" outlineLevel="0" collapsed="false">
      <c r="A13" s="62" t="s">
        <v>314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3"/>
      <c r="AK13" s="63"/>
    </row>
    <row r="14" customFormat="false" ht="16.5" hidden="false" customHeight="true" outlineLevel="0" collapsed="false">
      <c r="A14" s="14" t="s">
        <v>315</v>
      </c>
      <c r="B14" s="64" t="n">
        <f aca="false">B11*Annahmen!$C$26</f>
        <v>0</v>
      </c>
      <c r="C14" s="64" t="n">
        <f aca="false">C11*Annahmen!$C$26</f>
        <v>0</v>
      </c>
      <c r="D14" s="64" t="n">
        <f aca="false">D11*Annahmen!$C$26</f>
        <v>0</v>
      </c>
      <c r="E14" s="64" t="n">
        <f aca="false">E11*Annahmen!$C$26</f>
        <v>0</v>
      </c>
      <c r="F14" s="64" t="n">
        <f aca="false">F11*Annahmen!$C$26</f>
        <v>0</v>
      </c>
      <c r="G14" s="64" t="n">
        <f aca="false">G11*Annahmen!$C$26</f>
        <v>0</v>
      </c>
      <c r="H14" s="64" t="n">
        <f aca="false">H11*Annahmen!$C$26</f>
        <v>0</v>
      </c>
      <c r="I14" s="64" t="n">
        <f aca="false">I11*Annahmen!$C$26</f>
        <v>0</v>
      </c>
      <c r="J14" s="64" t="n">
        <f aca="false">J11*Annahmen!$C$26</f>
        <v>0</v>
      </c>
      <c r="K14" s="64" t="n">
        <f aca="false">K11*Annahmen!$C$26</f>
        <v>0</v>
      </c>
      <c r="L14" s="64" t="n">
        <f aca="false">L11*Annahmen!$C$26</f>
        <v>0</v>
      </c>
      <c r="M14" s="64" t="n">
        <f aca="false">M11*Annahmen!$C$26</f>
        <v>0</v>
      </c>
      <c r="N14" s="64" t="n">
        <f aca="false">N11*Annahmen!$C$26</f>
        <v>0</v>
      </c>
      <c r="O14" s="64" t="n">
        <f aca="false">O11*Annahmen!$C$26</f>
        <v>1256.15910430517</v>
      </c>
      <c r="P14" s="64" t="n">
        <f aca="false">P11*Annahmen!$C$26</f>
        <v>1477.66704258395</v>
      </c>
      <c r="Q14" s="64" t="n">
        <f aca="false">Q11*Annahmen!$C$26</f>
        <v>1730.6527754887</v>
      </c>
      <c r="R14" s="64" t="n">
        <f aca="false">R11*Annahmen!$C$26</f>
        <v>2013.91837164584</v>
      </c>
      <c r="S14" s="64" t="n">
        <f aca="false">S11*Annahmen!$C$26</f>
        <v>2326.99014603513</v>
      </c>
      <c r="T14" s="64" t="n">
        <f aca="false">T11*Annahmen!$C$26</f>
        <v>2669.73555078415</v>
      </c>
      <c r="U14" s="64" t="n">
        <f aca="false">U11*Annahmen!$C$26</f>
        <v>3042.20366057796</v>
      </c>
      <c r="V14" s="64" t="n">
        <f aca="false">V11*Annahmen!$C$26</f>
        <v>3444.54757714742</v>
      </c>
      <c r="W14" s="64" t="n">
        <f aca="false">W11*Annahmen!$C$26</f>
        <v>3876.98266137488</v>
      </c>
      <c r="X14" s="64" t="n">
        <f aca="false">X11*Annahmen!$C$26</f>
        <v>4339.76239456852</v>
      </c>
      <c r="Y14" s="64" t="n">
        <f aca="false">Y11*Annahmen!$C$26</f>
        <v>4833.16368167798</v>
      </c>
      <c r="Z14" s="64" t="n">
        <f aca="false">Z11*Annahmen!$C$26</f>
        <v>5315.7158622173</v>
      </c>
      <c r="AA14" s="64" t="n">
        <f aca="false">AA11*Annahmen!$C$26</f>
        <v>5963.5224228029</v>
      </c>
      <c r="AB14" s="64" t="n">
        <f aca="false">AB11*Annahmen!$C$26</f>
        <v>6718.31832883765</v>
      </c>
      <c r="AC14" s="64" t="n">
        <f aca="false">AC11*Annahmen!$C$26</f>
        <v>7565.65185573837</v>
      </c>
      <c r="AD14" s="64" t="n">
        <f aca="false">AD11*Annahmen!$C$26</f>
        <v>8498.92845718592</v>
      </c>
      <c r="AE14" s="64" t="n">
        <f aca="false">AE11*Annahmen!$C$26</f>
        <v>9514.61868194077</v>
      </c>
      <c r="AF14" s="64" t="n">
        <f aca="false">AF11*Annahmen!$C$26</f>
        <v>10610.7078664559</v>
      </c>
      <c r="AG14" s="64" t="n">
        <f aca="false">AG11*Annahmen!$C$26</f>
        <v>11786.0338292241</v>
      </c>
      <c r="AH14" s="64" t="n">
        <f aca="false">AH11*Annahmen!$C$26</f>
        <v>13039.9557177644</v>
      </c>
      <c r="AI14" s="64" t="n">
        <f aca="false">AI11*Annahmen!$C$26</f>
        <v>14372.1703620414</v>
      </c>
      <c r="AJ14" s="64" t="n">
        <f aca="false">AJ11*Annahmen!$C$26</f>
        <v>15782.6026169226</v>
      </c>
      <c r="AK14" s="64" t="n">
        <f aca="false">AK11*Annahmen!$C$26</f>
        <v>16872.5308707227</v>
      </c>
    </row>
    <row r="15" customFormat="false" ht="16.5" hidden="false" customHeight="true" outlineLevel="0" collapsed="false">
      <c r="A15" s="14" t="s">
        <v>316</v>
      </c>
      <c r="B15" s="64" t="n">
        <f aca="false">IF(AND(B5&gt;=Annahmen!$C$62,B7&gt;=Annahmen!$C$63),B8*Annahmen!$C$64*Annahmen!$C$65,0)</f>
        <v>0</v>
      </c>
      <c r="C15" s="64" t="n">
        <f aca="false">IF(AND(C5&gt;=Annahmen!$C$62,C7&gt;=Annahmen!$C$63),C8*Annahmen!$C$64*Annahmen!$C$65,0)</f>
        <v>0</v>
      </c>
      <c r="D15" s="64" t="n">
        <f aca="false">IF(AND(D5&gt;=Annahmen!$C$62,D7&gt;=Annahmen!$C$63),D8*Annahmen!$C$64*Annahmen!$C$65,0)</f>
        <v>0</v>
      </c>
      <c r="E15" s="64" t="n">
        <f aca="false">IF(AND(E5&gt;=Annahmen!$C$62,E7&gt;=Annahmen!$C$63),E8*Annahmen!$C$64*Annahmen!$C$65,0)</f>
        <v>0</v>
      </c>
      <c r="F15" s="64" t="n">
        <f aca="false">IF(AND(F5&gt;=Annahmen!$C$62,F7&gt;=Annahmen!$C$63),F8*Annahmen!$C$64*Annahmen!$C$65,0)</f>
        <v>0</v>
      </c>
      <c r="G15" s="64" t="n">
        <f aca="false">IF(AND(G5&gt;=Annahmen!$C$62,G7&gt;=Annahmen!$C$63),G8*Annahmen!$C$64*Annahmen!$C$65,0)</f>
        <v>0</v>
      </c>
      <c r="H15" s="64" t="n">
        <f aca="false">IF(AND(H5&gt;=Annahmen!$C$62,H7&gt;=Annahmen!$C$63),H8*Annahmen!$C$64*Annahmen!$C$65,0)</f>
        <v>0</v>
      </c>
      <c r="I15" s="64" t="n">
        <f aca="false">IF(AND(I5&gt;=Annahmen!$C$62,I7&gt;=Annahmen!$C$63),I8*Annahmen!$C$64*Annahmen!$C$65,0)</f>
        <v>0</v>
      </c>
      <c r="J15" s="64" t="n">
        <f aca="false">IF(AND(J5&gt;=Annahmen!$C$62,J7&gt;=Annahmen!$C$63),J8*Annahmen!$C$64*Annahmen!$C$65,0)</f>
        <v>0</v>
      </c>
      <c r="K15" s="64" t="n">
        <f aca="false">IF(AND(K5&gt;=Annahmen!$C$62,K7&gt;=Annahmen!$C$63),K8*Annahmen!$C$64*Annahmen!$C$65,0)</f>
        <v>0</v>
      </c>
      <c r="L15" s="64" t="n">
        <f aca="false">IF(AND(L5&gt;=Annahmen!$C$62,L7&gt;=Annahmen!$C$63),L8*Annahmen!$C$64*Annahmen!$C$65,0)</f>
        <v>0</v>
      </c>
      <c r="M15" s="64" t="n">
        <f aca="false">IF(AND(M5&gt;=Annahmen!$C$62,M7&gt;=Annahmen!$C$63),M8*Annahmen!$C$64*Annahmen!$C$65,0)</f>
        <v>0</v>
      </c>
      <c r="N15" s="64" t="n">
        <f aca="false">IF(AND(N5&gt;=Annahmen!$C$62,N7&gt;=Annahmen!$C$63),N8*Annahmen!$C$64*Annahmen!$C$65,0)</f>
        <v>290</v>
      </c>
      <c r="O15" s="64" t="n">
        <f aca="false">IF(AND(O5&gt;=Annahmen!$C$62,O7&gt;=Annahmen!$C$63),O8*Annahmen!$C$64*Annahmen!$C$65,0)</f>
        <v>290</v>
      </c>
      <c r="P15" s="64" t="n">
        <f aca="false">IF(AND(P5&gt;=Annahmen!$C$62,P7&gt;=Annahmen!$C$63),P8*Annahmen!$C$64*Annahmen!$C$65,0)</f>
        <v>290</v>
      </c>
      <c r="Q15" s="64" t="n">
        <f aca="false">IF(AND(Q5&gt;=Annahmen!$C$62,Q7&gt;=Annahmen!$C$63),Q8*Annahmen!$C$64*Annahmen!$C$65,0)</f>
        <v>290</v>
      </c>
      <c r="R15" s="64" t="n">
        <f aca="false">IF(AND(R5&gt;=Annahmen!$C$62,R7&gt;=Annahmen!$C$63),R8*Annahmen!$C$64*Annahmen!$C$65,0)</f>
        <v>290</v>
      </c>
      <c r="S15" s="64" t="n">
        <f aca="false">IF(AND(S5&gt;=Annahmen!$C$62,S7&gt;=Annahmen!$C$63),S8*Annahmen!$C$64*Annahmen!$C$65,0)</f>
        <v>290</v>
      </c>
      <c r="T15" s="64" t="n">
        <f aca="false">IF(AND(T5&gt;=Annahmen!$C$62,T7&gt;=Annahmen!$C$63),T8*Annahmen!$C$64*Annahmen!$C$65,0)</f>
        <v>290</v>
      </c>
      <c r="U15" s="64" t="n">
        <f aca="false">IF(AND(U5&gt;=Annahmen!$C$62,U7&gt;=Annahmen!$C$63),U8*Annahmen!$C$64*Annahmen!$C$65,0)</f>
        <v>290</v>
      </c>
      <c r="V15" s="64" t="n">
        <f aca="false">IF(AND(V5&gt;=Annahmen!$C$62,V7&gt;=Annahmen!$C$63),V8*Annahmen!$C$64*Annahmen!$C$65,0)</f>
        <v>290</v>
      </c>
      <c r="W15" s="64" t="n">
        <f aca="false">IF(AND(W5&gt;=Annahmen!$C$62,W7&gt;=Annahmen!$C$63),W8*Annahmen!$C$64*Annahmen!$C$65,0)</f>
        <v>290</v>
      </c>
      <c r="X15" s="64" t="n">
        <f aca="false">IF(AND(X5&gt;=Annahmen!$C$62,X7&gt;=Annahmen!$C$63),X8*Annahmen!$C$64*Annahmen!$C$65,0)</f>
        <v>290</v>
      </c>
      <c r="Y15" s="64" t="n">
        <f aca="false">IF(AND(Y5&gt;=Annahmen!$C$62,Y7&gt;=Annahmen!$C$63),Y8*Annahmen!$C$64*Annahmen!$C$65,0)</f>
        <v>290</v>
      </c>
      <c r="Z15" s="64" t="n">
        <f aca="false">IF(AND(Z5&gt;=Annahmen!$C$62,Z7&gt;=Annahmen!$C$63),Z8*Annahmen!$C$64*Annahmen!$C$65,0)</f>
        <v>580</v>
      </c>
      <c r="AA15" s="64" t="n">
        <f aca="false">IF(AND(AA5&gt;=Annahmen!$C$62,AA7&gt;=Annahmen!$C$63),AA8*Annahmen!$C$64*Annahmen!$C$65,0)</f>
        <v>580</v>
      </c>
      <c r="AB15" s="64" t="n">
        <f aca="false">IF(AND(AB5&gt;=Annahmen!$C$62,AB7&gt;=Annahmen!$C$63),AB8*Annahmen!$C$64*Annahmen!$C$65,0)</f>
        <v>580</v>
      </c>
      <c r="AC15" s="64" t="n">
        <f aca="false">IF(AND(AC5&gt;=Annahmen!$C$62,AC7&gt;=Annahmen!$C$63),AC8*Annahmen!$C$64*Annahmen!$C$65,0)</f>
        <v>580</v>
      </c>
      <c r="AD15" s="64" t="n">
        <f aca="false">IF(AND(AD5&gt;=Annahmen!$C$62,AD7&gt;=Annahmen!$C$63),AD8*Annahmen!$C$64*Annahmen!$C$65,0)</f>
        <v>580</v>
      </c>
      <c r="AE15" s="64" t="n">
        <f aca="false">IF(AND(AE5&gt;=Annahmen!$C$62,AE7&gt;=Annahmen!$C$63),AE8*Annahmen!$C$64*Annahmen!$C$65,0)</f>
        <v>580</v>
      </c>
      <c r="AF15" s="64" t="n">
        <f aca="false">IF(AND(AF5&gt;=Annahmen!$C$62,AF7&gt;=Annahmen!$C$63),AF8*Annahmen!$C$64*Annahmen!$C$65,0)</f>
        <v>580</v>
      </c>
      <c r="AG15" s="64" t="n">
        <f aca="false">IF(AND(AG5&gt;=Annahmen!$C$62,AG7&gt;=Annahmen!$C$63),AG8*Annahmen!$C$64*Annahmen!$C$65,0)</f>
        <v>580</v>
      </c>
      <c r="AH15" s="64" t="n">
        <f aca="false">IF(AND(AH5&gt;=Annahmen!$C$62,AH7&gt;=Annahmen!$C$63),AH8*Annahmen!$C$64*Annahmen!$C$65,0)</f>
        <v>580</v>
      </c>
      <c r="AI15" s="64" t="n">
        <f aca="false">IF(AND(AI5&gt;=Annahmen!$C$62,AI7&gt;=Annahmen!$C$63),AI8*Annahmen!$C$64*Annahmen!$C$65,0)</f>
        <v>580</v>
      </c>
      <c r="AJ15" s="64" t="n">
        <f aca="false">IF(AND(AJ5&gt;=Annahmen!$C$62,AJ7&gt;=Annahmen!$C$63),AJ8*Annahmen!$C$64*Annahmen!$C$65,0)</f>
        <v>580</v>
      </c>
      <c r="AK15" s="64" t="n">
        <f aca="false">IF(AND(AK5&gt;=Annahmen!$C$62,AK7&gt;=Annahmen!$C$63),AK8*Annahmen!$C$64*Annahmen!$C$65,0)</f>
        <v>580</v>
      </c>
    </row>
    <row r="16" customFormat="false" ht="16.5" hidden="false" customHeight="true" outlineLevel="0" collapsed="false">
      <c r="A16" s="14" t="s">
        <v>317</v>
      </c>
      <c r="B16" s="64" t="n">
        <f aca="false">IF(AND(B5&gt;=Annahmen!$C$66,B7&gt;=Annahmen!$C$67),B8*Annahmen!$C$68*Annahmen!$C$69*Annahmen!$C$70*Annahmen!$C$71,0)</f>
        <v>0</v>
      </c>
      <c r="C16" s="64" t="n">
        <f aca="false">IF(AND(C5&gt;=Annahmen!$C$66,C7&gt;=Annahmen!$C$67),C8*Annahmen!$C$68*Annahmen!$C$69*Annahmen!$C$70*Annahmen!$C$71,0)</f>
        <v>0</v>
      </c>
      <c r="D16" s="64" t="n">
        <f aca="false">IF(AND(D5&gt;=Annahmen!$C$66,D7&gt;=Annahmen!$C$67),D8*Annahmen!$C$68*Annahmen!$C$69*Annahmen!$C$70*Annahmen!$C$71,0)</f>
        <v>0</v>
      </c>
      <c r="E16" s="64" t="n">
        <f aca="false">IF(AND(E5&gt;=Annahmen!$C$66,E7&gt;=Annahmen!$C$67),E8*Annahmen!$C$68*Annahmen!$C$69*Annahmen!$C$70*Annahmen!$C$71,0)</f>
        <v>0</v>
      </c>
      <c r="F16" s="64" t="n">
        <f aca="false">IF(AND(F5&gt;=Annahmen!$C$66,F7&gt;=Annahmen!$C$67),F8*Annahmen!$C$68*Annahmen!$C$69*Annahmen!$C$70*Annahmen!$C$71,0)</f>
        <v>0</v>
      </c>
      <c r="G16" s="64" t="n">
        <f aca="false">IF(AND(G5&gt;=Annahmen!$C$66,G7&gt;=Annahmen!$C$67),G8*Annahmen!$C$68*Annahmen!$C$69*Annahmen!$C$70*Annahmen!$C$71,0)</f>
        <v>0</v>
      </c>
      <c r="H16" s="64" t="n">
        <f aca="false">IF(AND(H5&gt;=Annahmen!$C$66,H7&gt;=Annahmen!$C$67),H8*Annahmen!$C$68*Annahmen!$C$69*Annahmen!$C$70*Annahmen!$C$71,0)</f>
        <v>0</v>
      </c>
      <c r="I16" s="64" t="n">
        <f aca="false">IF(AND(I5&gt;=Annahmen!$C$66,I7&gt;=Annahmen!$C$67),I8*Annahmen!$C$68*Annahmen!$C$69*Annahmen!$C$70*Annahmen!$C$71,0)</f>
        <v>0</v>
      </c>
      <c r="J16" s="64" t="n">
        <f aca="false">IF(AND(J5&gt;=Annahmen!$C$66,J7&gt;=Annahmen!$C$67),J8*Annahmen!$C$68*Annahmen!$C$69*Annahmen!$C$70*Annahmen!$C$71,0)</f>
        <v>0</v>
      </c>
      <c r="K16" s="64" t="n">
        <f aca="false">IF(AND(K5&gt;=Annahmen!$C$66,K7&gt;=Annahmen!$C$67),K8*Annahmen!$C$68*Annahmen!$C$69*Annahmen!$C$70*Annahmen!$C$71,0)</f>
        <v>0</v>
      </c>
      <c r="L16" s="64" t="n">
        <f aca="false">IF(AND(L5&gt;=Annahmen!$C$66,L7&gt;=Annahmen!$C$67),L8*Annahmen!$C$68*Annahmen!$C$69*Annahmen!$C$70*Annahmen!$C$71,0)</f>
        <v>0</v>
      </c>
      <c r="M16" s="64" t="n">
        <f aca="false">IF(AND(M5&gt;=Annahmen!$C$66,M7&gt;=Annahmen!$C$67),M8*Annahmen!$C$68*Annahmen!$C$69*Annahmen!$C$70*Annahmen!$C$71,0)</f>
        <v>0</v>
      </c>
      <c r="N16" s="64" t="n">
        <f aca="false">IF(AND(N5&gt;=Annahmen!$C$66,N7&gt;=Annahmen!$C$67),N8*Annahmen!$C$68*Annahmen!$C$69*Annahmen!$C$70*Annahmen!$C$71,0)</f>
        <v>0</v>
      </c>
      <c r="O16" s="64" t="n">
        <f aca="false">IF(AND(O5&gt;=Annahmen!$C$66,O7&gt;=Annahmen!$C$67),O8*Annahmen!$C$68*Annahmen!$C$69*Annahmen!$C$70*Annahmen!$C$71,0)</f>
        <v>0</v>
      </c>
      <c r="P16" s="64" t="n">
        <f aca="false">IF(AND(P5&gt;=Annahmen!$C$66,P7&gt;=Annahmen!$C$67),P8*Annahmen!$C$68*Annahmen!$C$69*Annahmen!$C$70*Annahmen!$C$71,0)</f>
        <v>0</v>
      </c>
      <c r="Q16" s="64" t="n">
        <f aca="false">IF(AND(Q5&gt;=Annahmen!$C$66,Q7&gt;=Annahmen!$C$67),Q8*Annahmen!$C$68*Annahmen!$C$69*Annahmen!$C$70*Annahmen!$C$71,0)</f>
        <v>0</v>
      </c>
      <c r="R16" s="64" t="n">
        <f aca="false">IF(AND(R5&gt;=Annahmen!$C$66,R7&gt;=Annahmen!$C$67),R8*Annahmen!$C$68*Annahmen!$C$69*Annahmen!$C$70*Annahmen!$C$71,0)</f>
        <v>0</v>
      </c>
      <c r="S16" s="64" t="n">
        <f aca="false">IF(AND(S5&gt;=Annahmen!$C$66,S7&gt;=Annahmen!$C$67),S8*Annahmen!$C$68*Annahmen!$C$69*Annahmen!$C$70*Annahmen!$C$71,0)</f>
        <v>0</v>
      </c>
      <c r="T16" s="64" t="n">
        <f aca="false">IF(AND(T5&gt;=Annahmen!$C$66,T7&gt;=Annahmen!$C$67),T8*Annahmen!$C$68*Annahmen!$C$69*Annahmen!$C$70*Annahmen!$C$71,0)</f>
        <v>0</v>
      </c>
      <c r="U16" s="64" t="n">
        <f aca="false">IF(AND(U5&gt;=Annahmen!$C$66,U7&gt;=Annahmen!$C$67),U8*Annahmen!$C$68*Annahmen!$C$69*Annahmen!$C$70*Annahmen!$C$71,0)</f>
        <v>0</v>
      </c>
      <c r="V16" s="64" t="n">
        <f aca="false">IF(AND(V5&gt;=Annahmen!$C$66,V7&gt;=Annahmen!$C$67),V8*Annahmen!$C$68*Annahmen!$C$69*Annahmen!$C$70*Annahmen!$C$71,0)</f>
        <v>0</v>
      </c>
      <c r="W16" s="64" t="n">
        <f aca="false">IF(AND(W5&gt;=Annahmen!$C$66,W7&gt;=Annahmen!$C$67),W8*Annahmen!$C$68*Annahmen!$C$69*Annahmen!$C$70*Annahmen!$C$71,0)</f>
        <v>460.8</v>
      </c>
      <c r="X16" s="64" t="n">
        <f aca="false">IF(AND(X5&gt;=Annahmen!$C$66,X7&gt;=Annahmen!$C$67),X8*Annahmen!$C$68*Annahmen!$C$69*Annahmen!$C$70*Annahmen!$C$71,0)</f>
        <v>460.8</v>
      </c>
      <c r="Y16" s="64" t="n">
        <f aca="false">IF(AND(Y5&gt;=Annahmen!$C$66,Y7&gt;=Annahmen!$C$67),Y8*Annahmen!$C$68*Annahmen!$C$69*Annahmen!$C$70*Annahmen!$C$71,0)</f>
        <v>460.8</v>
      </c>
      <c r="Z16" s="64" t="n">
        <f aca="false">IF(AND(Z5&gt;=Annahmen!$C$66,Z7&gt;=Annahmen!$C$67),Z8*Annahmen!$C$68*Annahmen!$C$69*Annahmen!$C$70*Annahmen!$C$71,0)</f>
        <v>921.6</v>
      </c>
      <c r="AA16" s="64" t="n">
        <f aca="false">IF(AND(AA5&gt;=Annahmen!$C$66,AA7&gt;=Annahmen!$C$67),AA8*Annahmen!$C$68*Annahmen!$C$69*Annahmen!$C$70*Annahmen!$C$71,0)</f>
        <v>921.6</v>
      </c>
      <c r="AB16" s="64" t="n">
        <f aca="false">IF(AND(AB5&gt;=Annahmen!$C$66,AB7&gt;=Annahmen!$C$67),AB8*Annahmen!$C$68*Annahmen!$C$69*Annahmen!$C$70*Annahmen!$C$71,0)</f>
        <v>921.6</v>
      </c>
      <c r="AC16" s="64" t="n">
        <f aca="false">IF(AND(AC5&gt;=Annahmen!$C$66,AC7&gt;=Annahmen!$C$67),AC8*Annahmen!$C$68*Annahmen!$C$69*Annahmen!$C$70*Annahmen!$C$71,0)</f>
        <v>921.6</v>
      </c>
      <c r="AD16" s="64" t="n">
        <f aca="false">IF(AND(AD5&gt;=Annahmen!$C$66,AD7&gt;=Annahmen!$C$67),AD8*Annahmen!$C$68*Annahmen!$C$69*Annahmen!$C$70*Annahmen!$C$71,0)</f>
        <v>921.6</v>
      </c>
      <c r="AE16" s="64" t="n">
        <f aca="false">IF(AND(AE5&gt;=Annahmen!$C$66,AE7&gt;=Annahmen!$C$67),AE8*Annahmen!$C$68*Annahmen!$C$69*Annahmen!$C$70*Annahmen!$C$71,0)</f>
        <v>921.6</v>
      </c>
      <c r="AF16" s="64" t="n">
        <f aca="false">IF(AND(AF5&gt;=Annahmen!$C$66,AF7&gt;=Annahmen!$C$67),AF8*Annahmen!$C$68*Annahmen!$C$69*Annahmen!$C$70*Annahmen!$C$71,0)</f>
        <v>921.6</v>
      </c>
      <c r="AG16" s="64" t="n">
        <f aca="false">IF(AND(AG5&gt;=Annahmen!$C$66,AG7&gt;=Annahmen!$C$67),AG8*Annahmen!$C$68*Annahmen!$C$69*Annahmen!$C$70*Annahmen!$C$71,0)</f>
        <v>921.6</v>
      </c>
      <c r="AH16" s="64" t="n">
        <f aca="false">IF(AND(AH5&gt;=Annahmen!$C$66,AH7&gt;=Annahmen!$C$67),AH8*Annahmen!$C$68*Annahmen!$C$69*Annahmen!$C$70*Annahmen!$C$71,0)</f>
        <v>921.6</v>
      </c>
      <c r="AI16" s="64" t="n">
        <f aca="false">IF(AND(AI5&gt;=Annahmen!$C$66,AI7&gt;=Annahmen!$C$67),AI8*Annahmen!$C$68*Annahmen!$C$69*Annahmen!$C$70*Annahmen!$C$71,0)</f>
        <v>921.6</v>
      </c>
      <c r="AJ16" s="64" t="n">
        <f aca="false">IF(AND(AJ5&gt;=Annahmen!$C$66,AJ7&gt;=Annahmen!$C$67),AJ8*Annahmen!$C$68*Annahmen!$C$69*Annahmen!$C$70*Annahmen!$C$71,0)</f>
        <v>921.6</v>
      </c>
      <c r="AK16" s="64" t="n">
        <f aca="false">IF(AND(AK5&gt;=Annahmen!$C$66,AK7&gt;=Annahmen!$C$67),AK8*Annahmen!$C$68*Annahmen!$C$69*Annahmen!$C$70*Annahmen!$C$71,0)</f>
        <v>921.6</v>
      </c>
    </row>
    <row r="17" customFormat="false" ht="16.5" hidden="false" customHeight="true" outlineLevel="0" collapsed="false">
      <c r="A17" s="14" t="s">
        <v>318</v>
      </c>
      <c r="B17" s="64" t="n">
        <f aca="false">IF(B5&gt;=Annahmen!$C$72,B7*Annahmen!$C$73,0)</f>
        <v>0</v>
      </c>
      <c r="C17" s="64" t="n">
        <f aca="false">IF(C5&gt;=Annahmen!$C$72,C7*Annahmen!$C$73,0)</f>
        <v>0</v>
      </c>
      <c r="D17" s="64" t="n">
        <f aca="false">IF(D5&gt;=Annahmen!$C$72,D7*Annahmen!$C$73,0)</f>
        <v>0</v>
      </c>
      <c r="E17" s="64" t="n">
        <f aca="false">IF(E5&gt;=Annahmen!$C$72,E7*Annahmen!$C$73,0)</f>
        <v>0</v>
      </c>
      <c r="F17" s="64" t="n">
        <f aca="false">IF(F5&gt;=Annahmen!$C$72,F7*Annahmen!$C$73,0)</f>
        <v>0</v>
      </c>
      <c r="G17" s="64" t="n">
        <f aca="false">IF(G5&gt;=Annahmen!$C$72,G7*Annahmen!$C$73,0)</f>
        <v>0</v>
      </c>
      <c r="H17" s="64" t="n">
        <f aca="false">IF(H5&gt;=Annahmen!$C$72,H7*Annahmen!$C$73,0)</f>
        <v>0</v>
      </c>
      <c r="I17" s="64" t="n">
        <f aca="false">IF(I5&gt;=Annahmen!$C$72,I7*Annahmen!$C$73,0)</f>
        <v>0</v>
      </c>
      <c r="J17" s="64" t="n">
        <f aca="false">IF(J5&gt;=Annahmen!$C$72,J7*Annahmen!$C$73,0)</f>
        <v>0</v>
      </c>
      <c r="K17" s="64" t="n">
        <f aca="false">IF(K5&gt;=Annahmen!$C$72,K7*Annahmen!$C$73,0)</f>
        <v>0</v>
      </c>
      <c r="L17" s="64" t="n">
        <f aca="false">IF(L5&gt;=Annahmen!$C$72,L7*Annahmen!$C$73,0)</f>
        <v>0</v>
      </c>
      <c r="M17" s="64" t="n">
        <f aca="false">IF(M5&gt;=Annahmen!$C$72,M7*Annahmen!$C$73,0)</f>
        <v>0</v>
      </c>
      <c r="N17" s="64" t="n">
        <f aca="false">IF(N5&gt;=Annahmen!$C$72,N7*Annahmen!$C$73,0)</f>
        <v>0</v>
      </c>
      <c r="O17" s="64" t="n">
        <f aca="false">IF(O5&gt;=Annahmen!$C$72,O7*Annahmen!$C$73,0)</f>
        <v>137.477076429447</v>
      </c>
      <c r="P17" s="64" t="n">
        <f aca="false">IF(P5&gt;=Annahmen!$C$72,P7*Annahmen!$C$73,0)</f>
        <v>154.469946380412</v>
      </c>
      <c r="Q17" s="64" t="n">
        <f aca="false">IF(Q5&gt;=Annahmen!$C$72,Q7*Annahmen!$C$73,0)</f>
        <v>173.154076855556</v>
      </c>
      <c r="R17" s="64" t="n">
        <f aca="false">IF(R5&gt;=Annahmen!$C$72,R7*Annahmen!$C$73,0)</f>
        <v>193.205812458945</v>
      </c>
      <c r="S17" s="64" t="n">
        <f aca="false">IF(S5&gt;=Annahmen!$C$72,S7*Annahmen!$C$73,0)</f>
        <v>214.419388386862</v>
      </c>
      <c r="T17" s="64" t="n">
        <f aca="false">IF(T5&gt;=Annahmen!$C$72,T7*Annahmen!$C$73,0)</f>
        <v>236.650564774127</v>
      </c>
      <c r="U17" s="64" t="n">
        <f aca="false">IF(U5&gt;=Annahmen!$C$72,U7*Annahmen!$C$73,0)</f>
        <v>259.791739671441</v>
      </c>
      <c r="V17" s="64" t="n">
        <f aca="false">IF(V5&gt;=Annahmen!$C$72,V7*Annahmen!$C$73,0)</f>
        <v>283.759085417941</v>
      </c>
      <c r="W17" s="64" t="n">
        <f aca="false">IF(W5&gt;=Annahmen!$C$72,W7*Annahmen!$C$73,0)</f>
        <v>308.485169257193</v>
      </c>
      <c r="X17" s="64" t="n">
        <f aca="false">IF(X5&gt;=Annahmen!$C$72,X7*Annahmen!$C$73,0)</f>
        <v>333.914391287815</v>
      </c>
      <c r="Y17" s="64" t="n">
        <f aca="false">IF(Y5&gt;=Annahmen!$C$72,Y7*Annahmen!$C$73,0)</f>
        <v>360</v>
      </c>
      <c r="Z17" s="64" t="n">
        <f aca="false">IF(Z5&gt;=Annahmen!$C$72,Z7*Annahmen!$C$73,0)</f>
        <v>383.687698176549</v>
      </c>
      <c r="AA17" s="64" t="n">
        <f aca="false">IF(AA5&gt;=Annahmen!$C$72,AA7*Annahmen!$C$73,0)</f>
        <v>417.522963898119</v>
      </c>
      <c r="AB17" s="64" t="n">
        <f aca="false">IF(AB5&gt;=Annahmen!$C$72,AB7*Annahmen!$C$73,0)</f>
        <v>456.658058330647</v>
      </c>
      <c r="AC17" s="64" t="n">
        <f aca="false">IF(AC5&gt;=Annahmen!$C$72,AC7*Annahmen!$C$73,0)</f>
        <v>499.688177000675</v>
      </c>
      <c r="AD17" s="64" t="n">
        <f aca="false">IF(AD5&gt;=Annahmen!$C$72,AD7*Annahmen!$C$73,0)</f>
        <v>545.86793172363</v>
      </c>
      <c r="AE17" s="64" t="n">
        <f aca="false">IF(AE5&gt;=Annahmen!$C$72,AE7*Annahmen!$C$73,0)</f>
        <v>594.723439921258</v>
      </c>
      <c r="AF17" s="64" t="n">
        <f aca="false">IF(AF5&gt;=Annahmen!$C$72,AF7*Annahmen!$C$73,0)</f>
        <v>645.92251281314</v>
      </c>
      <c r="AG17" s="64" t="n">
        <f aca="false">IF(AG5&gt;=Annahmen!$C$72,AG7*Annahmen!$C$73,0)</f>
        <v>699.217339849379</v>
      </c>
      <c r="AH17" s="64" t="n">
        <f aca="false">IF(AH5&gt;=Annahmen!$C$72,AH7*Annahmen!$C$73,0)</f>
        <v>754.414863386772</v>
      </c>
      <c r="AI17" s="64" t="n">
        <f aca="false">IF(AI5&gt;=Annahmen!$C$72,AI7*Annahmen!$C$73,0)</f>
        <v>811.359783743838</v>
      </c>
      <c r="AJ17" s="64" t="n">
        <f aca="false">IF(AJ5&gt;=Annahmen!$C$72,AJ7*Annahmen!$C$73,0)</f>
        <v>869.924052662846</v>
      </c>
      <c r="AK17" s="64" t="n">
        <f aca="false">IF(AK5&gt;=Annahmen!$C$72,AK7*Annahmen!$C$73,0)</f>
        <v>930</v>
      </c>
    </row>
    <row r="18" customFormat="false" ht="16.5" hidden="false" customHeight="true" outlineLevel="0" collapsed="false">
      <c r="A18" s="14" t="s">
        <v>319</v>
      </c>
      <c r="B18" s="64" t="n">
        <f aca="false">IF(B5&gt;=Annahmen!$C$74,B8*Annahmen!$C$75,0)</f>
        <v>0</v>
      </c>
      <c r="C18" s="64" t="n">
        <f aca="false">IF(C5&gt;=Annahmen!$C$74,C8*Annahmen!$C$75,0)</f>
        <v>0</v>
      </c>
      <c r="D18" s="64" t="n">
        <f aca="false">IF(D5&gt;=Annahmen!$C$74,D8*Annahmen!$C$75,0)</f>
        <v>0</v>
      </c>
      <c r="E18" s="64" t="n">
        <f aca="false">IF(E5&gt;=Annahmen!$C$74,E8*Annahmen!$C$75,0)</f>
        <v>0</v>
      </c>
      <c r="F18" s="64" t="n">
        <f aca="false">IF(F5&gt;=Annahmen!$C$74,F8*Annahmen!$C$75,0)</f>
        <v>0</v>
      </c>
      <c r="G18" s="64" t="n">
        <f aca="false">IF(G5&gt;=Annahmen!$C$74,G8*Annahmen!$C$75,0)</f>
        <v>0</v>
      </c>
      <c r="H18" s="64" t="n">
        <f aca="false">IF(H5&gt;=Annahmen!$C$74,H8*Annahmen!$C$75,0)</f>
        <v>0</v>
      </c>
      <c r="I18" s="64" t="n">
        <f aca="false">IF(I5&gt;=Annahmen!$C$74,I8*Annahmen!$C$75,0)</f>
        <v>0</v>
      </c>
      <c r="J18" s="64" t="n">
        <f aca="false">IF(J5&gt;=Annahmen!$C$74,J8*Annahmen!$C$75,0)</f>
        <v>0</v>
      </c>
      <c r="K18" s="64" t="n">
        <f aca="false">IF(K5&gt;=Annahmen!$C$74,K8*Annahmen!$C$75,0)</f>
        <v>0</v>
      </c>
      <c r="L18" s="64" t="n">
        <f aca="false">IF(L5&gt;=Annahmen!$C$74,L8*Annahmen!$C$75,0)</f>
        <v>0</v>
      </c>
      <c r="M18" s="64" t="n">
        <f aca="false">IF(M5&gt;=Annahmen!$C$74,M8*Annahmen!$C$75,0)</f>
        <v>0</v>
      </c>
      <c r="N18" s="64" t="n">
        <f aca="false">IF(N5&gt;=Annahmen!$C$74,N8*Annahmen!$C$75,0)</f>
        <v>0</v>
      </c>
      <c r="O18" s="64" t="n">
        <f aca="false">IF(O5&gt;=Annahmen!$C$74,O8*Annahmen!$C$75,0)</f>
        <v>0</v>
      </c>
      <c r="P18" s="64" t="n">
        <f aca="false">IF(P5&gt;=Annahmen!$C$74,P8*Annahmen!$C$75,0)</f>
        <v>0</v>
      </c>
      <c r="Q18" s="64" t="n">
        <f aca="false">IF(Q5&gt;=Annahmen!$C$74,Q8*Annahmen!$C$75,0)</f>
        <v>0</v>
      </c>
      <c r="R18" s="64" t="n">
        <f aca="false">IF(R5&gt;=Annahmen!$C$74,R8*Annahmen!$C$75,0)</f>
        <v>0</v>
      </c>
      <c r="S18" s="64" t="n">
        <f aca="false">IF(S5&gt;=Annahmen!$C$74,S8*Annahmen!$C$75,0)</f>
        <v>0</v>
      </c>
      <c r="T18" s="64" t="n">
        <f aca="false">IF(T5&gt;=Annahmen!$C$74,T8*Annahmen!$C$75,0)</f>
        <v>0</v>
      </c>
      <c r="U18" s="64" t="n">
        <f aca="false">IF(U5&gt;=Annahmen!$C$74,U8*Annahmen!$C$75,0)</f>
        <v>534</v>
      </c>
      <c r="V18" s="64" t="n">
        <f aca="false">IF(V5&gt;=Annahmen!$C$74,V8*Annahmen!$C$75,0)</f>
        <v>534</v>
      </c>
      <c r="W18" s="64" t="n">
        <f aca="false">IF(W5&gt;=Annahmen!$C$74,W8*Annahmen!$C$75,0)</f>
        <v>534</v>
      </c>
      <c r="X18" s="64" t="n">
        <f aca="false">IF(X5&gt;=Annahmen!$C$74,X8*Annahmen!$C$75,0)</f>
        <v>534</v>
      </c>
      <c r="Y18" s="64" t="n">
        <f aca="false">IF(Y5&gt;=Annahmen!$C$74,Y8*Annahmen!$C$75,0)</f>
        <v>534</v>
      </c>
      <c r="Z18" s="64" t="n">
        <f aca="false">IF(Z5&gt;=Annahmen!$C$74,Z8*Annahmen!$C$75,0)</f>
        <v>1068</v>
      </c>
      <c r="AA18" s="64" t="n">
        <f aca="false">IF(AA5&gt;=Annahmen!$C$74,AA8*Annahmen!$C$75,0)</f>
        <v>1068</v>
      </c>
      <c r="AB18" s="64" t="n">
        <f aca="false">IF(AB5&gt;=Annahmen!$C$74,AB8*Annahmen!$C$75,0)</f>
        <v>1068</v>
      </c>
      <c r="AC18" s="64" t="n">
        <f aca="false">IF(AC5&gt;=Annahmen!$C$74,AC8*Annahmen!$C$75,0)</f>
        <v>1068</v>
      </c>
      <c r="AD18" s="64" t="n">
        <f aca="false">IF(AD5&gt;=Annahmen!$C$74,AD8*Annahmen!$C$75,0)</f>
        <v>1068</v>
      </c>
      <c r="AE18" s="64" t="n">
        <f aca="false">IF(AE5&gt;=Annahmen!$C$74,AE8*Annahmen!$C$75,0)</f>
        <v>1068</v>
      </c>
      <c r="AF18" s="64" t="n">
        <f aca="false">IF(AF5&gt;=Annahmen!$C$74,AF8*Annahmen!$C$75,0)</f>
        <v>1068</v>
      </c>
      <c r="AG18" s="64" t="n">
        <f aca="false">IF(AG5&gt;=Annahmen!$C$74,AG8*Annahmen!$C$75,0)</f>
        <v>1068</v>
      </c>
      <c r="AH18" s="64" t="n">
        <f aca="false">IF(AH5&gt;=Annahmen!$C$74,AH8*Annahmen!$C$75,0)</f>
        <v>1068</v>
      </c>
      <c r="AI18" s="64" t="n">
        <f aca="false">IF(AI5&gt;=Annahmen!$C$74,AI8*Annahmen!$C$75,0)</f>
        <v>1068</v>
      </c>
      <c r="AJ18" s="64" t="n">
        <f aca="false">IF(AJ5&gt;=Annahmen!$C$74,AJ8*Annahmen!$C$75,0)</f>
        <v>1068</v>
      </c>
      <c r="AK18" s="64" t="n">
        <f aca="false">IF(AK5&gt;=Annahmen!$C$74,AK8*Annahmen!$C$75,0)</f>
        <v>1068</v>
      </c>
    </row>
    <row r="19" customFormat="false" ht="16.5" hidden="false" customHeight="true" outlineLevel="0" collapsed="false">
      <c r="A19" s="27" t="s">
        <v>320</v>
      </c>
      <c r="B19" s="65" t="n">
        <f aca="false">SUM(B14:B18)</f>
        <v>0</v>
      </c>
      <c r="C19" s="65" t="n">
        <f aca="false">SUM(C14:C18)</f>
        <v>0</v>
      </c>
      <c r="D19" s="65" t="n">
        <f aca="false">SUM(D14:D18)</f>
        <v>0</v>
      </c>
      <c r="E19" s="65" t="n">
        <f aca="false">SUM(E14:E18)</f>
        <v>0</v>
      </c>
      <c r="F19" s="65" t="n">
        <f aca="false">SUM(F14:F18)</f>
        <v>0</v>
      </c>
      <c r="G19" s="65" t="n">
        <f aca="false">SUM(G14:G18)</f>
        <v>0</v>
      </c>
      <c r="H19" s="65" t="n">
        <f aca="false">SUM(H14:H18)</f>
        <v>0</v>
      </c>
      <c r="I19" s="65" t="n">
        <f aca="false">SUM(I14:I18)</f>
        <v>0</v>
      </c>
      <c r="J19" s="65" t="n">
        <f aca="false">SUM(J14:J18)</f>
        <v>0</v>
      </c>
      <c r="K19" s="65" t="n">
        <f aca="false">SUM(K14:K18)</f>
        <v>0</v>
      </c>
      <c r="L19" s="65" t="n">
        <f aca="false">SUM(L14:L18)</f>
        <v>0</v>
      </c>
      <c r="M19" s="65" t="n">
        <f aca="false">SUM(M14:M18)</f>
        <v>0</v>
      </c>
      <c r="N19" s="65" t="n">
        <f aca="false">SUM(N14:N18)</f>
        <v>290</v>
      </c>
      <c r="O19" s="65" t="n">
        <f aca="false">SUM(O14:O18)</f>
        <v>1683.63618073461</v>
      </c>
      <c r="P19" s="65" t="n">
        <f aca="false">SUM(P14:P18)</f>
        <v>1922.13698896436</v>
      </c>
      <c r="Q19" s="65" t="n">
        <f aca="false">SUM(Q14:Q18)</f>
        <v>2193.80685234426</v>
      </c>
      <c r="R19" s="65" t="n">
        <f aca="false">SUM(R14:R18)</f>
        <v>2497.12418410478</v>
      </c>
      <c r="S19" s="65" t="n">
        <f aca="false">SUM(S14:S18)</f>
        <v>2831.40953442199</v>
      </c>
      <c r="T19" s="65" t="n">
        <f aca="false">SUM(T14:T18)</f>
        <v>3196.38611555827</v>
      </c>
      <c r="U19" s="65" t="n">
        <f aca="false">SUM(U14:U18)</f>
        <v>4125.9954002494</v>
      </c>
      <c r="V19" s="65" t="n">
        <f aca="false">SUM(V14:V18)</f>
        <v>4552.30666256536</v>
      </c>
      <c r="W19" s="65" t="n">
        <f aca="false">SUM(W14:W18)</f>
        <v>5470.26783063207</v>
      </c>
      <c r="X19" s="65" t="n">
        <f aca="false">SUM(X14:X18)</f>
        <v>5958.47678585633</v>
      </c>
      <c r="Y19" s="65" t="n">
        <f aca="false">SUM(Y14:Y18)</f>
        <v>6477.96368167798</v>
      </c>
      <c r="Z19" s="65" t="n">
        <f aca="false">SUM(Z14:Z18)</f>
        <v>8269.00356039385</v>
      </c>
      <c r="AA19" s="65" t="n">
        <f aca="false">SUM(AA14:AA18)</f>
        <v>8950.64538670102</v>
      </c>
      <c r="AB19" s="65" t="n">
        <f aca="false">SUM(AB14:AB18)</f>
        <v>9744.5763871683</v>
      </c>
      <c r="AC19" s="65" t="n">
        <f aca="false">SUM(AC14:AC18)</f>
        <v>10634.940032739</v>
      </c>
      <c r="AD19" s="65" t="n">
        <f aca="false">SUM(AD14:AD18)</f>
        <v>11614.3963889095</v>
      </c>
      <c r="AE19" s="65" t="n">
        <f aca="false">SUM(AE14:AE18)</f>
        <v>12678.942121862</v>
      </c>
      <c r="AF19" s="65" t="n">
        <f aca="false">SUM(AF14:AF18)</f>
        <v>13826.230379269</v>
      </c>
      <c r="AG19" s="65" t="n">
        <f aca="false">SUM(AG14:AG18)</f>
        <v>15054.8511690734</v>
      </c>
      <c r="AH19" s="65" t="n">
        <f aca="false">SUM(AH14:AH18)</f>
        <v>16363.9705811512</v>
      </c>
      <c r="AI19" s="65" t="n">
        <f aca="false">SUM(AI14:AI18)</f>
        <v>17753.1301457853</v>
      </c>
      <c r="AJ19" s="65" t="n">
        <f aca="false">SUM(AJ14:AJ18)</f>
        <v>19222.1266695855</v>
      </c>
      <c r="AK19" s="65" t="n">
        <f aca="false">SUM(AK14:AK18)</f>
        <v>20372.1308707227</v>
      </c>
    </row>
    <row r="21" customFormat="false" ht="15" hidden="false" customHeight="true" outlineLevel="0" collapsed="false">
      <c r="A21" s="62" t="s">
        <v>321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c r="AK21" s="63"/>
    </row>
    <row r="22" customFormat="false" ht="16.5" hidden="false" customHeight="true" outlineLevel="0" collapsed="false">
      <c r="A22" s="14" t="s">
        <v>322</v>
      </c>
      <c r="B22" s="64" t="n">
        <f aca="false">INDEX(Annahmen!$B$94:$F$94,B$12)+(B$7-INDEX(Annahmen!$B$80:$F$80,B$12))*(INDEX(Annahmen!$B$94:$F$94,B$12+1)-INDEX(Annahmen!$B$94:$F$94,B$12))/(INDEX(Annahmen!$B$80:$F$80,B$12+1)-INDEX(Annahmen!$B$80:$F$80,B$12))</f>
        <v>1000</v>
      </c>
      <c r="C22" s="64" t="n">
        <f aca="false">INDEX(Annahmen!$B$94:$F$94,C$12)+(C$7-INDEX(Annahmen!$B$80:$F$80,C$12))*(INDEX(Annahmen!$B$94:$F$94,C$12+1)-INDEX(Annahmen!$B$94:$F$94,C$12))/(INDEX(Annahmen!$B$80:$F$80,C$12+1)-INDEX(Annahmen!$B$80:$F$80,C$12))</f>
        <v>1016.44714829576</v>
      </c>
      <c r="D22" s="64" t="n">
        <f aca="false">INDEX(Annahmen!$B$94:$F$94,D$12)+(D$7-INDEX(Annahmen!$B$80:$F$80,D$12))*(INDEX(Annahmen!$B$94:$F$94,D$12+1)-INDEX(Annahmen!$B$94:$F$94,D$12))/(INDEX(Annahmen!$B$80:$F$80,D$12+1)-INDEX(Annahmen!$B$80:$F$80,D$12))</f>
        <v>1042.80672495986</v>
      </c>
      <c r="E22" s="64" t="n">
        <f aca="false">INDEX(Annahmen!$B$94:$F$94,E$12)+(E$7-INDEX(Annahmen!$B$80:$F$80,E$12))*(INDEX(Annahmen!$B$94:$F$94,E$12+1)-INDEX(Annahmen!$B$94:$F$94,E$12))/(INDEX(Annahmen!$B$80:$F$80,E$12+1)-INDEX(Annahmen!$B$80:$F$80,E$12))</f>
        <v>1074.90623000228</v>
      </c>
      <c r="F22" s="64" t="n">
        <f aca="false">INDEX(Annahmen!$B$94:$F$94,F$12)+(F$7-INDEX(Annahmen!$B$80:$F$80,F$12))*(INDEX(Annahmen!$B$94:$F$94,F$12+1)-INDEX(Annahmen!$B$94:$F$94,F$12))/(INDEX(Annahmen!$B$80:$F$80,F$12+1)-INDEX(Annahmen!$B$80:$F$80,F$12))</f>
        <v>1111.41236576932</v>
      </c>
      <c r="G22" s="64" t="n">
        <f aca="false">INDEX(Annahmen!$B$94:$F$94,G$12)+(G$7-INDEX(Annahmen!$B$80:$F$80,G$12))*(INDEX(Annahmen!$B$94:$F$94,G$12+1)-INDEX(Annahmen!$B$94:$F$94,G$12))/(INDEX(Annahmen!$B$80:$F$80,G$12+1)-INDEX(Annahmen!$B$80:$F$80,G$12))</f>
        <v>1151.58953272299</v>
      </c>
      <c r="H22" s="64" t="n">
        <f aca="false">INDEX(Annahmen!$B$94:$F$94,H$12)+(H$7-INDEX(Annahmen!$B$80:$F$80,H$12))*(INDEX(Annahmen!$B$94:$F$94,H$12+1)-INDEX(Annahmen!$B$94:$F$94,H$12))/(INDEX(Annahmen!$B$80:$F$80,H$12+1)-INDEX(Annahmen!$B$80:$F$80,H$12))</f>
        <v>1194.95722467065</v>
      </c>
      <c r="I22" s="64" t="n">
        <f aca="false">INDEX(Annahmen!$B$94:$F$94,I$12)+(I$7-INDEX(Annahmen!$B$80:$F$80,I$12))*(INDEX(Annahmen!$B$94:$F$94,I$12+1)-INDEX(Annahmen!$B$94:$F$94,I$12))/(INDEX(Annahmen!$B$80:$F$80,I$12+1)-INDEX(Annahmen!$B$80:$F$80,I$12))</f>
        <v>1241.17145498082</v>
      </c>
      <c r="J22" s="64" t="n">
        <f aca="false">INDEX(Annahmen!$B$94:$F$94,J$12)+(J$7-INDEX(Annahmen!$B$80:$F$80,J$12))*(INDEX(Annahmen!$B$94:$F$94,J$12+1)-INDEX(Annahmen!$B$94:$F$94,J$12))/(INDEX(Annahmen!$B$80:$F$80,J$12+1)-INDEX(Annahmen!$B$80:$F$80,J$12))</f>
        <v>1289.97114957885</v>
      </c>
      <c r="K22" s="64" t="n">
        <f aca="false">INDEX(Annahmen!$B$94:$F$94,K$12)+(K$7-INDEX(Annahmen!$B$80:$F$80,K$12))*(INDEX(Annahmen!$B$94:$F$94,K$12+1)-INDEX(Annahmen!$B$94:$F$94,K$12))/(INDEX(Annahmen!$B$80:$F$80,K$12+1)-INDEX(Annahmen!$B$80:$F$80,K$12))</f>
        <v>1331.35231850963</v>
      </c>
      <c r="L22" s="64" t="n">
        <f aca="false">INDEX(Annahmen!$B$94:$F$94,L$12)+(L$7-INDEX(Annahmen!$B$80:$F$80,L$12))*(INDEX(Annahmen!$B$94:$F$94,L$12+1)-INDEX(Annahmen!$B$94:$F$94,L$12))/(INDEX(Annahmen!$B$80:$F$80,L$12+1)-INDEX(Annahmen!$B$80:$F$80,L$12))</f>
        <v>1372.03017718752</v>
      </c>
      <c r="M22" s="64" t="n">
        <f aca="false">INDEX(Annahmen!$B$94:$F$94,M$12)+(M$7-INDEX(Annahmen!$B$80:$F$80,M$12))*(INDEX(Annahmen!$B$94:$F$94,M$12+1)-INDEX(Annahmen!$B$94:$F$94,M$12))/(INDEX(Annahmen!$B$80:$F$80,M$12+1)-INDEX(Annahmen!$B$80:$F$80,M$12))</f>
        <v>1414.28571428571</v>
      </c>
      <c r="N22" s="64" t="n">
        <f aca="false">INDEX(Annahmen!$B$94:$F$94,N$12)+(N$7-INDEX(Annahmen!$B$80:$F$80,N$12))*(INDEX(Annahmen!$B$94:$F$94,N$12+1)-INDEX(Annahmen!$B$94:$F$94,N$12))/(INDEX(Annahmen!$B$80:$F$80,N$12+1)-INDEX(Annahmen!$B$80:$F$80,N$12))</f>
        <v>1445.63184119603</v>
      </c>
      <c r="O22" s="64" t="n">
        <f aca="false">INDEX(Annahmen!$B$94:$F$94,O$12)+(O$7-INDEX(Annahmen!$B$80:$F$80,O$12))*(INDEX(Annahmen!$B$94:$F$94,O$12+1)-INDEX(Annahmen!$B$94:$F$94,O$12))/(INDEX(Annahmen!$B$80:$F$80,O$12+1)-INDEX(Annahmen!$B$80:$F$80,O$12))</f>
        <v>1490.40632816593</v>
      </c>
      <c r="P22" s="64" t="n">
        <f aca="false">INDEX(Annahmen!$B$94:$F$94,P$12)+(P$7-INDEX(Annahmen!$B$80:$F$80,P$12))*(INDEX(Annahmen!$B$94:$F$94,P$12+1)-INDEX(Annahmen!$B$94:$F$94,P$12))/(INDEX(Annahmen!$B$80:$F$80,P$12+1)-INDEX(Annahmen!$B$80:$F$80,P$12))</f>
        <v>1542.19412230221</v>
      </c>
      <c r="Q22" s="64" t="n">
        <f aca="false">INDEX(Annahmen!$B$94:$F$94,Q$12)+(Q$7-INDEX(Annahmen!$B$80:$F$80,Q$12))*(INDEX(Annahmen!$B$94:$F$94,Q$12+1)-INDEX(Annahmen!$B$94:$F$94,Q$12))/(INDEX(Annahmen!$B$80:$F$80,Q$12+1)-INDEX(Annahmen!$B$80:$F$80,Q$12))</f>
        <v>1599.13623422646</v>
      </c>
      <c r="R22" s="64" t="n">
        <f aca="false">INDEX(Annahmen!$B$94:$F$94,R$12)+(R$7-INDEX(Annahmen!$B$80:$F$80,R$12))*(INDEX(Annahmen!$B$94:$F$94,R$12+1)-INDEX(Annahmen!$B$94:$F$94,R$12))/(INDEX(Annahmen!$B$80:$F$80,R$12+1)-INDEX(Annahmen!$B$80:$F$80,R$12))</f>
        <v>1660.71792174841</v>
      </c>
      <c r="S22" s="64" t="n">
        <f aca="false">INDEX(Annahmen!$B$94:$F$94,S$12)+(S$7-INDEX(Annahmen!$B$80:$F$80,S$12))*(INDEX(Annahmen!$B$94:$F$94,S$12+1)-INDEX(Annahmen!$B$94:$F$94,S$12))/(INDEX(Annahmen!$B$80:$F$80,S$12+1)-INDEX(Annahmen!$B$80:$F$80,S$12))</f>
        <v>1726.12644752616</v>
      </c>
      <c r="T22" s="64" t="n">
        <f aca="false">INDEX(Annahmen!$B$94:$F$94,T$12)+(T$7-INDEX(Annahmen!$B$80:$F$80,T$12))*(INDEX(Annahmen!$B$94:$F$94,T$12+1)-INDEX(Annahmen!$B$94:$F$94,T$12))/(INDEX(Annahmen!$B$80:$F$80,T$12+1)-INDEX(Annahmen!$B$80:$F$80,T$12))</f>
        <v>1794.67257472022</v>
      </c>
      <c r="U22" s="64" t="n">
        <f aca="false">INDEX(Annahmen!$B$94:$F$94,U$12)+(U$7-INDEX(Annahmen!$B$80:$F$80,U$12))*(INDEX(Annahmen!$B$94:$F$94,U$12+1)-INDEX(Annahmen!$B$94:$F$94,U$12))/(INDEX(Annahmen!$B$80:$F$80,U$12+1)-INDEX(Annahmen!$B$80:$F$80,U$12))</f>
        <v>1866.02453065361</v>
      </c>
      <c r="V22" s="64" t="n">
        <f aca="false">INDEX(Annahmen!$B$94:$F$94,V$12)+(V$7-INDEX(Annahmen!$B$80:$F$80,V$12))*(INDEX(Annahmen!$B$94:$F$94,V$12+1)-INDEX(Annahmen!$B$94:$F$94,V$12))/(INDEX(Annahmen!$B$80:$F$80,V$12+1)-INDEX(Annahmen!$B$80:$F$80,V$12))</f>
        <v>1939.92384670532</v>
      </c>
      <c r="W22" s="64" t="n">
        <f aca="false">INDEX(Annahmen!$B$94:$F$94,W$12)+(W$7-INDEX(Annahmen!$B$80:$F$80,W$12))*(INDEX(Annahmen!$B$94:$F$94,W$12+1)-INDEX(Annahmen!$B$94:$F$94,W$12))/(INDEX(Annahmen!$B$80:$F$80,W$12+1)-INDEX(Annahmen!$B$80:$F$80,W$12))</f>
        <v>2012.81567733601</v>
      </c>
      <c r="X22" s="64" t="n">
        <f aca="false">INDEX(Annahmen!$B$94:$F$94,X$12)+(X$7-INDEX(Annahmen!$B$80:$F$80,X$12))*(INDEX(Annahmen!$B$94:$F$94,X$12+1)-INDEX(Annahmen!$B$94:$F$94,X$12))/(INDEX(Annahmen!$B$80:$F$80,X$12+1)-INDEX(Annahmen!$B$80:$F$80,X$12))</f>
        <v>2081.19202990723</v>
      </c>
      <c r="Y22" s="64" t="n">
        <f aca="false">INDEX(Annahmen!$B$94:$F$94,Y$12)+(Y$7-INDEX(Annahmen!$B$80:$F$80,Y$12))*(INDEX(Annahmen!$B$94:$F$94,Y$12+1)-INDEX(Annahmen!$B$94:$F$94,Y$12))/(INDEX(Annahmen!$B$80:$F$80,Y$12+1)-INDEX(Annahmen!$B$80:$F$80,Y$12))</f>
        <v>2151.33333333333</v>
      </c>
      <c r="Z22" s="64" t="n">
        <f aca="false">INDEX(Annahmen!$B$94:$F$94,Z$12)+(Z$7-INDEX(Annahmen!$B$80:$F$80,Z$12))*(INDEX(Annahmen!$B$94:$F$94,Z$12+1)-INDEX(Annahmen!$B$94:$F$94,Z$12))/(INDEX(Annahmen!$B$80:$F$80,Z$12+1)-INDEX(Annahmen!$B$80:$F$80,Z$12))</f>
        <v>2215.02692176361</v>
      </c>
      <c r="AA22" s="64" t="n">
        <f aca="false">INDEX(Annahmen!$B$94:$F$94,AA$12)+(AA$7-INDEX(Annahmen!$B$80:$F$80,AA$12))*(INDEX(Annahmen!$B$94:$F$94,AA$12+1)-INDEX(Annahmen!$B$94:$F$94,AA$12))/(INDEX(Annahmen!$B$80:$F$80,AA$12+1)-INDEX(Annahmen!$B$80:$F$80,AA$12))</f>
        <v>2306.00619181494</v>
      </c>
      <c r="AB22" s="64" t="n">
        <f aca="false">INDEX(Annahmen!$B$94:$F$94,AB$12)+(AB$7-INDEX(Annahmen!$B$80:$F$80,AB$12))*(INDEX(Annahmen!$B$94:$F$94,AB$12+1)-INDEX(Annahmen!$B$94:$F$94,AB$12))/(INDEX(Annahmen!$B$80:$F$80,AB$12+1)-INDEX(Annahmen!$B$80:$F$80,AB$12))</f>
        <v>2411.23611240018</v>
      </c>
      <c r="AC22" s="64" t="n">
        <f aca="false">INDEX(Annahmen!$B$94:$F$94,AC$12)+(AC$7-INDEX(Annahmen!$B$80:$F$80,AC$12))*(INDEX(Annahmen!$B$94:$F$94,AC$12+1)-INDEX(Annahmen!$B$94:$F$94,AC$12))/(INDEX(Annahmen!$B$80:$F$80,AC$12+1)-INDEX(Annahmen!$B$80:$F$80,AC$12))</f>
        <v>2526.93932037959</v>
      </c>
      <c r="AD22" s="64" t="n">
        <f aca="false">INDEX(Annahmen!$B$94:$F$94,AD$12)+(AD$7-INDEX(Annahmen!$B$80:$F$80,AD$12))*(INDEX(Annahmen!$B$94:$F$94,AD$12+1)-INDEX(Annahmen!$B$94:$F$94,AD$12))/(INDEX(Annahmen!$B$80:$F$80,AD$12+1)-INDEX(Annahmen!$B$80:$F$80,AD$12))</f>
        <v>2651.11154974576</v>
      </c>
      <c r="AE22" s="64" t="n">
        <f aca="false">INDEX(Annahmen!$B$94:$F$94,AE$12)+(AE$7-INDEX(Annahmen!$B$80:$F$80,AE$12))*(INDEX(Annahmen!$B$94:$F$94,AE$12+1)-INDEX(Annahmen!$B$94:$F$94,AE$12))/(INDEX(Annahmen!$B$80:$F$80,AE$12+1)-INDEX(Annahmen!$B$80:$F$80,AE$12))</f>
        <v>2782.47858289938</v>
      </c>
      <c r="AF22" s="64" t="n">
        <f aca="false">INDEX(Annahmen!$B$94:$F$94,AF$12)+(AF$7-INDEX(Annahmen!$B$80:$F$80,AF$12))*(INDEX(Annahmen!$B$94:$F$94,AF$12+1)-INDEX(Annahmen!$B$94:$F$94,AF$12))/(INDEX(Annahmen!$B$80:$F$80,AF$12+1)-INDEX(Annahmen!$B$80:$F$80,AF$12))</f>
        <v>2920.14720111978</v>
      </c>
      <c r="AG22" s="64" t="n">
        <f aca="false">INDEX(Annahmen!$B$94:$F$94,AG$12)+(AG$7-INDEX(Annahmen!$B$80:$F$80,AG$12))*(INDEX(Annahmen!$B$94:$F$94,AG$12+1)-INDEX(Annahmen!$B$94:$F$94,AG$12))/(INDEX(Annahmen!$B$80:$F$80,AG$12+1)-INDEX(Annahmen!$B$80:$F$80,AG$12))</f>
        <v>3063.45106937278</v>
      </c>
      <c r="AH22" s="64" t="n">
        <f aca="false">INDEX(Annahmen!$B$94:$F$94,AH$12)+(AH$7-INDEX(Annahmen!$B$80:$F$80,AH$12))*(INDEX(Annahmen!$B$94:$F$94,AH$12+1)-INDEX(Annahmen!$B$94:$F$94,AH$12))/(INDEX(Annahmen!$B$80:$F$80,AH$12+1)-INDEX(Annahmen!$B$80:$F$80,AH$12))</f>
        <v>3211.87107710665</v>
      </c>
      <c r="AI22" s="64" t="n">
        <f aca="false">INDEX(Annahmen!$B$94:$F$94,AI$12)+(AI$7-INDEX(Annahmen!$B$80:$F$80,AI$12))*(INDEX(Annahmen!$B$94:$F$94,AI$12+1)-INDEX(Annahmen!$B$94:$F$94,AI$12))/(INDEX(Annahmen!$B$80:$F$80,AI$12+1)-INDEX(Annahmen!$B$80:$F$80,AI$12))</f>
        <v>3364.98964073343</v>
      </c>
      <c r="AJ22" s="64" t="n">
        <f aca="false">INDEX(Annahmen!$B$94:$F$94,AJ$12)+(AJ$7-INDEX(Annahmen!$B$80:$F$80,AJ$12))*(INDEX(Annahmen!$B$94:$F$94,AJ$12+1)-INDEX(Annahmen!$B$94:$F$94,AJ$12))/(INDEX(Annahmen!$B$80:$F$80,AJ$12+1)-INDEX(Annahmen!$B$80:$F$80,AJ$12))</f>
        <v>3522.46245271565</v>
      </c>
      <c r="AK22" s="64" t="n">
        <f aca="false">INDEX(Annahmen!$B$94:$F$94,AK$12)+(AK$7-INDEX(Annahmen!$B$80:$F$80,AK$12))*(INDEX(Annahmen!$B$94:$F$94,AK$12+1)-INDEX(Annahmen!$B$94:$F$94,AK$12))/(INDEX(Annahmen!$B$80:$F$80,AK$12+1)-INDEX(Annahmen!$B$80:$F$80,AK$12))</f>
        <v>3684</v>
      </c>
    </row>
    <row r="23" customFormat="false" ht="16.5" hidden="false" customHeight="true" outlineLevel="0" collapsed="false">
      <c r="A23" s="14" t="s">
        <v>323</v>
      </c>
      <c r="B23" s="64" t="n">
        <f aca="false">INDEX(Annahmen!$B$95:$F$95,B$12)+(B$7-INDEX(Annahmen!$B$80:$F$80,B$12))*(INDEX(Annahmen!$B$95:$F$95,B$12+1)-INDEX(Annahmen!$B$95:$F$95,B$12))/(INDEX(Annahmen!$B$80:$F$80,B$12+1)-INDEX(Annahmen!$B$80:$F$80,B$12))</f>
        <v>270</v>
      </c>
      <c r="C23" s="64" t="n">
        <f aca="false">INDEX(Annahmen!$B$95:$F$95,C$12)+(C$7-INDEX(Annahmen!$B$80:$F$80,C$12))*(INDEX(Annahmen!$B$95:$F$95,C$12+1)-INDEX(Annahmen!$B$95:$F$95,C$12))/(INDEX(Annahmen!$B$80:$F$80,C$12+1)-INDEX(Annahmen!$B$80:$F$80,C$12))</f>
        <v>277.675335871354</v>
      </c>
      <c r="D23" s="64" t="n">
        <f aca="false">INDEX(Annahmen!$B$95:$F$95,D$12)+(D$7-INDEX(Annahmen!$B$80:$F$80,D$12))*(INDEX(Annahmen!$B$95:$F$95,D$12+1)-INDEX(Annahmen!$B$95:$F$95,D$12))/(INDEX(Annahmen!$B$80:$F$80,D$12+1)-INDEX(Annahmen!$B$80:$F$80,D$12))</f>
        <v>289.976471647937</v>
      </c>
      <c r="E23" s="64" t="n">
        <f aca="false">INDEX(Annahmen!$B$95:$F$95,E$12)+(E$7-INDEX(Annahmen!$B$80:$F$80,E$12))*(INDEX(Annahmen!$B$95:$F$95,E$12+1)-INDEX(Annahmen!$B$95:$F$95,E$12))/(INDEX(Annahmen!$B$80:$F$80,E$12+1)-INDEX(Annahmen!$B$80:$F$80,E$12))</f>
        <v>304.956240667729</v>
      </c>
      <c r="F23" s="64" t="n">
        <f aca="false">INDEX(Annahmen!$B$95:$F$95,F$12)+(F$7-INDEX(Annahmen!$B$80:$F$80,F$12))*(INDEX(Annahmen!$B$95:$F$95,F$12+1)-INDEX(Annahmen!$B$95:$F$95,F$12))/(INDEX(Annahmen!$B$80:$F$80,F$12+1)-INDEX(Annahmen!$B$80:$F$80,F$12))</f>
        <v>321.992437359018</v>
      </c>
      <c r="G23" s="64" t="n">
        <f aca="false">INDEX(Annahmen!$B$95:$F$95,G$12)+(G$7-INDEX(Annahmen!$B$80:$F$80,G$12))*(INDEX(Annahmen!$B$95:$F$95,G$12+1)-INDEX(Annahmen!$B$95:$F$95,G$12))/(INDEX(Annahmen!$B$80:$F$80,G$12+1)-INDEX(Annahmen!$B$80:$F$80,G$12))</f>
        <v>340.741781937396</v>
      </c>
      <c r="H23" s="64" t="n">
        <f aca="false">INDEX(Annahmen!$B$95:$F$95,H$12)+(H$7-INDEX(Annahmen!$B$80:$F$80,H$12))*(INDEX(Annahmen!$B$95:$F$95,H$12+1)-INDEX(Annahmen!$B$95:$F$95,H$12))/(INDEX(Annahmen!$B$80:$F$80,H$12+1)-INDEX(Annahmen!$B$80:$F$80,H$12))</f>
        <v>360.980038179635</v>
      </c>
      <c r="I23" s="64" t="n">
        <f aca="false">INDEX(Annahmen!$B$95:$F$95,I$12)+(I$7-INDEX(Annahmen!$B$80:$F$80,I$12))*(INDEX(Annahmen!$B$95:$F$95,I$12+1)-INDEX(Annahmen!$B$95:$F$95,I$12))/(INDEX(Annahmen!$B$80:$F$80,I$12+1)-INDEX(Annahmen!$B$80:$F$80,I$12))</f>
        <v>382.54667899105</v>
      </c>
      <c r="J23" s="64" t="n">
        <f aca="false">INDEX(Annahmen!$B$95:$F$95,J$12)+(J$7-INDEX(Annahmen!$B$80:$F$80,J$12))*(INDEX(Annahmen!$B$95:$F$95,J$12+1)-INDEX(Annahmen!$B$95:$F$95,J$12))/(INDEX(Annahmen!$B$80:$F$80,J$12+1)-INDEX(Annahmen!$B$80:$F$80,J$12))</f>
        <v>405.319869803465</v>
      </c>
      <c r="K23" s="64" t="n">
        <f aca="false">INDEX(Annahmen!$B$95:$F$95,K$12)+(K$7-INDEX(Annahmen!$B$80:$F$80,K$12))*(INDEX(Annahmen!$B$95:$F$95,K$12+1)-INDEX(Annahmen!$B$95:$F$95,K$12))/(INDEX(Annahmen!$B$80:$F$80,K$12+1)-INDEX(Annahmen!$B$80:$F$80,K$12))</f>
        <v>424.696399301391</v>
      </c>
      <c r="L23" s="64" t="n">
        <f aca="false">INDEX(Annahmen!$B$95:$F$95,L$12)+(L$7-INDEX(Annahmen!$B$80:$F$80,L$12))*(INDEX(Annahmen!$B$95:$F$95,L$12+1)-INDEX(Annahmen!$B$95:$F$95,L$12))/(INDEX(Annahmen!$B$80:$F$80,L$12+1)-INDEX(Annahmen!$B$80:$F$80,L$12))</f>
        <v>443.764145556652</v>
      </c>
      <c r="M23" s="64" t="n">
        <f aca="false">INDEX(Annahmen!$B$95:$F$95,M$12)+(M$7-INDEX(Annahmen!$B$80:$F$80,M$12))*(INDEX(Annahmen!$B$95:$F$95,M$12+1)-INDEX(Annahmen!$B$95:$F$95,M$12))/(INDEX(Annahmen!$B$80:$F$80,M$12+1)-INDEX(Annahmen!$B$80:$F$80,M$12))</f>
        <v>463.571428571429</v>
      </c>
      <c r="N23" s="64" t="n">
        <f aca="false">INDEX(Annahmen!$B$95:$F$95,N$12)+(N$7-INDEX(Annahmen!$B$80:$F$80,N$12))*(INDEX(Annahmen!$B$95:$F$95,N$12+1)-INDEX(Annahmen!$B$95:$F$95,N$12))/(INDEX(Annahmen!$B$80:$F$80,N$12+1)-INDEX(Annahmen!$B$80:$F$80,N$12))</f>
        <v>478.264925560641</v>
      </c>
      <c r="O23" s="64" t="n">
        <f aca="false">INDEX(Annahmen!$B$95:$F$95,O$12)+(O$7-INDEX(Annahmen!$B$80:$F$80,O$12))*(INDEX(Annahmen!$B$95:$F$95,O$12+1)-INDEX(Annahmen!$B$95:$F$95,O$12))/(INDEX(Annahmen!$B$80:$F$80,O$12+1)-INDEX(Annahmen!$B$80:$F$80,O$12))</f>
        <v>499.252966327781</v>
      </c>
      <c r="P23" s="64" t="n">
        <f aca="false">INDEX(Annahmen!$B$95:$F$95,P$12)+(P$7-INDEX(Annahmen!$B$80:$F$80,P$12))*(INDEX(Annahmen!$B$95:$F$95,P$12+1)-INDEX(Annahmen!$B$95:$F$95,P$12))/(INDEX(Annahmen!$B$80:$F$80,P$12+1)-INDEX(Annahmen!$B$80:$F$80,P$12))</f>
        <v>523.528494829161</v>
      </c>
      <c r="Q23" s="64" t="n">
        <f aca="false">INDEX(Annahmen!$B$95:$F$95,Q$12)+(Q$7-INDEX(Annahmen!$B$80:$F$80,Q$12))*(INDEX(Annahmen!$B$95:$F$95,Q$12+1)-INDEX(Annahmen!$B$95:$F$95,Q$12))/(INDEX(Annahmen!$B$80:$F$80,Q$12+1)-INDEX(Annahmen!$B$80:$F$80,Q$12))</f>
        <v>550.220109793652</v>
      </c>
      <c r="R23" s="64" t="n">
        <f aca="false">INDEX(Annahmen!$B$95:$F$95,R$12)+(R$7-INDEX(Annahmen!$B$80:$F$80,R$12))*(INDEX(Annahmen!$B$95:$F$95,R$12+1)-INDEX(Annahmen!$B$95:$F$95,R$12))/(INDEX(Annahmen!$B$80:$F$80,R$12+1)-INDEX(Annahmen!$B$80:$F$80,R$12))</f>
        <v>578.708234316838</v>
      </c>
      <c r="S23" s="64" t="n">
        <f aca="false">INDEX(Annahmen!$B$95:$F$95,S$12)+(S$7-INDEX(Annahmen!$B$80:$F$80,S$12))*(INDEX(Annahmen!$B$95:$F$95,S$12+1)-INDEX(Annahmen!$B$95:$F$95,S$12))/(INDEX(Annahmen!$B$80:$F$80,S$12+1)-INDEX(Annahmen!$B$80:$F$80,S$12))</f>
        <v>608.760800214722</v>
      </c>
      <c r="T23" s="64" t="n">
        <f aca="false">INDEX(Annahmen!$B$95:$F$95,T$12)+(T$7-INDEX(Annahmen!$B$80:$F$80,T$12))*(INDEX(Annahmen!$B$95:$F$95,T$12+1)-INDEX(Annahmen!$B$95:$F$95,T$12))/(INDEX(Annahmen!$B$80:$F$80,T$12+1)-INDEX(Annahmen!$B$80:$F$80,T$12))</f>
        <v>640.254966763346</v>
      </c>
      <c r="U23" s="64" t="n">
        <f aca="false">INDEX(Annahmen!$B$95:$F$95,U$12)+(U$7-INDEX(Annahmen!$B$80:$F$80,U$12))*(INDEX(Annahmen!$B$95:$F$95,U$12+1)-INDEX(Annahmen!$B$95:$F$95,U$12))/(INDEX(Annahmen!$B$80:$F$80,U$12+1)-INDEX(Annahmen!$B$80:$F$80,U$12))</f>
        <v>673.038297867875</v>
      </c>
      <c r="V23" s="64" t="n">
        <f aca="false">INDEX(Annahmen!$B$95:$F$95,V$12)+(V$7-INDEX(Annahmen!$B$80:$F$80,V$12))*(INDEX(Annahmen!$B$95:$F$95,V$12+1)-INDEX(Annahmen!$B$95:$F$95,V$12))/(INDEX(Annahmen!$B$80:$F$80,V$12+1)-INDEX(Annahmen!$B$80:$F$80,V$12))</f>
        <v>706.992037675416</v>
      </c>
      <c r="W23" s="64" t="n">
        <f aca="false">INDEX(Annahmen!$B$95:$F$95,W$12)+(W$7-INDEX(Annahmen!$B$80:$F$80,W$12))*(INDEX(Annahmen!$B$95:$F$95,W$12+1)-INDEX(Annahmen!$B$95:$F$95,W$12))/(INDEX(Annahmen!$B$80:$F$80,W$12+1)-INDEX(Annahmen!$B$80:$F$80,W$12))</f>
        <v>741.690677643244</v>
      </c>
      <c r="X23" s="64" t="n">
        <f aca="false">INDEX(Annahmen!$B$95:$F$95,X$12)+(X$7-INDEX(Annahmen!$B$80:$F$80,X$12))*(INDEX(Annahmen!$B$95:$F$95,X$12+1)-INDEX(Annahmen!$B$95:$F$95,X$12))/(INDEX(Annahmen!$B$80:$F$80,X$12+1)-INDEX(Annahmen!$B$80:$F$80,X$12))</f>
        <v>776.726494663211</v>
      </c>
      <c r="Y23" s="64" t="n">
        <f aca="false">INDEX(Annahmen!$B$95:$F$95,Y$12)+(Y$7-INDEX(Annahmen!$B$80:$F$80,Y$12))*(INDEX(Annahmen!$B$95:$F$95,Y$12+1)-INDEX(Annahmen!$B$95:$F$95,Y$12))/(INDEX(Annahmen!$B$80:$F$80,Y$12+1)-INDEX(Annahmen!$B$80:$F$80,Y$12))</f>
        <v>812.666666666667</v>
      </c>
      <c r="Z23" s="64" t="n">
        <f aca="false">INDEX(Annahmen!$B$95:$F$95,Z$12)+(Z$7-INDEX(Annahmen!$B$80:$F$80,Z$12))*(INDEX(Annahmen!$B$95:$F$95,Z$12+1)-INDEX(Annahmen!$B$95:$F$95,Z$12))/(INDEX(Annahmen!$B$80:$F$80,Z$12+1)-INDEX(Annahmen!$B$80:$F$80,Z$12))</f>
        <v>845.303050821023</v>
      </c>
      <c r="AA23" s="64" t="n">
        <f aca="false">INDEX(Annahmen!$B$95:$F$95,AA$12)+(AA$7-INDEX(Annahmen!$B$80:$F$80,AA$12))*(INDEX(Annahmen!$B$95:$F$95,AA$12+1)-INDEX(Annahmen!$B$95:$F$95,AA$12))/(INDEX(Annahmen!$B$80:$F$80,AA$12+1)-INDEX(Annahmen!$B$80:$F$80,AA$12))</f>
        <v>891.920528037409</v>
      </c>
      <c r="AB23" s="64" t="n">
        <f aca="false">INDEX(Annahmen!$B$95:$F$95,AB$12)+(AB$7-INDEX(Annahmen!$B$80:$F$80,AB$12))*(INDEX(Annahmen!$B$95:$F$95,AB$12+1)-INDEX(Annahmen!$B$95:$F$95,AB$12))/(INDEX(Annahmen!$B$80:$F$80,AB$12+1)-INDEX(Annahmen!$B$80:$F$80,AB$12))</f>
        <v>945.83999147778</v>
      </c>
      <c r="AC23" s="64" t="n">
        <f aca="false">INDEX(Annahmen!$B$95:$F$95,AC$12)+(AC$7-INDEX(Annahmen!$B$80:$F$80,AC$12))*(INDEX(Annahmen!$B$95:$F$95,AC$12+1)-INDEX(Annahmen!$B$95:$F$95,AC$12))/(INDEX(Annahmen!$B$80:$F$80,AC$12+1)-INDEX(Annahmen!$B$80:$F$80,AC$12))</f>
        <v>1005.12593275649</v>
      </c>
      <c r="AD23" s="64" t="n">
        <f aca="false">INDEX(Annahmen!$B$95:$F$95,AD$12)+(AD$7-INDEX(Annahmen!$B$80:$F$80,AD$12))*(INDEX(Annahmen!$B$95:$F$95,AD$12+1)-INDEX(Annahmen!$B$95:$F$95,AD$12))/(INDEX(Annahmen!$B$80:$F$80,AD$12+1)-INDEX(Annahmen!$B$80:$F$80,AD$12))</f>
        <v>1068.751372597</v>
      </c>
      <c r="AE23" s="64" t="n">
        <f aca="false">INDEX(Annahmen!$B$95:$F$95,AE$12)+(AE$7-INDEX(Annahmen!$B$80:$F$80,AE$12))*(INDEX(Annahmen!$B$95:$F$95,AE$12+1)-INDEX(Annahmen!$B$95:$F$95,AE$12))/(INDEX(Annahmen!$B$80:$F$80,AE$12+1)-INDEX(Annahmen!$B$80:$F$80,AE$12))</f>
        <v>1136.06340611373</v>
      </c>
      <c r="AF23" s="64" t="n">
        <f aca="false">INDEX(Annahmen!$B$95:$F$95,AF$12)+(AF$7-INDEX(Annahmen!$B$80:$F$80,AF$12))*(INDEX(Annahmen!$B$95:$F$95,AF$12+1)-INDEX(Annahmen!$B$95:$F$95,AF$12))/(INDEX(Annahmen!$B$80:$F$80,AF$12+1)-INDEX(Annahmen!$B$80:$F$80,AF$12))</f>
        <v>1206.60435098699</v>
      </c>
      <c r="AG23" s="64" t="n">
        <f aca="false">INDEX(Annahmen!$B$95:$F$95,AG$12)+(AG$7-INDEX(Annahmen!$B$80:$F$80,AG$12))*(INDEX(Annahmen!$B$95:$F$95,AG$12+1)-INDEX(Annahmen!$B$95:$F$95,AG$12))/(INDEX(Annahmen!$B$80:$F$80,AG$12+1)-INDEX(Annahmen!$B$80:$F$80,AG$12))</f>
        <v>1280.03277934803</v>
      </c>
      <c r="AH23" s="64" t="n">
        <f aca="false">INDEX(Annahmen!$B$95:$F$95,AH$12)+(AH$7-INDEX(Annahmen!$B$80:$F$80,AH$12))*(INDEX(Annahmen!$B$95:$F$95,AH$12+1)-INDEX(Annahmen!$B$95:$F$95,AH$12))/(INDEX(Annahmen!$B$80:$F$80,AH$12+1)-INDEX(Annahmen!$B$80:$F$80,AH$12))</f>
        <v>1356.08270066622</v>
      </c>
      <c r="AI23" s="64" t="n">
        <f aca="false">INDEX(Annahmen!$B$95:$F$95,AI$12)+(AI$7-INDEX(Annahmen!$B$80:$F$80,AI$12))*(INDEX(Annahmen!$B$95:$F$95,AI$12+1)-INDEX(Annahmen!$B$95:$F$95,AI$12))/(INDEX(Annahmen!$B$80:$F$80,AI$12+1)-INDEX(Annahmen!$B$80:$F$80,AI$12))</f>
        <v>1434.54014649151</v>
      </c>
      <c r="AJ23" s="64" t="n">
        <f aca="false">INDEX(Annahmen!$B$95:$F$95,AJ$12)+(AJ$7-INDEX(Annahmen!$B$80:$F$80,AJ$12))*(INDEX(Annahmen!$B$95:$F$95,AJ$12+1)-INDEX(Annahmen!$B$95:$F$95,AJ$12))/(INDEX(Annahmen!$B$80:$F$80,AJ$12+1)-INDEX(Annahmen!$B$80:$F$80,AJ$12))</f>
        <v>1515.22869477992</v>
      </c>
      <c r="AK23" s="64" t="n">
        <f aca="false">INDEX(Annahmen!$B$95:$F$95,AK$12)+(AK$7-INDEX(Annahmen!$B$80:$F$80,AK$12))*(INDEX(Annahmen!$B$95:$F$95,AK$12+1)-INDEX(Annahmen!$B$95:$F$95,AK$12))/(INDEX(Annahmen!$B$80:$F$80,AK$12+1)-INDEX(Annahmen!$B$80:$F$80,AK$12))</f>
        <v>1598</v>
      </c>
    </row>
    <row r="24" customFormat="false" ht="16.5" hidden="false" customHeight="true" outlineLevel="0" collapsed="false">
      <c r="A24" s="14" t="s">
        <v>324</v>
      </c>
      <c r="B24" s="66" t="n">
        <f aca="false">B9*Annahmen!$B$105+B9*Annahmen!$B$110*Annahmen!$B$111</f>
        <v>0</v>
      </c>
      <c r="C24" s="66" t="n">
        <f aca="false">C9*Annahmen!$B$105+C9*Annahmen!$B$110*Annahmen!$B$111</f>
        <v>164.997791703056</v>
      </c>
      <c r="D24" s="66" t="n">
        <f aca="false">D9*Annahmen!$B$105+D9*Annahmen!$B$110*Annahmen!$B$111</f>
        <v>273.189155987642</v>
      </c>
      <c r="E24" s="66" t="n">
        <f aca="false">E9*Annahmen!$B$105+E9*Annahmen!$B$110*Annahmen!$B$111</f>
        <v>344.795412264138</v>
      </c>
      <c r="F24" s="66" t="n">
        <f aca="false">F9*Annahmen!$B$105+F9*Annahmen!$B$110*Annahmen!$B$111</f>
        <v>406.07966837622</v>
      </c>
      <c r="G24" s="66" t="n">
        <f aca="false">G9*Annahmen!$B$105+G9*Annahmen!$B$110*Annahmen!$B$111</f>
        <v>462.32871746847</v>
      </c>
      <c r="H24" s="66" t="n">
        <f aca="false">H9*Annahmen!$B$105+H9*Annahmen!$B$110*Annahmen!$B$111</f>
        <v>515.710317027521</v>
      </c>
      <c r="I24" s="66" t="n">
        <f aca="false">I9*Annahmen!$B$105+I9*Annahmen!$B$110*Annahmen!$B$111</f>
        <v>567.338401996443</v>
      </c>
      <c r="J24" s="66" t="n">
        <f aca="false">J9*Annahmen!$B$105+J9*Annahmen!$B$110*Annahmen!$B$111</f>
        <v>617.861750257264</v>
      </c>
      <c r="K24" s="66" t="n">
        <f aca="false">K9*Annahmen!$B$105+K9*Annahmen!$B$110*Annahmen!$B$111</f>
        <v>667.690056817252</v>
      </c>
      <c r="L24" s="66" t="n">
        <f aca="false">L9*Annahmen!$B$105+L9*Annahmen!$B$110*Annahmen!$B$111</f>
        <v>717.097121611117</v>
      </c>
      <c r="M24" s="66" t="n">
        <f aca="false">M9*Annahmen!$B$105+M9*Annahmen!$B$110*Annahmen!$B$111</f>
        <v>766.273728193063</v>
      </c>
      <c r="N24" s="66" t="n">
        <f aca="false">N9*Annahmen!$B$105+N9*Annahmen!$B$110*Annahmen!$B$111</f>
        <v>652.13445302819</v>
      </c>
      <c r="O24" s="66" t="n">
        <f aca="false">O9*Annahmen!$B$105+O9*Annahmen!$B$110*Annahmen!$B$111</f>
        <v>850.833103047774</v>
      </c>
      <c r="P24" s="66" t="n">
        <f aca="false">P9*Annahmen!$B$105+P9*Annahmen!$B$110*Annahmen!$B$111</f>
        <v>974.441104034216</v>
      </c>
      <c r="Q24" s="66" t="n">
        <f aca="false">Q9*Annahmen!$B$105+Q9*Annahmen!$B$110*Annahmen!$B$111</f>
        <v>1078.46883360409</v>
      </c>
      <c r="R24" s="66" t="n">
        <f aca="false">R9*Annahmen!$B$105+R9*Annahmen!$B$110*Annahmen!$B$111</f>
        <v>1173.10792184139</v>
      </c>
      <c r="S24" s="66" t="n">
        <f aca="false">S9*Annahmen!$B$105+S9*Annahmen!$B$110*Annahmen!$B$111</f>
        <v>1262.40034374811</v>
      </c>
      <c r="T24" s="66" t="n">
        <f aca="false">T9*Annahmen!$B$105+T9*Annahmen!$B$110*Annahmen!$B$111</f>
        <v>1348.37710455539</v>
      </c>
      <c r="U24" s="66" t="n">
        <f aca="false">U9*Annahmen!$B$105+U9*Annahmen!$B$110*Annahmen!$B$111</f>
        <v>1432.20146811877</v>
      </c>
      <c r="V24" s="66" t="n">
        <f aca="false">V9*Annahmen!$B$105+V9*Annahmen!$B$110*Annahmen!$B$111</f>
        <v>1514.59847213636</v>
      </c>
      <c r="W24" s="66" t="n">
        <f aca="false">W9*Annahmen!$B$105+W9*Annahmen!$B$110*Annahmen!$B$111</f>
        <v>1596.04762607089</v>
      </c>
      <c r="X24" s="66" t="n">
        <f aca="false">X9*Annahmen!$B$105+X9*Annahmen!$B$110*Annahmen!$B$111</f>
        <v>1676.88026182409</v>
      </c>
      <c r="Y24" s="66" t="n">
        <f aca="false">Y9*Annahmen!$B$105+Y9*Annahmen!$B$110*Annahmen!$B$111</f>
        <v>1757.33313106305</v>
      </c>
      <c r="Z24" s="66" t="n">
        <f aca="false">Z9*Annahmen!$B$105+Z9*Annahmen!$B$110*Annahmen!$B$111</f>
        <v>1716.61995242856</v>
      </c>
      <c r="AA24" s="66" t="n">
        <f aca="false">AA9*Annahmen!$B$105+AA9*Annahmen!$B$110*Annahmen!$B$111</f>
        <v>2174.22896459487</v>
      </c>
      <c r="AB24" s="66" t="n">
        <f aca="false">AB9*Annahmen!$B$105+AB9*Annahmen!$B$110*Annahmen!$B$111</f>
        <v>2458.90193656365</v>
      </c>
      <c r="AC24" s="66" t="n">
        <f aca="false">AC9*Annahmen!$B$105+AC9*Annahmen!$B$110*Annahmen!$B$111</f>
        <v>2698.48095011852</v>
      </c>
      <c r="AD24" s="66" t="n">
        <f aca="false">AD9*Annahmen!$B$105+AD9*Annahmen!$B$110*Annahmen!$B$111</f>
        <v>2916.43763818016</v>
      </c>
      <c r="AE24" s="66" t="n">
        <f aca="false">AE9*Annahmen!$B$105+AE9*Annahmen!$B$110*Annahmen!$B$111</f>
        <v>3122.08079166233</v>
      </c>
      <c r="AF24" s="66" t="n">
        <f aca="false">AF9*Annahmen!$B$105+AF9*Annahmen!$B$110*Annahmen!$B$111</f>
        <v>3320.08787715787</v>
      </c>
      <c r="AG24" s="66" t="n">
        <f aca="false">AG9*Annahmen!$B$105+AG9*Annahmen!$B$110*Annahmen!$B$111</f>
        <v>3513.13792657657</v>
      </c>
      <c r="AH24" s="66" t="n">
        <f aca="false">AH9*Annahmen!$B$105+AH9*Annahmen!$B$110*Annahmen!$B$111</f>
        <v>3702.90072370799</v>
      </c>
      <c r="AI24" s="66" t="n">
        <f aca="false">AI9*Annahmen!$B$105+AI9*Annahmen!$B$110*Annahmen!$B$111</f>
        <v>3890.48059337539</v>
      </c>
      <c r="AJ24" s="66" t="n">
        <f aca="false">AJ9*Annahmen!$B$105+AJ9*Annahmen!$B$110*Annahmen!$B$111</f>
        <v>4076.64060298881</v>
      </c>
      <c r="AK24" s="66" t="n">
        <f aca="false">AK9*Annahmen!$B$105+AK9*Annahmen!$B$110*Annahmen!$B$111</f>
        <v>4261.92599881187</v>
      </c>
    </row>
    <row r="25" customFormat="false" ht="16.5" hidden="false" customHeight="true" outlineLevel="0" collapsed="false">
      <c r="A25" s="14" t="s">
        <v>325</v>
      </c>
      <c r="B25" s="66" t="n">
        <f aca="false">B9*Annahmen!$C$146*Annahmen!$C$147*Annahmen!$C$148</f>
        <v>0</v>
      </c>
      <c r="C25" s="66" t="n">
        <f aca="false">C9*Annahmen!$C$146*Annahmen!$C$147*Annahmen!$C$148</f>
        <v>13.5471871082509</v>
      </c>
      <c r="D25" s="66" t="n">
        <f aca="false">D9*Annahmen!$C$146*Annahmen!$C$147*Annahmen!$C$148</f>
        <v>22.4302675442485</v>
      </c>
      <c r="E25" s="66" t="n">
        <f aca="false">E9*Annahmen!$C$146*Annahmen!$C$147*Annahmen!$C$148</f>
        <v>28.3095180595819</v>
      </c>
      <c r="F25" s="66" t="n">
        <f aca="false">F9*Annahmen!$C$146*Annahmen!$C$147*Annahmen!$C$148</f>
        <v>33.3412780351002</v>
      </c>
      <c r="G25" s="66" t="n">
        <f aca="false">G9*Annahmen!$C$146*Annahmen!$C$147*Annahmen!$C$148</f>
        <v>37.9596210132007</v>
      </c>
      <c r="H25" s="66" t="n">
        <f aca="false">H9*Annahmen!$C$146*Annahmen!$C$147*Annahmen!$C$148</f>
        <v>42.3425312927859</v>
      </c>
      <c r="I25" s="66" t="n">
        <f aca="false">I9*Annahmen!$C$146*Annahmen!$C$147*Annahmen!$C$148</f>
        <v>46.5814687954974</v>
      </c>
      <c r="J25" s="66" t="n">
        <f aca="false">J9*Annahmen!$C$146*Annahmen!$C$147*Annahmen!$C$148</f>
        <v>50.7297016000701</v>
      </c>
      <c r="K25" s="66" t="n">
        <f aca="false">K9*Annahmen!$C$146*Annahmen!$C$147*Annahmen!$C$148</f>
        <v>54.8208678228902</v>
      </c>
      <c r="L25" s="66" t="n">
        <f aca="false">L9*Annahmen!$C$146*Annahmen!$C$147*Annahmen!$C$148</f>
        <v>58.8774478796496</v>
      </c>
      <c r="M25" s="66" t="n">
        <f aca="false">M9*Annahmen!$C$146*Annahmen!$C$147*Annahmen!$C$148</f>
        <v>62.9151061042725</v>
      </c>
      <c r="N25" s="66" t="n">
        <f aca="false">N9*Annahmen!$C$146*Annahmen!$C$147*Annahmen!$C$148</f>
        <v>53.5436708802093</v>
      </c>
      <c r="O25" s="66" t="n">
        <f aca="false">O9*Annahmen!$C$146*Annahmen!$C$147*Annahmen!$C$148</f>
        <v>69.8578758291856</v>
      </c>
      <c r="P25" s="66" t="n">
        <f aca="false">P9*Annahmen!$C$146*Annahmen!$C$147*Annahmen!$C$148</f>
        <v>80.0067432785988</v>
      </c>
      <c r="Q25" s="66" t="n">
        <f aca="false">Q9*Annahmen!$C$146*Annahmen!$C$147*Annahmen!$C$148</f>
        <v>88.5479673906519</v>
      </c>
      <c r="R25" s="66" t="n">
        <f aca="false">R9*Annahmen!$C$146*Annahmen!$C$147*Annahmen!$C$148</f>
        <v>96.318334635398</v>
      </c>
      <c r="S25" s="66" t="n">
        <f aca="false">S9*Annahmen!$C$146*Annahmen!$C$147*Annahmen!$C$148</f>
        <v>103.649712434056</v>
      </c>
      <c r="T25" s="66" t="n">
        <f aca="false">T9*Annahmen!$C$146*Annahmen!$C$147*Annahmen!$C$148</f>
        <v>110.7088570056</v>
      </c>
      <c r="U25" s="66" t="n">
        <f aca="false">U9*Annahmen!$C$146*Annahmen!$C$147*Annahmen!$C$148</f>
        <v>117.591278435015</v>
      </c>
      <c r="V25" s="66" t="n">
        <f aca="false">V9*Annahmen!$C$146*Annahmen!$C$147*Annahmen!$C$148</f>
        <v>124.356506133302</v>
      </c>
      <c r="W25" s="66" t="n">
        <f aca="false">W9*Annahmen!$C$146*Annahmen!$C$147*Annahmen!$C$148</f>
        <v>131.043910351084</v>
      </c>
      <c r="X25" s="66" t="n">
        <f aca="false">X9*Annahmen!$C$146*Annahmen!$C$147*Annahmen!$C$148</f>
        <v>137.680695181346</v>
      </c>
      <c r="Y25" s="66" t="n">
        <f aca="false">Y9*Annahmen!$C$146*Annahmen!$C$147*Annahmen!$C$148</f>
        <v>144.286299182019</v>
      </c>
      <c r="Z25" s="66" t="n">
        <f aca="false">Z9*Annahmen!$C$146*Annahmen!$C$147*Annahmen!$C$148</f>
        <v>140.94353293624</v>
      </c>
      <c r="AA25" s="66" t="n">
        <f aca="false">AA9*Annahmen!$C$146*Annahmen!$C$147*Annahmen!$C$148</f>
        <v>178.515641303579</v>
      </c>
      <c r="AB25" s="66" t="n">
        <f aca="false">AB9*Annahmen!$C$146*Annahmen!$C$147*Annahmen!$C$148</f>
        <v>201.888790581015</v>
      </c>
      <c r="AC25" s="66" t="n">
        <f aca="false">AC9*Annahmen!$C$146*Annahmen!$C$147*Annahmen!$C$148</f>
        <v>221.559488536047</v>
      </c>
      <c r="AD25" s="66" t="n">
        <f aca="false">AD9*Annahmen!$C$146*Annahmen!$C$147*Annahmen!$C$148</f>
        <v>239.454879766371</v>
      </c>
      <c r="AE25" s="66" t="n">
        <f aca="false">AE9*Annahmen!$C$146*Annahmen!$C$147*Annahmen!$C$148</f>
        <v>256.339264999644</v>
      </c>
      <c r="AF25" s="66" t="n">
        <f aca="false">AF9*Annahmen!$C$146*Annahmen!$C$147*Annahmen!$C$148</f>
        <v>272.596688861383</v>
      </c>
      <c r="AG25" s="66" t="n">
        <f aca="false">AG9*Annahmen!$C$146*Annahmen!$C$147*Annahmen!$C$148</f>
        <v>288.44711397155</v>
      </c>
      <c r="AH25" s="66" t="n">
        <f aca="false">AH9*Annahmen!$C$146*Annahmen!$C$147*Annahmen!$C$148</f>
        <v>304.027638367603</v>
      </c>
      <c r="AI25" s="66" t="n">
        <f aca="false">AI9*Annahmen!$C$146*Annahmen!$C$147*Annahmen!$C$148</f>
        <v>319.428932929769</v>
      </c>
      <c r="AJ25" s="66" t="n">
        <f aca="false">AJ9*Annahmen!$C$146*Annahmen!$C$147*Annahmen!$C$148</f>
        <v>334.713649508555</v>
      </c>
      <c r="AK25" s="66" t="n">
        <f aca="false">AK9*Annahmen!$C$146*Annahmen!$C$147*Annahmen!$C$148</f>
        <v>349.926555691922</v>
      </c>
    </row>
    <row r="26" customFormat="false" ht="16.5" hidden="false" customHeight="true" outlineLevel="0" collapsed="false">
      <c r="A26" s="14" t="s">
        <v>326</v>
      </c>
      <c r="B26" s="64" t="n">
        <f aca="false">INDEX(Annahmen!$B$96:$F$96,B$12)+(B$7-INDEX(Annahmen!$B$80:$F$80,B$12))*(INDEX(Annahmen!$B$96:$F$96,B$12+1)-INDEX(Annahmen!$B$96:$F$96,B$12))/(INDEX(Annahmen!$B$80:$F$80,B$12+1)-INDEX(Annahmen!$B$80:$F$80,B$12))</f>
        <v>0</v>
      </c>
      <c r="C26" s="64" t="n">
        <f aca="false">INDEX(Annahmen!$B$96:$F$96,C$12)+(C$7-INDEX(Annahmen!$B$80:$F$80,C$12))*(INDEX(Annahmen!$B$96:$F$96,C$12+1)-INDEX(Annahmen!$B$96:$F$96,C$12))/(INDEX(Annahmen!$B$80:$F$80,C$12+1)-INDEX(Annahmen!$B$80:$F$80,C$12))</f>
        <v>0</v>
      </c>
      <c r="D26" s="64" t="n">
        <f aca="false">INDEX(Annahmen!$B$96:$F$96,D$12)+(D$7-INDEX(Annahmen!$B$80:$F$80,D$12))*(INDEX(Annahmen!$B$96:$F$96,D$12+1)-INDEX(Annahmen!$B$96:$F$96,D$12))/(INDEX(Annahmen!$B$80:$F$80,D$12+1)-INDEX(Annahmen!$B$80:$F$80,D$12))</f>
        <v>0</v>
      </c>
      <c r="E26" s="64" t="n">
        <f aca="false">INDEX(Annahmen!$B$96:$F$96,E$12)+(E$7-INDEX(Annahmen!$B$80:$F$80,E$12))*(INDEX(Annahmen!$B$96:$F$96,E$12+1)-INDEX(Annahmen!$B$96:$F$96,E$12))/(INDEX(Annahmen!$B$80:$F$80,E$12+1)-INDEX(Annahmen!$B$80:$F$80,E$12))</f>
        <v>0</v>
      </c>
      <c r="F26" s="64" t="n">
        <f aca="false">INDEX(Annahmen!$B$96:$F$96,F$12)+(F$7-INDEX(Annahmen!$B$80:$F$80,F$12))*(INDEX(Annahmen!$B$96:$F$96,F$12+1)-INDEX(Annahmen!$B$96:$F$96,F$12))/(INDEX(Annahmen!$B$80:$F$80,F$12+1)-INDEX(Annahmen!$B$80:$F$80,F$12))</f>
        <v>0</v>
      </c>
      <c r="G26" s="64" t="n">
        <f aca="false">INDEX(Annahmen!$B$96:$F$96,G$12)+(G$7-INDEX(Annahmen!$B$80:$F$80,G$12))*(INDEX(Annahmen!$B$96:$F$96,G$12+1)-INDEX(Annahmen!$B$96:$F$96,G$12))/(INDEX(Annahmen!$B$80:$F$80,G$12+1)-INDEX(Annahmen!$B$80:$F$80,G$12))</f>
        <v>0</v>
      </c>
      <c r="H26" s="64" t="n">
        <f aca="false">INDEX(Annahmen!$B$96:$F$96,H$12)+(H$7-INDEX(Annahmen!$B$80:$F$80,H$12))*(INDEX(Annahmen!$B$96:$F$96,H$12+1)-INDEX(Annahmen!$B$96:$F$96,H$12))/(INDEX(Annahmen!$B$80:$F$80,H$12+1)-INDEX(Annahmen!$B$80:$F$80,H$12))</f>
        <v>0</v>
      </c>
      <c r="I26" s="64" t="n">
        <f aca="false">INDEX(Annahmen!$B$96:$F$96,I$12)+(I$7-INDEX(Annahmen!$B$80:$F$80,I$12))*(INDEX(Annahmen!$B$96:$F$96,I$12+1)-INDEX(Annahmen!$B$96:$F$96,I$12))/(INDEX(Annahmen!$B$80:$F$80,I$12+1)-INDEX(Annahmen!$B$80:$F$80,I$12))</f>
        <v>0</v>
      </c>
      <c r="J26" s="64" t="n">
        <f aca="false">INDEX(Annahmen!$B$96:$F$96,J$12)+(J$7-INDEX(Annahmen!$B$80:$F$80,J$12))*(INDEX(Annahmen!$B$96:$F$96,J$12+1)-INDEX(Annahmen!$B$96:$F$96,J$12))/(INDEX(Annahmen!$B$80:$F$80,J$12+1)-INDEX(Annahmen!$B$80:$F$80,J$12))</f>
        <v>0</v>
      </c>
      <c r="K26" s="64" t="n">
        <f aca="false">INDEX(Annahmen!$B$96:$F$96,K$12)+(K$7-INDEX(Annahmen!$B$80:$F$80,K$12))*(INDEX(Annahmen!$B$96:$F$96,K$12+1)-INDEX(Annahmen!$B$96:$F$96,K$12))/(INDEX(Annahmen!$B$80:$F$80,K$12+1)-INDEX(Annahmen!$B$80:$F$80,K$12))</f>
        <v>0</v>
      </c>
      <c r="L26" s="64" t="n">
        <f aca="false">INDEX(Annahmen!$B$96:$F$96,L$12)+(L$7-INDEX(Annahmen!$B$80:$F$80,L$12))*(INDEX(Annahmen!$B$96:$F$96,L$12+1)-INDEX(Annahmen!$B$96:$F$96,L$12))/(INDEX(Annahmen!$B$80:$F$80,L$12+1)-INDEX(Annahmen!$B$80:$F$80,L$12))</f>
        <v>0</v>
      </c>
      <c r="M26" s="64" t="n">
        <f aca="false">INDEX(Annahmen!$B$96:$F$96,M$12)+(M$7-INDEX(Annahmen!$B$80:$F$80,M$12))*(INDEX(Annahmen!$B$96:$F$96,M$12+1)-INDEX(Annahmen!$B$96:$F$96,M$12))/(INDEX(Annahmen!$B$80:$F$80,M$12+1)-INDEX(Annahmen!$B$80:$F$80,M$12))</f>
        <v>0</v>
      </c>
      <c r="N26" s="64" t="n">
        <f aca="false">INDEX(Annahmen!$B$96:$F$96,N$12)+(N$7-INDEX(Annahmen!$B$80:$F$80,N$12))*(INDEX(Annahmen!$B$96:$F$96,N$12+1)-INDEX(Annahmen!$B$96:$F$96,N$12))/(INDEX(Annahmen!$B$80:$F$80,N$12+1)-INDEX(Annahmen!$B$80:$F$80,N$12))</f>
        <v>0</v>
      </c>
      <c r="O26" s="64" t="n">
        <f aca="false">INDEX(Annahmen!$B$96:$F$96,O$12)+(O$7-INDEX(Annahmen!$B$80:$F$80,O$12))*(INDEX(Annahmen!$B$96:$F$96,O$12+1)-INDEX(Annahmen!$B$96:$F$96,O$12))/(INDEX(Annahmen!$B$80:$F$80,O$12+1)-INDEX(Annahmen!$B$80:$F$80,O$12))</f>
        <v>0</v>
      </c>
      <c r="P26" s="64" t="n">
        <f aca="false">INDEX(Annahmen!$B$96:$F$96,P$12)+(P$7-INDEX(Annahmen!$B$80:$F$80,P$12))*(INDEX(Annahmen!$B$96:$F$96,P$12+1)-INDEX(Annahmen!$B$96:$F$96,P$12))/(INDEX(Annahmen!$B$80:$F$80,P$12+1)-INDEX(Annahmen!$B$80:$F$80,P$12))</f>
        <v>0</v>
      </c>
      <c r="Q26" s="64" t="n">
        <f aca="false">INDEX(Annahmen!$B$96:$F$96,Q$12)+(Q$7-INDEX(Annahmen!$B$80:$F$80,Q$12))*(INDEX(Annahmen!$B$96:$F$96,Q$12+1)-INDEX(Annahmen!$B$96:$F$96,Q$12))/(INDEX(Annahmen!$B$80:$F$80,Q$12+1)-INDEX(Annahmen!$B$80:$F$80,Q$12))</f>
        <v>0</v>
      </c>
      <c r="R26" s="64" t="n">
        <f aca="false">INDEX(Annahmen!$B$96:$F$96,R$12)+(R$7-INDEX(Annahmen!$B$80:$F$80,R$12))*(INDEX(Annahmen!$B$96:$F$96,R$12+1)-INDEX(Annahmen!$B$96:$F$96,R$12))/(INDEX(Annahmen!$B$80:$F$80,R$12+1)-INDEX(Annahmen!$B$80:$F$80,R$12))</f>
        <v>187.082343168381</v>
      </c>
      <c r="S26" s="64" t="n">
        <f aca="false">INDEX(Annahmen!$B$96:$F$96,S$12)+(S$7-INDEX(Annahmen!$B$80:$F$80,S$12))*(INDEX(Annahmen!$B$96:$F$96,S$12+1)-INDEX(Annahmen!$B$96:$F$96,S$12))/(INDEX(Annahmen!$B$80:$F$80,S$12+1)-INDEX(Annahmen!$B$80:$F$80,S$12))</f>
        <v>487.608002147214</v>
      </c>
      <c r="T26" s="64" t="n">
        <f aca="false">INDEX(Annahmen!$B$96:$F$96,T$12)+(T$7-INDEX(Annahmen!$B$80:$F$80,T$12))*(INDEX(Annahmen!$B$96:$F$96,T$12+1)-INDEX(Annahmen!$B$96:$F$96,T$12))/(INDEX(Annahmen!$B$80:$F$80,T$12+1)-INDEX(Annahmen!$B$80:$F$80,T$12))</f>
        <v>802.549667633461</v>
      </c>
      <c r="U26" s="64" t="n">
        <f aca="false">INDEX(Annahmen!$B$96:$F$96,U$12)+(U$7-INDEX(Annahmen!$B$80:$F$80,U$12))*(INDEX(Annahmen!$B$96:$F$96,U$12+1)-INDEX(Annahmen!$B$96:$F$96,U$12))/(INDEX(Annahmen!$B$80:$F$80,U$12+1)-INDEX(Annahmen!$B$80:$F$80,U$12))</f>
        <v>1130.38297867875</v>
      </c>
      <c r="V26" s="64" t="n">
        <f aca="false">INDEX(Annahmen!$B$96:$F$96,V$12)+(V$7-INDEX(Annahmen!$B$80:$F$80,V$12))*(INDEX(Annahmen!$B$96:$F$96,V$12+1)-INDEX(Annahmen!$B$96:$F$96,V$12))/(INDEX(Annahmen!$B$80:$F$80,V$12+1)-INDEX(Annahmen!$B$80:$F$80,V$12))</f>
        <v>1469.92037675416</v>
      </c>
      <c r="W26" s="64" t="n">
        <f aca="false">INDEX(Annahmen!$B$96:$F$96,W$12)+(W$7-INDEX(Annahmen!$B$80:$F$80,W$12))*(INDEX(Annahmen!$B$96:$F$96,W$12+1)-INDEX(Annahmen!$B$96:$F$96,W$12))/(INDEX(Annahmen!$B$80:$F$80,W$12+1)-INDEX(Annahmen!$B$80:$F$80,W$12))</f>
        <v>1732.05508386051</v>
      </c>
      <c r="X26" s="64" t="n">
        <f aca="false">INDEX(Annahmen!$B$96:$F$96,X$12)+(X$7-INDEX(Annahmen!$B$80:$F$80,X$12))*(INDEX(Annahmen!$B$96:$F$96,X$12+1)-INDEX(Annahmen!$B$96:$F$96,X$12))/(INDEX(Annahmen!$B$80:$F$80,X$12+1)-INDEX(Annahmen!$B$80:$F$80,X$12))</f>
        <v>1828.12103375397</v>
      </c>
      <c r="Y26" s="64" t="n">
        <f aca="false">INDEX(Annahmen!$B$96:$F$96,Y$12)+(Y$7-INDEX(Annahmen!$B$80:$F$80,Y$12))*(INDEX(Annahmen!$B$96:$F$96,Y$12+1)-INDEX(Annahmen!$B$96:$F$96,Y$12))/(INDEX(Annahmen!$B$80:$F$80,Y$12+1)-INDEX(Annahmen!$B$80:$F$80,Y$12))</f>
        <v>1926.66666666667</v>
      </c>
      <c r="Z26" s="64" t="n">
        <f aca="false">INDEX(Annahmen!$B$96:$F$96,Z$12)+(Z$7-INDEX(Annahmen!$B$80:$F$80,Z$12))*(INDEX(Annahmen!$B$96:$F$96,Z$12+1)-INDEX(Annahmen!$B$96:$F$96,Z$12))/(INDEX(Annahmen!$B$80:$F$80,Z$12+1)-INDEX(Annahmen!$B$80:$F$80,Z$12))</f>
        <v>2016.15352644474</v>
      </c>
      <c r="AA26" s="64" t="n">
        <f aca="false">INDEX(Annahmen!$B$96:$F$96,AA$12)+(AA$7-INDEX(Annahmen!$B$80:$F$80,AA$12))*(INDEX(Annahmen!$B$96:$F$96,AA$12+1)-INDEX(Annahmen!$B$96:$F$96,AA$12))/(INDEX(Annahmen!$B$80:$F$80,AA$12+1)-INDEX(Annahmen!$B$80:$F$80,AA$12))</f>
        <v>2143.9756413929</v>
      </c>
      <c r="AB26" s="64" t="n">
        <f aca="false">INDEX(Annahmen!$B$96:$F$96,AB$12)+(AB$7-INDEX(Annahmen!$B$80:$F$80,AB$12))*(INDEX(Annahmen!$B$96:$F$96,AB$12+1)-INDEX(Annahmen!$B$96:$F$96,AB$12))/(INDEX(Annahmen!$B$80:$F$80,AB$12+1)-INDEX(Annahmen!$B$80:$F$80,AB$12))</f>
        <v>2291.81933147133</v>
      </c>
      <c r="AC26" s="64" t="n">
        <f aca="false">INDEX(Annahmen!$B$96:$F$96,AC$12)+(AC$7-INDEX(Annahmen!$B$80:$F$80,AC$12))*(INDEX(Annahmen!$B$96:$F$96,AC$12+1)-INDEX(Annahmen!$B$96:$F$96,AC$12))/(INDEX(Annahmen!$B$80:$F$80,AC$12+1)-INDEX(Annahmen!$B$80:$F$80,AC$12))</f>
        <v>2454.37755755811</v>
      </c>
      <c r="AD26" s="64" t="n">
        <f aca="false">INDEX(Annahmen!$B$96:$F$96,AD$12)+(AD$7-INDEX(Annahmen!$B$80:$F$80,AD$12))*(INDEX(Annahmen!$B$96:$F$96,AD$12+1)-INDEX(Annahmen!$B$96:$F$96,AD$12))/(INDEX(Annahmen!$B$80:$F$80,AD$12+1)-INDEX(Annahmen!$B$80:$F$80,AD$12))</f>
        <v>2628.83440873371</v>
      </c>
      <c r="AE26" s="64" t="n">
        <f aca="false">INDEX(Annahmen!$B$96:$F$96,AE$12)+(AE$7-INDEX(Annahmen!$B$80:$F$80,AE$12))*(INDEX(Annahmen!$B$96:$F$96,AE$12+1)-INDEX(Annahmen!$B$96:$F$96,AE$12))/(INDEX(Annahmen!$B$80:$F$80,AE$12+1)-INDEX(Annahmen!$B$80:$F$80,AE$12))</f>
        <v>2813.39966192475</v>
      </c>
      <c r="AF26" s="64" t="n">
        <f aca="false">INDEX(Annahmen!$B$96:$F$96,AF$12)+(AF$7-INDEX(Annahmen!$B$80:$F$80,AF$12))*(INDEX(Annahmen!$B$96:$F$96,AF$12+1)-INDEX(Annahmen!$B$96:$F$96,AF$12))/(INDEX(Annahmen!$B$80:$F$80,AF$12+1)-INDEX(Annahmen!$B$80:$F$80,AF$12))</f>
        <v>3006.81838173853</v>
      </c>
      <c r="AG26" s="64" t="n">
        <f aca="false">INDEX(Annahmen!$B$96:$F$96,AG$12)+(AG$7-INDEX(Annahmen!$B$80:$F$80,AG$12))*(INDEX(Annahmen!$B$96:$F$96,AG$12+1)-INDEX(Annahmen!$B$96:$F$96,AG$12))/(INDEX(Annahmen!$B$80:$F$80,AG$12+1)-INDEX(Annahmen!$B$80:$F$80,AG$12))</f>
        <v>3208.15439498654</v>
      </c>
      <c r="AH26" s="64" t="n">
        <f aca="false">INDEX(Annahmen!$B$96:$F$96,AH$12)+(AH$7-INDEX(Annahmen!$B$80:$F$80,AH$12))*(INDEX(Annahmen!$B$96:$F$96,AH$12+1)-INDEX(Annahmen!$B$96:$F$96,AH$12))/(INDEX(Annahmen!$B$80:$F$80,AH$12+1)-INDEX(Annahmen!$B$80:$F$80,AH$12))</f>
        <v>3416.67837279447</v>
      </c>
      <c r="AI26" s="64" t="n">
        <f aca="false">INDEX(Annahmen!$B$96:$F$96,AI$12)+(AI$7-INDEX(Annahmen!$B$80:$F$80,AI$12))*(INDEX(Annahmen!$B$96:$F$96,AI$12+1)-INDEX(Annahmen!$B$96:$F$96,AI$12))/(INDEX(Annahmen!$B$80:$F$80,AI$12+1)-INDEX(Annahmen!$B$80:$F$80,AI$12))</f>
        <v>3631.80362747672</v>
      </c>
      <c r="AJ26" s="64" t="n">
        <f aca="false">INDEX(Annahmen!$B$96:$F$96,AJ$12)+(AJ$7-INDEX(Annahmen!$B$80:$F$80,AJ$12))*(INDEX(Annahmen!$B$96:$F$96,AJ$12+1)-INDEX(Annahmen!$B$96:$F$96,AJ$12))/(INDEX(Annahmen!$B$80:$F$80,AJ$12+1)-INDEX(Annahmen!$B$80:$F$80,AJ$12))</f>
        <v>3853.04642117075</v>
      </c>
      <c r="AK26" s="64" t="n">
        <f aca="false">INDEX(Annahmen!$B$96:$F$96,AK$12)+(AK$7-INDEX(Annahmen!$B$80:$F$80,AK$12))*(INDEX(Annahmen!$B$96:$F$96,AK$12+1)-INDEX(Annahmen!$B$96:$F$96,AK$12))/(INDEX(Annahmen!$B$80:$F$80,AK$12+1)-INDEX(Annahmen!$B$80:$F$80,AK$12))</f>
        <v>4080</v>
      </c>
    </row>
    <row r="27" customFormat="false" ht="16.5" hidden="false" customHeight="true" outlineLevel="0" collapsed="false">
      <c r="A27" s="14" t="s">
        <v>327</v>
      </c>
      <c r="B27" s="64" t="n">
        <f aca="false">INDEX(Annahmen!$B$97:$F$97,B$12)+(B$7-INDEX(Annahmen!$B$80:$F$80,B$12))*(INDEX(Annahmen!$B$97:$F$97,B$12+1)-INDEX(Annahmen!$B$97:$F$97,B$12))/(INDEX(Annahmen!$B$80:$F$80,B$12+1)-INDEX(Annahmen!$B$80:$F$80,B$12))</f>
        <v>150</v>
      </c>
      <c r="C27" s="64" t="n">
        <f aca="false">INDEX(Annahmen!$B$97:$F$97,C$12)+(C$7-INDEX(Annahmen!$B$80:$F$80,C$12))*(INDEX(Annahmen!$B$97:$F$97,C$12+1)-INDEX(Annahmen!$B$97:$F$97,C$12))/(INDEX(Annahmen!$B$80:$F$80,C$12+1)-INDEX(Annahmen!$B$80:$F$80,C$12))</f>
        <v>155.482382765253</v>
      </c>
      <c r="D27" s="64" t="n">
        <f aca="false">INDEX(Annahmen!$B$97:$F$97,D$12)+(D$7-INDEX(Annahmen!$B$80:$F$80,D$12))*(INDEX(Annahmen!$B$97:$F$97,D$12+1)-INDEX(Annahmen!$B$97:$F$97,D$12))/(INDEX(Annahmen!$B$80:$F$80,D$12+1)-INDEX(Annahmen!$B$80:$F$80,D$12))</f>
        <v>164.268908319955</v>
      </c>
      <c r="E27" s="64" t="n">
        <f aca="false">INDEX(Annahmen!$B$97:$F$97,E$12)+(E$7-INDEX(Annahmen!$B$80:$F$80,E$12))*(INDEX(Annahmen!$B$97:$F$97,E$12+1)-INDEX(Annahmen!$B$97:$F$97,E$12))/(INDEX(Annahmen!$B$80:$F$80,E$12+1)-INDEX(Annahmen!$B$80:$F$80,E$12))</f>
        <v>174.968743334092</v>
      </c>
      <c r="F27" s="64" t="n">
        <f aca="false">INDEX(Annahmen!$B$97:$F$97,F$12)+(F$7-INDEX(Annahmen!$B$80:$F$80,F$12))*(INDEX(Annahmen!$B$97:$F$97,F$12+1)-INDEX(Annahmen!$B$97:$F$97,F$12))/(INDEX(Annahmen!$B$80:$F$80,F$12+1)-INDEX(Annahmen!$B$80:$F$80,F$12))</f>
        <v>187.137455256441</v>
      </c>
      <c r="G27" s="64" t="n">
        <f aca="false">INDEX(Annahmen!$B$97:$F$97,G$12)+(G$7-INDEX(Annahmen!$B$80:$F$80,G$12))*(INDEX(Annahmen!$B$97:$F$97,G$12+1)-INDEX(Annahmen!$B$97:$F$97,G$12))/(INDEX(Annahmen!$B$80:$F$80,G$12+1)-INDEX(Annahmen!$B$80:$F$80,G$12))</f>
        <v>200.529844240997</v>
      </c>
      <c r="H27" s="64" t="n">
        <f aca="false">INDEX(Annahmen!$B$97:$F$97,H$12)+(H$7-INDEX(Annahmen!$B$80:$F$80,H$12))*(INDEX(Annahmen!$B$97:$F$97,H$12+1)-INDEX(Annahmen!$B$97:$F$97,H$12))/(INDEX(Annahmen!$B$80:$F$80,H$12+1)-INDEX(Annahmen!$B$80:$F$80,H$12))</f>
        <v>214.985741556882</v>
      </c>
      <c r="I27" s="64" t="n">
        <f aca="false">INDEX(Annahmen!$B$97:$F$97,I$12)+(I$7-INDEX(Annahmen!$B$80:$F$80,I$12))*(INDEX(Annahmen!$B$97:$F$97,I$12+1)-INDEX(Annahmen!$B$97:$F$97,I$12))/(INDEX(Annahmen!$B$80:$F$80,I$12+1)-INDEX(Annahmen!$B$80:$F$80,I$12))</f>
        <v>230.390484993607</v>
      </c>
      <c r="J27" s="64" t="n">
        <f aca="false">INDEX(Annahmen!$B$97:$F$97,J$12)+(J$7-INDEX(Annahmen!$B$80:$F$80,J$12))*(INDEX(Annahmen!$B$97:$F$97,J$12+1)-INDEX(Annahmen!$B$97:$F$97,J$12))/(INDEX(Annahmen!$B$80:$F$80,J$12+1)-INDEX(Annahmen!$B$80:$F$80,J$12))</f>
        <v>246.657049859618</v>
      </c>
      <c r="K27" s="64" t="n">
        <f aca="false">INDEX(Annahmen!$B$97:$F$97,K$12)+(K$7-INDEX(Annahmen!$B$80:$F$80,K$12))*(INDEX(Annahmen!$B$97:$F$97,K$12+1)-INDEX(Annahmen!$B$97:$F$97,K$12))/(INDEX(Annahmen!$B$80:$F$80,K$12+1)-INDEX(Annahmen!$B$80:$F$80,K$12))</f>
        <v>264.696399301391</v>
      </c>
      <c r="L27" s="64" t="n">
        <f aca="false">INDEX(Annahmen!$B$97:$F$97,L$12)+(L$7-INDEX(Annahmen!$B$80:$F$80,L$12))*(INDEX(Annahmen!$B$97:$F$97,L$12+1)-INDEX(Annahmen!$B$97:$F$97,L$12))/(INDEX(Annahmen!$B$80:$F$80,L$12+1)-INDEX(Annahmen!$B$80:$F$80,L$12))</f>
        <v>283.764145556652</v>
      </c>
      <c r="M27" s="64" t="n">
        <f aca="false">INDEX(Annahmen!$B$97:$F$97,M$12)+(M$7-INDEX(Annahmen!$B$80:$F$80,M$12))*(INDEX(Annahmen!$B$97:$F$97,M$12+1)-INDEX(Annahmen!$B$97:$F$97,M$12))/(INDEX(Annahmen!$B$80:$F$80,M$12+1)-INDEX(Annahmen!$B$80:$F$80,M$12))</f>
        <v>303.571428571429</v>
      </c>
      <c r="N27" s="64" t="n">
        <f aca="false">INDEX(Annahmen!$B$97:$F$97,N$12)+(N$7-INDEX(Annahmen!$B$80:$F$80,N$12))*(INDEX(Annahmen!$B$97:$F$97,N$12+1)-INDEX(Annahmen!$B$97:$F$97,N$12))/(INDEX(Annahmen!$B$80:$F$80,N$12+1)-INDEX(Annahmen!$B$80:$F$80,N$12))</f>
        <v>318.264925560641</v>
      </c>
      <c r="O27" s="64" t="n">
        <f aca="false">INDEX(Annahmen!$B$97:$F$97,O$12)+(O$7-INDEX(Annahmen!$B$80:$F$80,O$12))*(INDEX(Annahmen!$B$97:$F$97,O$12+1)-INDEX(Annahmen!$B$97:$F$97,O$12))/(INDEX(Annahmen!$B$80:$F$80,O$12+1)-INDEX(Annahmen!$B$80:$F$80,O$12))</f>
        <v>339.252966327781</v>
      </c>
      <c r="P27" s="64" t="n">
        <f aca="false">INDEX(Annahmen!$B$97:$F$97,P$12)+(P$7-INDEX(Annahmen!$B$80:$F$80,P$12))*(INDEX(Annahmen!$B$97:$F$97,P$12+1)-INDEX(Annahmen!$B$97:$F$97,P$12))/(INDEX(Annahmen!$B$80:$F$80,P$12+1)-INDEX(Annahmen!$B$80:$F$80,P$12))</f>
        <v>363.528494829161</v>
      </c>
      <c r="Q27" s="64" t="n">
        <f aca="false">INDEX(Annahmen!$B$97:$F$97,Q$12)+(Q$7-INDEX(Annahmen!$B$80:$F$80,Q$12))*(INDEX(Annahmen!$B$97:$F$97,Q$12+1)-INDEX(Annahmen!$B$97:$F$97,Q$12))/(INDEX(Annahmen!$B$80:$F$80,Q$12+1)-INDEX(Annahmen!$B$80:$F$80,Q$12))</f>
        <v>390.220109793652</v>
      </c>
      <c r="R27" s="64" t="n">
        <f aca="false">INDEX(Annahmen!$B$97:$F$97,R$12)+(R$7-INDEX(Annahmen!$B$80:$F$80,R$12))*(INDEX(Annahmen!$B$97:$F$97,R$12+1)-INDEX(Annahmen!$B$97:$F$97,R$12))/(INDEX(Annahmen!$B$80:$F$80,R$12+1)-INDEX(Annahmen!$B$80:$F$80,R$12))</f>
        <v>422.009687431574</v>
      </c>
      <c r="S27" s="64" t="n">
        <f aca="false">INDEX(Annahmen!$B$97:$F$97,S$12)+(S$7-INDEX(Annahmen!$B$80:$F$80,S$12))*(INDEX(Annahmen!$B$97:$F$97,S$12+1)-INDEX(Annahmen!$B$97:$F$97,S$12))/(INDEX(Annahmen!$B$80:$F$80,S$12+1)-INDEX(Annahmen!$B$80:$F$80,S$12))</f>
        <v>457.365647311437</v>
      </c>
      <c r="T27" s="64" t="n">
        <f aca="false">INDEX(Annahmen!$B$97:$F$97,T$12)+(T$7-INDEX(Annahmen!$B$80:$F$80,T$12))*(INDEX(Annahmen!$B$97:$F$97,T$12+1)-INDEX(Annahmen!$B$97:$F$97,T$12))/(INDEX(Annahmen!$B$80:$F$80,T$12+1)-INDEX(Annahmen!$B$80:$F$80,T$12))</f>
        <v>494.417607956878</v>
      </c>
      <c r="U27" s="64" t="n">
        <f aca="false">INDEX(Annahmen!$B$97:$F$97,U$12)+(U$7-INDEX(Annahmen!$B$80:$F$80,U$12))*(INDEX(Annahmen!$B$97:$F$97,U$12+1)-INDEX(Annahmen!$B$97:$F$97,U$12))/(INDEX(Annahmen!$B$80:$F$80,U$12+1)-INDEX(Annahmen!$B$80:$F$80,U$12))</f>
        <v>532.986232785735</v>
      </c>
      <c r="V27" s="64" t="n">
        <f aca="false">INDEX(Annahmen!$B$97:$F$97,V$12)+(V$7-INDEX(Annahmen!$B$80:$F$80,V$12))*(INDEX(Annahmen!$B$97:$F$97,V$12+1)-INDEX(Annahmen!$B$97:$F$97,V$12))/(INDEX(Annahmen!$B$80:$F$80,V$12+1)-INDEX(Annahmen!$B$80:$F$80,V$12))</f>
        <v>572.931809029901</v>
      </c>
      <c r="W27" s="64" t="n">
        <f aca="false">INDEX(Annahmen!$B$97:$F$97,W$12)+(W$7-INDEX(Annahmen!$B$80:$F$80,W$12))*(INDEX(Annahmen!$B$97:$F$97,W$12+1)-INDEX(Annahmen!$B$97:$F$97,W$12))/(INDEX(Annahmen!$B$80:$F$80,W$12+1)-INDEX(Annahmen!$B$80:$F$80,W$12))</f>
        <v>611.313559009591</v>
      </c>
      <c r="X27" s="64" t="n">
        <f aca="false">INDEX(Annahmen!$B$97:$F$97,X$12)+(X$7-INDEX(Annahmen!$B$80:$F$80,X$12))*(INDEX(Annahmen!$B$97:$F$97,X$12+1)-INDEX(Annahmen!$B$97:$F$97,X$12))/(INDEX(Annahmen!$B$80:$F$80,X$12+1)-INDEX(Annahmen!$B$80:$F$80,X$12))</f>
        <v>645.219188383753</v>
      </c>
      <c r="Y27" s="64" t="n">
        <f aca="false">INDEX(Annahmen!$B$97:$F$97,Y$12)+(Y$7-INDEX(Annahmen!$B$80:$F$80,Y$12))*(INDEX(Annahmen!$B$97:$F$97,Y$12+1)-INDEX(Annahmen!$B$97:$F$97,Y$12))/(INDEX(Annahmen!$B$80:$F$80,Y$12+1)-INDEX(Annahmen!$B$80:$F$80,Y$12))</f>
        <v>680</v>
      </c>
      <c r="Z27" s="64" t="n">
        <f aca="false">INDEX(Annahmen!$B$97:$F$97,Z$12)+(Z$7-INDEX(Annahmen!$B$80:$F$80,Z$12))*(INDEX(Annahmen!$B$97:$F$97,Z$12+1)-INDEX(Annahmen!$B$97:$F$97,Z$12))/(INDEX(Annahmen!$B$80:$F$80,Z$12+1)-INDEX(Annahmen!$B$80:$F$80,Z$12))</f>
        <v>711.583597568732</v>
      </c>
      <c r="AA27" s="64" t="n">
        <f aca="false">INDEX(Annahmen!$B$97:$F$97,AA$12)+(AA$7-INDEX(Annahmen!$B$80:$F$80,AA$12))*(INDEX(Annahmen!$B$97:$F$97,AA$12+1)-INDEX(Annahmen!$B$97:$F$97,AA$12))/(INDEX(Annahmen!$B$80:$F$80,AA$12+1)-INDEX(Annahmen!$B$80:$F$80,AA$12))</f>
        <v>756.697285197493</v>
      </c>
      <c r="AB27" s="64" t="n">
        <f aca="false">INDEX(Annahmen!$B$97:$F$97,AB$12)+(AB$7-INDEX(Annahmen!$B$80:$F$80,AB$12))*(INDEX(Annahmen!$B$97:$F$97,AB$12+1)-INDEX(Annahmen!$B$97:$F$97,AB$12))/(INDEX(Annahmen!$B$80:$F$80,AB$12+1)-INDEX(Annahmen!$B$80:$F$80,AB$12))</f>
        <v>808.877411107529</v>
      </c>
      <c r="AC27" s="64" t="n">
        <f aca="false">INDEX(Annahmen!$B$97:$F$97,AC$12)+(AC$7-INDEX(Annahmen!$B$80:$F$80,AC$12))*(INDEX(Annahmen!$B$97:$F$97,AC$12+1)-INDEX(Annahmen!$B$97:$F$97,AC$12))/(INDEX(Annahmen!$B$80:$F$80,AC$12+1)-INDEX(Annahmen!$B$80:$F$80,AC$12))</f>
        <v>866.250902667567</v>
      </c>
      <c r="AD27" s="64" t="n">
        <f aca="false">INDEX(Annahmen!$B$97:$F$97,AD$12)+(AD$7-INDEX(Annahmen!$B$80:$F$80,AD$12))*(INDEX(Annahmen!$B$97:$F$97,AD$12+1)-INDEX(Annahmen!$B$97:$F$97,AD$12))/(INDEX(Annahmen!$B$80:$F$80,AD$12+1)-INDEX(Annahmen!$B$80:$F$80,AD$12))</f>
        <v>927.82390896484</v>
      </c>
      <c r="AE27" s="64" t="n">
        <f aca="false">INDEX(Annahmen!$B$97:$F$97,AE$12)+(AE$7-INDEX(Annahmen!$B$80:$F$80,AE$12))*(INDEX(Annahmen!$B$97:$F$97,AE$12+1)-INDEX(Annahmen!$B$97:$F$97,AE$12))/(INDEX(Annahmen!$B$80:$F$80,AE$12+1)-INDEX(Annahmen!$B$80:$F$80,AE$12))</f>
        <v>992.964586561678</v>
      </c>
      <c r="AF27" s="64" t="n">
        <f aca="false">INDEX(Annahmen!$B$97:$F$97,AF$12)+(AF$7-INDEX(Annahmen!$B$80:$F$80,AF$12))*(INDEX(Annahmen!$B$97:$F$97,AF$12+1)-INDEX(Annahmen!$B$97:$F$97,AF$12))/(INDEX(Annahmen!$B$80:$F$80,AF$12+1)-INDEX(Annahmen!$B$80:$F$80,AF$12))</f>
        <v>1061.23001708419</v>
      </c>
      <c r="AG27" s="64" t="n">
        <f aca="false">INDEX(Annahmen!$B$97:$F$97,AG$12)+(AG$7-INDEX(Annahmen!$B$80:$F$80,AG$12))*(INDEX(Annahmen!$B$97:$F$97,AG$12+1)-INDEX(Annahmen!$B$97:$F$97,AG$12))/(INDEX(Annahmen!$B$80:$F$80,AG$12+1)-INDEX(Annahmen!$B$80:$F$80,AG$12))</f>
        <v>1132.28978646584</v>
      </c>
      <c r="AH27" s="64" t="n">
        <f aca="false">INDEX(Annahmen!$B$97:$F$97,AH$12)+(AH$7-INDEX(Annahmen!$B$80:$F$80,AH$12))*(INDEX(Annahmen!$B$97:$F$97,AH$12+1)-INDEX(Annahmen!$B$97:$F$97,AH$12))/(INDEX(Annahmen!$B$80:$F$80,AH$12+1)-INDEX(Annahmen!$B$80:$F$80,AH$12))</f>
        <v>1205.8864845157</v>
      </c>
      <c r="AI27" s="64" t="n">
        <f aca="false">INDEX(Annahmen!$B$97:$F$97,AI$12)+(AI$7-INDEX(Annahmen!$B$80:$F$80,AI$12))*(INDEX(Annahmen!$B$97:$F$97,AI$12+1)-INDEX(Annahmen!$B$97:$F$97,AI$12))/(INDEX(Annahmen!$B$80:$F$80,AI$12+1)-INDEX(Annahmen!$B$80:$F$80,AI$12))</f>
        <v>1281.81304499178</v>
      </c>
      <c r="AJ27" s="64" t="n">
        <f aca="false">INDEX(Annahmen!$B$97:$F$97,AJ$12)+(AJ$7-INDEX(Annahmen!$B$80:$F$80,AJ$12))*(INDEX(Annahmen!$B$97:$F$97,AJ$12+1)-INDEX(Annahmen!$B$97:$F$97,AJ$12))/(INDEX(Annahmen!$B$80:$F$80,AJ$12+1)-INDEX(Annahmen!$B$80:$F$80,AJ$12))</f>
        <v>1359.89873688379</v>
      </c>
      <c r="AK27" s="64" t="n">
        <f aca="false">INDEX(Annahmen!$B$97:$F$97,AK$12)+(AK$7-INDEX(Annahmen!$B$80:$F$80,AK$12))*(INDEX(Annahmen!$B$97:$F$97,AK$12+1)-INDEX(Annahmen!$B$97:$F$97,AK$12))/(INDEX(Annahmen!$B$80:$F$80,AK$12+1)-INDEX(Annahmen!$B$80:$F$80,AK$12))</f>
        <v>1440</v>
      </c>
    </row>
    <row r="28" customFormat="false" ht="16.5" hidden="false" customHeight="true" outlineLevel="0" collapsed="false">
      <c r="A28" s="14" t="s">
        <v>328</v>
      </c>
      <c r="B28" s="64" t="n">
        <f aca="false">IF(B5&gt;=Annahmen!$C$145,B8*Annahmen!$C$144/12,0)</f>
        <v>166.666666666667</v>
      </c>
      <c r="C28" s="64" t="n">
        <f aca="false">IF(C5&gt;=Annahmen!$C$145,C8*Annahmen!$C$144/12,0)</f>
        <v>166.666666666667</v>
      </c>
      <c r="D28" s="64" t="n">
        <f aca="false">IF(D5&gt;=Annahmen!$C$145,D8*Annahmen!$C$144/12,0)</f>
        <v>166.666666666667</v>
      </c>
      <c r="E28" s="64" t="n">
        <f aca="false">IF(E5&gt;=Annahmen!$C$145,E8*Annahmen!$C$144/12,0)</f>
        <v>166.666666666667</v>
      </c>
      <c r="F28" s="64" t="n">
        <f aca="false">IF(F5&gt;=Annahmen!$C$145,F8*Annahmen!$C$144/12,0)</f>
        <v>166.666666666667</v>
      </c>
      <c r="G28" s="64" t="n">
        <f aca="false">IF(G5&gt;=Annahmen!$C$145,G8*Annahmen!$C$144/12,0)</f>
        <v>166.666666666667</v>
      </c>
      <c r="H28" s="64" t="n">
        <f aca="false">IF(H5&gt;=Annahmen!$C$145,H8*Annahmen!$C$144/12,0)</f>
        <v>166.666666666667</v>
      </c>
      <c r="I28" s="64" t="n">
        <f aca="false">IF(I5&gt;=Annahmen!$C$145,I8*Annahmen!$C$144/12,0)</f>
        <v>166.666666666667</v>
      </c>
      <c r="J28" s="64" t="n">
        <f aca="false">IF(J5&gt;=Annahmen!$C$145,J8*Annahmen!$C$144/12,0)</f>
        <v>166.666666666667</v>
      </c>
      <c r="K28" s="64" t="n">
        <f aca="false">IF(K5&gt;=Annahmen!$C$145,K8*Annahmen!$C$144/12,0)</f>
        <v>166.666666666667</v>
      </c>
      <c r="L28" s="64" t="n">
        <f aca="false">IF(L5&gt;=Annahmen!$C$145,L8*Annahmen!$C$144/12,0)</f>
        <v>166.666666666667</v>
      </c>
      <c r="M28" s="64" t="n">
        <f aca="false">IF(M5&gt;=Annahmen!$C$145,M8*Annahmen!$C$144/12,0)</f>
        <v>166.666666666667</v>
      </c>
      <c r="N28" s="64" t="n">
        <f aca="false">IF(N5&gt;=Annahmen!$C$145,N8*Annahmen!$C$144/12,0)</f>
        <v>333.333333333333</v>
      </c>
      <c r="O28" s="64" t="n">
        <f aca="false">IF(O5&gt;=Annahmen!$C$145,O8*Annahmen!$C$144/12,0)</f>
        <v>333.333333333333</v>
      </c>
      <c r="P28" s="64" t="n">
        <f aca="false">IF(P5&gt;=Annahmen!$C$145,P8*Annahmen!$C$144/12,0)</f>
        <v>333.333333333333</v>
      </c>
      <c r="Q28" s="64" t="n">
        <f aca="false">IF(Q5&gt;=Annahmen!$C$145,Q8*Annahmen!$C$144/12,0)</f>
        <v>333.333333333333</v>
      </c>
      <c r="R28" s="64" t="n">
        <f aca="false">IF(R5&gt;=Annahmen!$C$145,R8*Annahmen!$C$144/12,0)</f>
        <v>333.333333333333</v>
      </c>
      <c r="S28" s="64" t="n">
        <f aca="false">IF(S5&gt;=Annahmen!$C$145,S8*Annahmen!$C$144/12,0)</f>
        <v>333.333333333333</v>
      </c>
      <c r="T28" s="64" t="n">
        <f aca="false">IF(T5&gt;=Annahmen!$C$145,T8*Annahmen!$C$144/12,0)</f>
        <v>333.333333333333</v>
      </c>
      <c r="U28" s="64" t="n">
        <f aca="false">IF(U5&gt;=Annahmen!$C$145,U8*Annahmen!$C$144/12,0)</f>
        <v>333.333333333333</v>
      </c>
      <c r="V28" s="64" t="n">
        <f aca="false">IF(V5&gt;=Annahmen!$C$145,V8*Annahmen!$C$144/12,0)</f>
        <v>333.333333333333</v>
      </c>
      <c r="W28" s="64" t="n">
        <f aca="false">IF(W5&gt;=Annahmen!$C$145,W8*Annahmen!$C$144/12,0)</f>
        <v>333.333333333333</v>
      </c>
      <c r="X28" s="64" t="n">
        <f aca="false">IF(X5&gt;=Annahmen!$C$145,X8*Annahmen!$C$144/12,0)</f>
        <v>333.333333333333</v>
      </c>
      <c r="Y28" s="64" t="n">
        <f aca="false">IF(Y5&gt;=Annahmen!$C$145,Y8*Annahmen!$C$144/12,0)</f>
        <v>333.333333333333</v>
      </c>
      <c r="Z28" s="64" t="n">
        <f aca="false">IF(Z5&gt;=Annahmen!$C$145,Z8*Annahmen!$C$144/12,0)</f>
        <v>666.666666666667</v>
      </c>
      <c r="AA28" s="64" t="n">
        <f aca="false">IF(AA5&gt;=Annahmen!$C$145,AA8*Annahmen!$C$144/12,0)</f>
        <v>666.666666666667</v>
      </c>
      <c r="AB28" s="64" t="n">
        <f aca="false">IF(AB5&gt;=Annahmen!$C$145,AB8*Annahmen!$C$144/12,0)</f>
        <v>666.666666666667</v>
      </c>
      <c r="AC28" s="64" t="n">
        <f aca="false">IF(AC5&gt;=Annahmen!$C$145,AC8*Annahmen!$C$144/12,0)</f>
        <v>666.666666666667</v>
      </c>
      <c r="AD28" s="64" t="n">
        <f aca="false">IF(AD5&gt;=Annahmen!$C$145,AD8*Annahmen!$C$144/12,0)</f>
        <v>666.666666666667</v>
      </c>
      <c r="AE28" s="64" t="n">
        <f aca="false">IF(AE5&gt;=Annahmen!$C$145,AE8*Annahmen!$C$144/12,0)</f>
        <v>666.666666666667</v>
      </c>
      <c r="AF28" s="64" t="n">
        <f aca="false">IF(AF5&gt;=Annahmen!$C$145,AF8*Annahmen!$C$144/12,0)</f>
        <v>666.666666666667</v>
      </c>
      <c r="AG28" s="64" t="n">
        <f aca="false">IF(AG5&gt;=Annahmen!$C$145,AG8*Annahmen!$C$144/12,0)</f>
        <v>666.666666666667</v>
      </c>
      <c r="AH28" s="64" t="n">
        <f aca="false">IF(AH5&gt;=Annahmen!$C$145,AH8*Annahmen!$C$144/12,0)</f>
        <v>666.666666666667</v>
      </c>
      <c r="AI28" s="64" t="n">
        <f aca="false">IF(AI5&gt;=Annahmen!$C$145,AI8*Annahmen!$C$144/12,0)</f>
        <v>666.666666666667</v>
      </c>
      <c r="AJ28" s="64" t="n">
        <f aca="false">IF(AJ5&gt;=Annahmen!$C$145,AJ8*Annahmen!$C$144/12,0)</f>
        <v>666.666666666667</v>
      </c>
      <c r="AK28" s="64" t="n">
        <f aca="false">IF(AK5&gt;=Annahmen!$C$145,AK8*Annahmen!$C$144/12,0)</f>
        <v>666.666666666667</v>
      </c>
    </row>
    <row r="29" customFormat="false" ht="16.5" hidden="false" customHeight="true" outlineLevel="0" collapsed="false">
      <c r="A29" s="14" t="s">
        <v>329</v>
      </c>
      <c r="B29" s="64" t="n">
        <f aca="false">IF(B5=Annahmen!$C$136,Annahmen!$C$135,0)+IF(B5=Annahmen!$C$138,Annahmen!$C$137,0)+IF(B5=Annahmen!$C$140,Annahmen!$C$139,0)</f>
        <v>6000</v>
      </c>
      <c r="C29" s="64" t="n">
        <f aca="false">IF(C5=Annahmen!$C$136,Annahmen!$C$135,0)+IF(C5=Annahmen!$C$138,Annahmen!$C$137,0)+IF(C5=Annahmen!$C$140,Annahmen!$C$139,0)</f>
        <v>0</v>
      </c>
      <c r="D29" s="64" t="n">
        <f aca="false">IF(D5=Annahmen!$C$136,Annahmen!$C$135,0)+IF(D5=Annahmen!$C$138,Annahmen!$C$137,0)+IF(D5=Annahmen!$C$140,Annahmen!$C$139,0)</f>
        <v>0</v>
      </c>
      <c r="E29" s="64" t="n">
        <f aca="false">IF(E5=Annahmen!$C$136,Annahmen!$C$135,0)+IF(E5=Annahmen!$C$138,Annahmen!$C$137,0)+IF(E5=Annahmen!$C$140,Annahmen!$C$139,0)</f>
        <v>0</v>
      </c>
      <c r="F29" s="64" t="n">
        <f aca="false">IF(F5=Annahmen!$C$136,Annahmen!$C$135,0)+IF(F5=Annahmen!$C$138,Annahmen!$C$137,0)+IF(F5=Annahmen!$C$140,Annahmen!$C$139,0)</f>
        <v>0</v>
      </c>
      <c r="G29" s="64" t="n">
        <f aca="false">IF(G5=Annahmen!$C$136,Annahmen!$C$135,0)+IF(G5=Annahmen!$C$138,Annahmen!$C$137,0)+IF(G5=Annahmen!$C$140,Annahmen!$C$139,0)</f>
        <v>0</v>
      </c>
      <c r="H29" s="64" t="n">
        <f aca="false">IF(H5=Annahmen!$C$136,Annahmen!$C$135,0)+IF(H5=Annahmen!$C$138,Annahmen!$C$137,0)+IF(H5=Annahmen!$C$140,Annahmen!$C$139,0)</f>
        <v>0</v>
      </c>
      <c r="I29" s="64" t="n">
        <f aca="false">IF(I5=Annahmen!$C$136,Annahmen!$C$135,0)+IF(I5=Annahmen!$C$138,Annahmen!$C$137,0)+IF(I5=Annahmen!$C$140,Annahmen!$C$139,0)</f>
        <v>0</v>
      </c>
      <c r="J29" s="64" t="n">
        <f aca="false">IF(J5=Annahmen!$C$136,Annahmen!$C$135,0)+IF(J5=Annahmen!$C$138,Annahmen!$C$137,0)+IF(J5=Annahmen!$C$140,Annahmen!$C$139,0)</f>
        <v>0</v>
      </c>
      <c r="K29" s="64" t="n">
        <f aca="false">IF(K5=Annahmen!$C$136,Annahmen!$C$135,0)+IF(K5=Annahmen!$C$138,Annahmen!$C$137,0)+IF(K5=Annahmen!$C$140,Annahmen!$C$139,0)</f>
        <v>0</v>
      </c>
      <c r="L29" s="64" t="n">
        <f aca="false">IF(L5=Annahmen!$C$136,Annahmen!$C$135,0)+IF(L5=Annahmen!$C$138,Annahmen!$C$137,0)+IF(L5=Annahmen!$C$140,Annahmen!$C$139,0)</f>
        <v>0</v>
      </c>
      <c r="M29" s="64" t="n">
        <f aca="false">IF(M5=Annahmen!$C$136,Annahmen!$C$135,0)+IF(M5=Annahmen!$C$138,Annahmen!$C$137,0)+IF(M5=Annahmen!$C$140,Annahmen!$C$139,0)</f>
        <v>0</v>
      </c>
      <c r="N29" s="64" t="n">
        <f aca="false">IF(N5=Annahmen!$C$136,Annahmen!$C$135,0)+IF(N5=Annahmen!$C$138,Annahmen!$C$137,0)+IF(N5=Annahmen!$C$140,Annahmen!$C$139,0)</f>
        <v>4000</v>
      </c>
      <c r="O29" s="64" t="n">
        <f aca="false">IF(O5=Annahmen!$C$136,Annahmen!$C$135,0)+IF(O5=Annahmen!$C$138,Annahmen!$C$137,0)+IF(O5=Annahmen!$C$140,Annahmen!$C$139,0)</f>
        <v>0</v>
      </c>
      <c r="P29" s="64" t="n">
        <f aca="false">IF(P5=Annahmen!$C$136,Annahmen!$C$135,0)+IF(P5=Annahmen!$C$138,Annahmen!$C$137,0)+IF(P5=Annahmen!$C$140,Annahmen!$C$139,0)</f>
        <v>0</v>
      </c>
      <c r="Q29" s="64" t="n">
        <f aca="false">IF(Q5=Annahmen!$C$136,Annahmen!$C$135,0)+IF(Q5=Annahmen!$C$138,Annahmen!$C$137,0)+IF(Q5=Annahmen!$C$140,Annahmen!$C$139,0)</f>
        <v>0</v>
      </c>
      <c r="R29" s="64" t="n">
        <f aca="false">IF(R5=Annahmen!$C$136,Annahmen!$C$135,0)+IF(R5=Annahmen!$C$138,Annahmen!$C$137,0)+IF(R5=Annahmen!$C$140,Annahmen!$C$139,0)</f>
        <v>0</v>
      </c>
      <c r="S29" s="64" t="n">
        <f aca="false">IF(S5=Annahmen!$C$136,Annahmen!$C$135,0)+IF(S5=Annahmen!$C$138,Annahmen!$C$137,0)+IF(S5=Annahmen!$C$140,Annahmen!$C$139,0)</f>
        <v>0</v>
      </c>
      <c r="T29" s="64" t="n">
        <f aca="false">IF(T5=Annahmen!$C$136,Annahmen!$C$135,0)+IF(T5=Annahmen!$C$138,Annahmen!$C$137,0)+IF(T5=Annahmen!$C$140,Annahmen!$C$139,0)</f>
        <v>0</v>
      </c>
      <c r="U29" s="64" t="n">
        <f aca="false">IF(U5=Annahmen!$C$136,Annahmen!$C$135,0)+IF(U5=Annahmen!$C$138,Annahmen!$C$137,0)+IF(U5=Annahmen!$C$140,Annahmen!$C$139,0)</f>
        <v>0</v>
      </c>
      <c r="V29" s="64" t="n">
        <f aca="false">IF(V5=Annahmen!$C$136,Annahmen!$C$135,0)+IF(V5=Annahmen!$C$138,Annahmen!$C$137,0)+IF(V5=Annahmen!$C$140,Annahmen!$C$139,0)</f>
        <v>0</v>
      </c>
      <c r="W29" s="64" t="n">
        <f aca="false">IF(W5=Annahmen!$C$136,Annahmen!$C$135,0)+IF(W5=Annahmen!$C$138,Annahmen!$C$137,0)+IF(W5=Annahmen!$C$140,Annahmen!$C$139,0)</f>
        <v>0</v>
      </c>
      <c r="X29" s="64" t="n">
        <f aca="false">IF(X5=Annahmen!$C$136,Annahmen!$C$135,0)+IF(X5=Annahmen!$C$138,Annahmen!$C$137,0)+IF(X5=Annahmen!$C$140,Annahmen!$C$139,0)</f>
        <v>0</v>
      </c>
      <c r="Y29" s="64" t="n">
        <f aca="false">IF(Y5=Annahmen!$C$136,Annahmen!$C$135,0)+IF(Y5=Annahmen!$C$138,Annahmen!$C$137,0)+IF(Y5=Annahmen!$C$140,Annahmen!$C$139,0)</f>
        <v>0</v>
      </c>
      <c r="Z29" s="64" t="n">
        <f aca="false">IF(Z5=Annahmen!$C$136,Annahmen!$C$135,0)+IF(Z5=Annahmen!$C$138,Annahmen!$C$137,0)+IF(Z5=Annahmen!$C$140,Annahmen!$C$139,0)</f>
        <v>8000</v>
      </c>
      <c r="AA29" s="64" t="n">
        <f aca="false">IF(AA5=Annahmen!$C$136,Annahmen!$C$135,0)+IF(AA5=Annahmen!$C$138,Annahmen!$C$137,0)+IF(AA5=Annahmen!$C$140,Annahmen!$C$139,0)</f>
        <v>0</v>
      </c>
      <c r="AB29" s="64" t="n">
        <f aca="false">IF(AB5=Annahmen!$C$136,Annahmen!$C$135,0)+IF(AB5=Annahmen!$C$138,Annahmen!$C$137,0)+IF(AB5=Annahmen!$C$140,Annahmen!$C$139,0)</f>
        <v>0</v>
      </c>
      <c r="AC29" s="64" t="n">
        <f aca="false">IF(AC5=Annahmen!$C$136,Annahmen!$C$135,0)+IF(AC5=Annahmen!$C$138,Annahmen!$C$137,0)+IF(AC5=Annahmen!$C$140,Annahmen!$C$139,0)</f>
        <v>0</v>
      </c>
      <c r="AD29" s="64" t="n">
        <f aca="false">IF(AD5=Annahmen!$C$136,Annahmen!$C$135,0)+IF(AD5=Annahmen!$C$138,Annahmen!$C$137,0)+IF(AD5=Annahmen!$C$140,Annahmen!$C$139,0)</f>
        <v>0</v>
      </c>
      <c r="AE29" s="64" t="n">
        <f aca="false">IF(AE5=Annahmen!$C$136,Annahmen!$C$135,0)+IF(AE5=Annahmen!$C$138,Annahmen!$C$137,0)+IF(AE5=Annahmen!$C$140,Annahmen!$C$139,0)</f>
        <v>0</v>
      </c>
      <c r="AF29" s="64" t="n">
        <f aca="false">IF(AF5=Annahmen!$C$136,Annahmen!$C$135,0)+IF(AF5=Annahmen!$C$138,Annahmen!$C$137,0)+IF(AF5=Annahmen!$C$140,Annahmen!$C$139,0)</f>
        <v>0</v>
      </c>
      <c r="AG29" s="64" t="n">
        <f aca="false">IF(AG5=Annahmen!$C$136,Annahmen!$C$135,0)+IF(AG5=Annahmen!$C$138,Annahmen!$C$137,0)+IF(AG5=Annahmen!$C$140,Annahmen!$C$139,0)</f>
        <v>0</v>
      </c>
      <c r="AH29" s="64" t="n">
        <f aca="false">IF(AH5=Annahmen!$C$136,Annahmen!$C$135,0)+IF(AH5=Annahmen!$C$138,Annahmen!$C$137,0)+IF(AH5=Annahmen!$C$140,Annahmen!$C$139,0)</f>
        <v>0</v>
      </c>
      <c r="AI29" s="64" t="n">
        <f aca="false">IF(AI5=Annahmen!$C$136,Annahmen!$C$135,0)+IF(AI5=Annahmen!$C$138,Annahmen!$C$137,0)+IF(AI5=Annahmen!$C$140,Annahmen!$C$139,0)</f>
        <v>0</v>
      </c>
      <c r="AJ29" s="64" t="n">
        <f aca="false">IF(AJ5=Annahmen!$C$136,Annahmen!$C$135,0)+IF(AJ5=Annahmen!$C$138,Annahmen!$C$137,0)+IF(AJ5=Annahmen!$C$140,Annahmen!$C$139,0)</f>
        <v>0</v>
      </c>
      <c r="AK29" s="64" t="n">
        <f aca="false">IF(AK5=Annahmen!$C$136,Annahmen!$C$135,0)+IF(AK5=Annahmen!$C$138,Annahmen!$C$137,0)+IF(AK5=Annahmen!$C$140,Annahmen!$C$139,0)</f>
        <v>0</v>
      </c>
    </row>
    <row r="30" customFormat="false" ht="16.5" hidden="false" customHeight="true" outlineLevel="0" collapsed="false">
      <c r="A30" s="14" t="s">
        <v>330</v>
      </c>
      <c r="B30" s="64" t="n">
        <f aca="false">SUMIF(Annahmen!$C$116:$C$129,B5,Annahmen!$B$116:$B$129)</f>
        <v>26700</v>
      </c>
      <c r="C30" s="64" t="n">
        <f aca="false">SUMIF(Annahmen!$C$116:$C$129,C5,Annahmen!$B$116:$B$129)</f>
        <v>2700</v>
      </c>
      <c r="D30" s="64" t="n">
        <f aca="false">SUMIF(Annahmen!$C$116:$C$129,D5,Annahmen!$B$116:$B$129)</f>
        <v>11500</v>
      </c>
      <c r="E30" s="64" t="n">
        <f aca="false">SUMIF(Annahmen!$C$116:$C$129,E5,Annahmen!$B$116:$B$129)</f>
        <v>4500</v>
      </c>
      <c r="F30" s="64" t="n">
        <f aca="false">SUMIF(Annahmen!$C$116:$C$129,F5,Annahmen!$B$116:$B$129)</f>
        <v>3000</v>
      </c>
      <c r="G30" s="64" t="n">
        <f aca="false">SUMIF(Annahmen!$C$116:$C$129,G5,Annahmen!$B$116:$B$129)</f>
        <v>2000</v>
      </c>
      <c r="H30" s="64" t="n">
        <f aca="false">SUMIF(Annahmen!$C$116:$C$129,H5,Annahmen!$B$116:$B$129)</f>
        <v>0</v>
      </c>
      <c r="I30" s="64" t="n">
        <f aca="false">SUMIF(Annahmen!$C$116:$C$129,I5,Annahmen!$B$116:$B$129)</f>
        <v>5500</v>
      </c>
      <c r="J30" s="64" t="n">
        <f aca="false">SUMIF(Annahmen!$C$116:$C$129,J5,Annahmen!$B$116:$B$129)</f>
        <v>0</v>
      </c>
      <c r="K30" s="64" t="n">
        <f aca="false">SUMIF(Annahmen!$C$116:$C$129,K5,Annahmen!$B$116:$B$129)</f>
        <v>0</v>
      </c>
      <c r="L30" s="64" t="n">
        <f aca="false">SUMIF(Annahmen!$C$116:$C$129,L5,Annahmen!$B$116:$B$129)</f>
        <v>0</v>
      </c>
      <c r="M30" s="64" t="n">
        <f aca="false">SUMIF(Annahmen!$C$116:$C$129,M5,Annahmen!$B$116:$B$129)</f>
        <v>0</v>
      </c>
      <c r="N30" s="64" t="n">
        <f aca="false">SUMIF(Annahmen!$C$116:$C$129,N5,Annahmen!$B$116:$B$129)</f>
        <v>0</v>
      </c>
      <c r="O30" s="64" t="n">
        <f aca="false">SUMIF(Annahmen!$C$116:$C$129,O5,Annahmen!$B$116:$B$129)</f>
        <v>0</v>
      </c>
      <c r="P30" s="64" t="n">
        <f aca="false">SUMIF(Annahmen!$C$116:$C$129,P5,Annahmen!$B$116:$B$129)</f>
        <v>0</v>
      </c>
      <c r="Q30" s="64" t="n">
        <f aca="false">SUMIF(Annahmen!$C$116:$C$129,Q5,Annahmen!$B$116:$B$129)</f>
        <v>0</v>
      </c>
      <c r="R30" s="64" t="n">
        <f aca="false">SUMIF(Annahmen!$C$116:$C$129,R5,Annahmen!$B$116:$B$129)</f>
        <v>0</v>
      </c>
      <c r="S30" s="64" t="n">
        <f aca="false">SUMIF(Annahmen!$C$116:$C$129,S5,Annahmen!$B$116:$B$129)</f>
        <v>0</v>
      </c>
      <c r="T30" s="64" t="n">
        <f aca="false">SUMIF(Annahmen!$C$116:$C$129,T5,Annahmen!$B$116:$B$129)</f>
        <v>0</v>
      </c>
      <c r="U30" s="64" t="n">
        <f aca="false">SUMIF(Annahmen!$C$116:$C$129,U5,Annahmen!$B$116:$B$129)</f>
        <v>0</v>
      </c>
      <c r="V30" s="64" t="n">
        <f aca="false">SUMIF(Annahmen!$C$116:$C$129,V5,Annahmen!$B$116:$B$129)</f>
        <v>0</v>
      </c>
      <c r="W30" s="64" t="n">
        <f aca="false">SUMIF(Annahmen!$C$116:$C$129,W5,Annahmen!$B$116:$B$129)</f>
        <v>0</v>
      </c>
      <c r="X30" s="64" t="n">
        <f aca="false">SUMIF(Annahmen!$C$116:$C$129,X5,Annahmen!$B$116:$B$129)</f>
        <v>0</v>
      </c>
      <c r="Y30" s="64" t="n">
        <f aca="false">SUMIF(Annahmen!$C$116:$C$129,Y5,Annahmen!$B$116:$B$129)</f>
        <v>0</v>
      </c>
      <c r="Z30" s="64" t="n">
        <f aca="false">SUMIF(Annahmen!$C$116:$C$129,Z5,Annahmen!$B$116:$B$129)</f>
        <v>0</v>
      </c>
      <c r="AA30" s="64" t="n">
        <f aca="false">SUMIF(Annahmen!$C$116:$C$129,AA5,Annahmen!$B$116:$B$129)</f>
        <v>0</v>
      </c>
      <c r="AB30" s="64" t="n">
        <f aca="false">SUMIF(Annahmen!$C$116:$C$129,AB5,Annahmen!$B$116:$B$129)</f>
        <v>0</v>
      </c>
      <c r="AC30" s="64" t="n">
        <f aca="false">SUMIF(Annahmen!$C$116:$C$129,AC5,Annahmen!$B$116:$B$129)</f>
        <v>0</v>
      </c>
      <c r="AD30" s="64" t="n">
        <f aca="false">SUMIF(Annahmen!$C$116:$C$129,AD5,Annahmen!$B$116:$B$129)</f>
        <v>0</v>
      </c>
      <c r="AE30" s="64" t="n">
        <f aca="false">SUMIF(Annahmen!$C$116:$C$129,AE5,Annahmen!$B$116:$B$129)</f>
        <v>0</v>
      </c>
      <c r="AF30" s="64" t="n">
        <f aca="false">SUMIF(Annahmen!$C$116:$C$129,AF5,Annahmen!$B$116:$B$129)</f>
        <v>0</v>
      </c>
      <c r="AG30" s="64" t="n">
        <f aca="false">SUMIF(Annahmen!$C$116:$C$129,AG5,Annahmen!$B$116:$B$129)</f>
        <v>0</v>
      </c>
      <c r="AH30" s="64" t="n">
        <f aca="false">SUMIF(Annahmen!$C$116:$C$129,AH5,Annahmen!$B$116:$B$129)</f>
        <v>0</v>
      </c>
      <c r="AI30" s="64" t="n">
        <f aca="false">SUMIF(Annahmen!$C$116:$C$129,AI5,Annahmen!$B$116:$B$129)</f>
        <v>0</v>
      </c>
      <c r="AJ30" s="64" t="n">
        <f aca="false">SUMIF(Annahmen!$C$116:$C$129,AJ5,Annahmen!$B$116:$B$129)</f>
        <v>0</v>
      </c>
      <c r="AK30" s="64" t="n">
        <f aca="false">SUMIF(Annahmen!$C$116:$C$129,AK5,Annahmen!$B$116:$B$129)</f>
        <v>0</v>
      </c>
    </row>
    <row r="31" customFormat="false" ht="16.5" hidden="false" customHeight="true" outlineLevel="0" collapsed="false">
      <c r="A31" s="27" t="s">
        <v>331</v>
      </c>
      <c r="B31" s="65" t="n">
        <f aca="false">SUM(B22:B30)</f>
        <v>34286.6666666667</v>
      </c>
      <c r="C31" s="65" t="n">
        <f aca="false">SUM(C22:C30)</f>
        <v>4494.81651241034</v>
      </c>
      <c r="D31" s="65" t="n">
        <f aca="false">SUM(D22:D30)</f>
        <v>13459.3381951263</v>
      </c>
      <c r="E31" s="65" t="n">
        <f aca="false">SUM(E22:E30)</f>
        <v>6594.60281099449</v>
      </c>
      <c r="F31" s="65" t="n">
        <f aca="false">SUM(F22:F30)</f>
        <v>5226.62987146277</v>
      </c>
      <c r="G31" s="65" t="n">
        <f aca="false">SUM(G22:G30)</f>
        <v>4359.81616404972</v>
      </c>
      <c r="H31" s="65" t="n">
        <f aca="false">SUM(H22:H30)</f>
        <v>2495.64251939414</v>
      </c>
      <c r="I31" s="65" t="n">
        <f aca="false">SUM(I22:I30)</f>
        <v>8134.69515642408</v>
      </c>
      <c r="J31" s="65" t="n">
        <f aca="false">SUM(J22:J30)</f>
        <v>2777.20618776594</v>
      </c>
      <c r="K31" s="65" t="n">
        <f aca="false">SUM(K22:K30)</f>
        <v>2909.92270841923</v>
      </c>
      <c r="L31" s="65" t="n">
        <f aca="false">SUM(L22:L30)</f>
        <v>3042.19970445826</v>
      </c>
      <c r="M31" s="65" t="n">
        <f aca="false">SUM(M22:M30)</f>
        <v>3177.28407239257</v>
      </c>
      <c r="N31" s="65" t="n">
        <f aca="false">SUM(N22:N30)</f>
        <v>7281.17314955905</v>
      </c>
      <c r="O31" s="65" t="n">
        <f aca="false">SUM(O22:O30)</f>
        <v>3582.93657303179</v>
      </c>
      <c r="P31" s="65" t="n">
        <f aca="false">SUM(P22:P30)</f>
        <v>3817.03229260668</v>
      </c>
      <c r="Q31" s="65" t="n">
        <f aca="false">SUM(Q22:Q30)</f>
        <v>4039.92658814184</v>
      </c>
      <c r="R31" s="65" t="n">
        <f aca="false">SUM(R22:R30)</f>
        <v>4451.27777647532</v>
      </c>
      <c r="S31" s="65" t="n">
        <f aca="false">SUM(S22:S30)</f>
        <v>4979.24428671504</v>
      </c>
      <c r="T31" s="65" t="n">
        <f aca="false">SUM(T22:T30)</f>
        <v>5524.31411196823</v>
      </c>
      <c r="U31" s="65" t="n">
        <f aca="false">SUM(U22:U30)</f>
        <v>6085.55811987309</v>
      </c>
      <c r="V31" s="65" t="n">
        <f aca="false">SUM(V22:V30)</f>
        <v>6662.05638176779</v>
      </c>
      <c r="W31" s="65" t="n">
        <f aca="false">SUM(W22:W30)</f>
        <v>7158.29986760466</v>
      </c>
      <c r="X31" s="65" t="n">
        <f aca="false">SUM(X22:X30)</f>
        <v>7479.15303704693</v>
      </c>
      <c r="Y31" s="65" t="n">
        <f aca="false">SUM(Y22:Y30)</f>
        <v>7805.61943024507</v>
      </c>
      <c r="Z31" s="65" t="n">
        <f aca="false">SUM(Z22:Z30)</f>
        <v>16312.2972486296</v>
      </c>
      <c r="AA31" s="65" t="n">
        <f aca="false">SUM(AA22:AA30)</f>
        <v>9118.01091900786</v>
      </c>
      <c r="AB31" s="65" t="n">
        <f aca="false">SUM(AB22:AB30)</f>
        <v>9785.23024026815</v>
      </c>
      <c r="AC31" s="65" t="n">
        <f aca="false">SUM(AC22:AC30)</f>
        <v>10439.400818683</v>
      </c>
      <c r="AD31" s="65" t="n">
        <f aca="false">SUM(AD22:AD30)</f>
        <v>11099.0804246545</v>
      </c>
      <c r="AE31" s="65" t="n">
        <f aca="false">SUM(AE22:AE30)</f>
        <v>11769.9929608282</v>
      </c>
      <c r="AF31" s="65" t="n">
        <f aca="false">SUM(AF22:AF30)</f>
        <v>12454.1511836154</v>
      </c>
      <c r="AG31" s="65" t="n">
        <f aca="false">SUM(AG22:AG30)</f>
        <v>13152.179737388</v>
      </c>
      <c r="AH31" s="65" t="n">
        <f aca="false">SUM(AH22:AH30)</f>
        <v>13864.1136638253</v>
      </c>
      <c r="AI31" s="65" t="n">
        <f aca="false">SUM(AI22:AI30)</f>
        <v>14589.7226526653</v>
      </c>
      <c r="AJ31" s="65" t="n">
        <f aca="false">SUM(AJ22:AJ30)</f>
        <v>15328.6572247142</v>
      </c>
      <c r="AK31" s="65" t="n">
        <f aca="false">SUM(AK22:AK30)</f>
        <v>16080.5192211705</v>
      </c>
    </row>
    <row r="33" customFormat="false" ht="16.5" hidden="false" customHeight="true" outlineLevel="0" collapsed="false">
      <c r="A33" s="27" t="s">
        <v>332</v>
      </c>
      <c r="B33" s="67" t="n">
        <f aca="false">B19-B31</f>
        <v>-34286.6666666667</v>
      </c>
      <c r="C33" s="67" t="n">
        <f aca="false">C19-C31</f>
        <v>-4494.81651241034</v>
      </c>
      <c r="D33" s="67" t="n">
        <f aca="false">D19-D31</f>
        <v>-13459.3381951263</v>
      </c>
      <c r="E33" s="67" t="n">
        <f aca="false">E19-E31</f>
        <v>-6594.60281099449</v>
      </c>
      <c r="F33" s="67" t="n">
        <f aca="false">F19-F31</f>
        <v>-5226.62987146277</v>
      </c>
      <c r="G33" s="67" t="n">
        <f aca="false">G19-G31</f>
        <v>-4359.81616404972</v>
      </c>
      <c r="H33" s="67" t="n">
        <f aca="false">H19-H31</f>
        <v>-2495.64251939414</v>
      </c>
      <c r="I33" s="67" t="n">
        <f aca="false">I19-I31</f>
        <v>-8134.69515642408</v>
      </c>
      <c r="J33" s="67" t="n">
        <f aca="false">J19-J31</f>
        <v>-2777.20618776594</v>
      </c>
      <c r="K33" s="67" t="n">
        <f aca="false">K19-K31</f>
        <v>-2909.92270841923</v>
      </c>
      <c r="L33" s="67" t="n">
        <f aca="false">L19-L31</f>
        <v>-3042.19970445826</v>
      </c>
      <c r="M33" s="67" t="n">
        <f aca="false">M19-M31</f>
        <v>-3177.28407239257</v>
      </c>
      <c r="N33" s="67" t="n">
        <f aca="false">N19-N31</f>
        <v>-6991.17314955905</v>
      </c>
      <c r="O33" s="67" t="n">
        <f aca="false">O19-O31</f>
        <v>-1899.30039229717</v>
      </c>
      <c r="P33" s="67" t="n">
        <f aca="false">P19-P31</f>
        <v>-1894.89530364231</v>
      </c>
      <c r="Q33" s="67" t="n">
        <f aca="false">Q19-Q31</f>
        <v>-1846.11973579759</v>
      </c>
      <c r="R33" s="67" t="n">
        <f aca="false">R19-R31</f>
        <v>-1954.15359237054</v>
      </c>
      <c r="S33" s="67" t="n">
        <f aca="false">S19-S31</f>
        <v>-2147.83475229304</v>
      </c>
      <c r="T33" s="67" t="n">
        <f aca="false">T19-T31</f>
        <v>-2327.92799640996</v>
      </c>
      <c r="U33" s="67" t="n">
        <f aca="false">U19-U31</f>
        <v>-1959.56271962369</v>
      </c>
      <c r="V33" s="67" t="n">
        <f aca="false">V19-V31</f>
        <v>-2109.74971920244</v>
      </c>
      <c r="W33" s="67" t="n">
        <f aca="false">W19-W31</f>
        <v>-1688.03203697259</v>
      </c>
      <c r="X33" s="67" t="n">
        <f aca="false">X19-X31</f>
        <v>-1520.6762511906</v>
      </c>
      <c r="Y33" s="67" t="n">
        <f aca="false">Y19-Y31</f>
        <v>-1327.65574856708</v>
      </c>
      <c r="Z33" s="67" t="n">
        <f aca="false">Z19-Z31</f>
        <v>-8043.29368823573</v>
      </c>
      <c r="AA33" s="67" t="n">
        <f aca="false">AA19-AA31</f>
        <v>-167.365532306843</v>
      </c>
      <c r="AB33" s="67" t="n">
        <f aca="false">AB19-AB31</f>
        <v>-40.6538530998532</v>
      </c>
      <c r="AC33" s="67" t="n">
        <f aca="false">AC19-AC31</f>
        <v>195.539214056058</v>
      </c>
      <c r="AD33" s="67" t="n">
        <f aca="false">AD19-AD31</f>
        <v>515.31596425504</v>
      </c>
      <c r="AE33" s="67" t="n">
        <f aca="false">AE19-AE31</f>
        <v>908.949161033839</v>
      </c>
      <c r="AF33" s="67" t="n">
        <f aca="false">AF19-AF31</f>
        <v>1372.07919565359</v>
      </c>
      <c r="AG33" s="67" t="n">
        <f aca="false">AG19-AG31</f>
        <v>1902.67143168547</v>
      </c>
      <c r="AH33" s="67" t="n">
        <f aca="false">AH19-AH31</f>
        <v>2499.85691732585</v>
      </c>
      <c r="AI33" s="67" t="n">
        <f aca="false">AI19-AI31</f>
        <v>3163.40749311999</v>
      </c>
      <c r="AJ33" s="67" t="n">
        <f aca="false">AJ19-AJ31</f>
        <v>3893.46944487133</v>
      </c>
      <c r="AK33" s="67" t="n">
        <f aca="false">AK19-AK31</f>
        <v>4291.61164955223</v>
      </c>
    </row>
    <row r="34" customFormat="false" ht="16.5" hidden="false" customHeight="true" outlineLevel="0" collapsed="false">
      <c r="A34" s="27" t="s">
        <v>333</v>
      </c>
      <c r="B34" s="68" t="n">
        <f aca="false">B33</f>
        <v>-34286.6666666667</v>
      </c>
      <c r="C34" s="68" t="n">
        <f aca="false">B34+C33</f>
        <v>-38781.483179077</v>
      </c>
      <c r="D34" s="68" t="n">
        <f aca="false">C34+D33</f>
        <v>-52240.8213742033</v>
      </c>
      <c r="E34" s="68" t="n">
        <f aca="false">D34+E33</f>
        <v>-58835.4241851978</v>
      </c>
      <c r="F34" s="68" t="n">
        <f aca="false">E34+F33</f>
        <v>-64062.0540566606</v>
      </c>
      <c r="G34" s="68" t="n">
        <f aca="false">F34+G33</f>
        <v>-68421.8702207103</v>
      </c>
      <c r="H34" s="68" t="n">
        <f aca="false">G34+H33</f>
        <v>-70917.5127401044</v>
      </c>
      <c r="I34" s="68" t="n">
        <f aca="false">H34+I33</f>
        <v>-79052.2078965285</v>
      </c>
      <c r="J34" s="68" t="n">
        <f aca="false">I34+J33</f>
        <v>-81829.4140842945</v>
      </c>
      <c r="K34" s="68" t="n">
        <f aca="false">J34+K33</f>
        <v>-84739.3367927137</v>
      </c>
      <c r="L34" s="68" t="n">
        <f aca="false">K34+L33</f>
        <v>-87781.5364971719</v>
      </c>
      <c r="M34" s="68" t="n">
        <f aca="false">L34+M33</f>
        <v>-90958.8205695645</v>
      </c>
      <c r="N34" s="68" t="n">
        <f aca="false">M34+N33</f>
        <v>-97949.9937191236</v>
      </c>
      <c r="O34" s="68" t="n">
        <f aca="false">N34+O33</f>
        <v>-99849.2941114207</v>
      </c>
      <c r="P34" s="68" t="n">
        <f aca="false">O34+P33</f>
        <v>-101744.189415063</v>
      </c>
      <c r="Q34" s="68" t="n">
        <f aca="false">P34+Q33</f>
        <v>-103590.309150861</v>
      </c>
      <c r="R34" s="68" t="n">
        <f aca="false">Q34+R33</f>
        <v>-105544.462743231</v>
      </c>
      <c r="S34" s="68" t="n">
        <f aca="false">R34+S33</f>
        <v>-107692.297495524</v>
      </c>
      <c r="T34" s="68" t="n">
        <f aca="false">S34+T33</f>
        <v>-110020.225491934</v>
      </c>
      <c r="U34" s="68" t="n">
        <f aca="false">T34+U33</f>
        <v>-111979.788211558</v>
      </c>
      <c r="V34" s="68" t="n">
        <f aca="false">U34+V33</f>
        <v>-114089.53793076</v>
      </c>
      <c r="W34" s="68" t="n">
        <f aca="false">V34+W33</f>
        <v>-115777.569967733</v>
      </c>
      <c r="X34" s="68" t="n">
        <f aca="false">W34+X33</f>
        <v>-117298.246218923</v>
      </c>
      <c r="Y34" s="68" t="n">
        <f aca="false">X34+Y33</f>
        <v>-118625.901967491</v>
      </c>
      <c r="Z34" s="68" t="n">
        <f aca="false">Y34+Z33</f>
        <v>-126669.195655726</v>
      </c>
      <c r="AA34" s="68" t="n">
        <f aca="false">Z34+AA33</f>
        <v>-126836.561188033</v>
      </c>
      <c r="AB34" s="68" t="n">
        <f aca="false">AA34+AB33</f>
        <v>-126877.215041133</v>
      </c>
      <c r="AC34" s="68" t="n">
        <f aca="false">AB34+AC33</f>
        <v>-126681.675827077</v>
      </c>
      <c r="AD34" s="68" t="n">
        <f aca="false">AC34+AD33</f>
        <v>-126166.359862822</v>
      </c>
      <c r="AE34" s="68" t="n">
        <f aca="false">AD34+AE33</f>
        <v>-125257.410701788</v>
      </c>
      <c r="AF34" s="68" t="n">
        <f aca="false">AE34+AF33</f>
        <v>-123885.331506134</v>
      </c>
      <c r="AG34" s="68" t="n">
        <f aca="false">AF34+AG33</f>
        <v>-121982.660074449</v>
      </c>
      <c r="AH34" s="68" t="n">
        <f aca="false">AG34+AH33</f>
        <v>-119482.803157123</v>
      </c>
      <c r="AI34" s="68" t="n">
        <f aca="false">AH34+AI33</f>
        <v>-116319.395664003</v>
      </c>
      <c r="AJ34" s="68" t="n">
        <f aca="false">AI34+AJ33</f>
        <v>-112425.926219132</v>
      </c>
      <c r="AK34" s="68" t="n">
        <f aca="false">AJ34+AK33</f>
        <v>-108134.31456958</v>
      </c>
    </row>
    <row r="36" customFormat="false" ht="16.5" hidden="false" customHeight="true" outlineLevel="0" collapsed="false">
      <c r="A36" s="14" t="s">
        <v>334</v>
      </c>
      <c r="B36" s="64" t="n">
        <f aca="false">Annahmen!$B$154*Annahmen!$B$155</f>
        <v>400</v>
      </c>
      <c r="C36" s="64" t="n">
        <f aca="false">B36+Annahmen!$B$154*Annahmen!$B$155</f>
        <v>800</v>
      </c>
      <c r="D36" s="64" t="n">
        <f aca="false">C36+Annahmen!$B$154*Annahmen!$B$155</f>
        <v>1200</v>
      </c>
      <c r="E36" s="64" t="n">
        <f aca="false">D36+Annahmen!$B$154*Annahmen!$B$155</f>
        <v>1600</v>
      </c>
      <c r="F36" s="64" t="n">
        <f aca="false">E36+Annahmen!$B$154*Annahmen!$B$155</f>
        <v>2000</v>
      </c>
      <c r="G36" s="64" t="n">
        <f aca="false">F36+Annahmen!$B$154*Annahmen!$B$155</f>
        <v>2400</v>
      </c>
      <c r="H36" s="64" t="n">
        <f aca="false">G36+Annahmen!$B$154*Annahmen!$B$155</f>
        <v>2800</v>
      </c>
      <c r="I36" s="64" t="n">
        <f aca="false">H36+Annahmen!$B$154*Annahmen!$B$155</f>
        <v>3200</v>
      </c>
      <c r="J36" s="64" t="n">
        <f aca="false">I36+Annahmen!$B$154*Annahmen!$B$155</f>
        <v>3600</v>
      </c>
      <c r="K36" s="64" t="n">
        <f aca="false">J36+Annahmen!$B$154*Annahmen!$B$155</f>
        <v>4000</v>
      </c>
      <c r="L36" s="64" t="n">
        <f aca="false">K36+Annahmen!$B$154*Annahmen!$B$155</f>
        <v>4400</v>
      </c>
      <c r="M36" s="64" t="n">
        <f aca="false">L36+Annahmen!$B$154*Annahmen!$B$155</f>
        <v>4800</v>
      </c>
      <c r="N36" s="64" t="n">
        <f aca="false">M36+Annahmen!$B$154*Annahmen!$B$155</f>
        <v>5200</v>
      </c>
      <c r="O36" s="64" t="n">
        <f aca="false">N36+Annahmen!$B$154*Annahmen!$B$155</f>
        <v>5600</v>
      </c>
      <c r="P36" s="64" t="n">
        <f aca="false">O36+Annahmen!$B$154*Annahmen!$B$155</f>
        <v>6000</v>
      </c>
      <c r="Q36" s="64" t="n">
        <f aca="false">P36+Annahmen!$B$154*Annahmen!$B$155</f>
        <v>6400</v>
      </c>
      <c r="R36" s="64" t="n">
        <f aca="false">Q36+Annahmen!$B$154*Annahmen!$B$155</f>
        <v>6800</v>
      </c>
      <c r="S36" s="64" t="n">
        <f aca="false">R36+Annahmen!$B$154*Annahmen!$B$155</f>
        <v>7200</v>
      </c>
      <c r="T36" s="64" t="n">
        <f aca="false">S36+Annahmen!$B$154*Annahmen!$B$155</f>
        <v>7600</v>
      </c>
      <c r="U36" s="64" t="n">
        <f aca="false">T36+Annahmen!$B$154*Annahmen!$B$155</f>
        <v>8000</v>
      </c>
      <c r="V36" s="64" t="n">
        <f aca="false">U36+Annahmen!$B$154*Annahmen!$B$155</f>
        <v>8400</v>
      </c>
      <c r="W36" s="64" t="n">
        <f aca="false">V36+Annahmen!$B$154*Annahmen!$B$155</f>
        <v>8800</v>
      </c>
      <c r="X36" s="64" t="n">
        <f aca="false">W36+Annahmen!$B$154*Annahmen!$B$155</f>
        <v>9200</v>
      </c>
      <c r="Y36" s="64" t="n">
        <f aca="false">X36+Annahmen!$B$154*Annahmen!$B$155</f>
        <v>9600</v>
      </c>
      <c r="Z36" s="64" t="n">
        <f aca="false">Y36+Annahmen!$B$154*Annahmen!$B$155</f>
        <v>10000</v>
      </c>
      <c r="AA36" s="64" t="n">
        <f aca="false">Z36+Annahmen!$B$154*Annahmen!$B$155</f>
        <v>10400</v>
      </c>
      <c r="AB36" s="64" t="n">
        <f aca="false">AA36+Annahmen!$B$154*Annahmen!$B$155</f>
        <v>10800</v>
      </c>
      <c r="AC36" s="64" t="n">
        <f aca="false">AB36+Annahmen!$B$154*Annahmen!$B$155</f>
        <v>11200</v>
      </c>
      <c r="AD36" s="64" t="n">
        <f aca="false">AC36+Annahmen!$B$154*Annahmen!$B$155</f>
        <v>11600</v>
      </c>
      <c r="AE36" s="64" t="n">
        <f aca="false">AD36+Annahmen!$B$154*Annahmen!$B$155</f>
        <v>12000</v>
      </c>
      <c r="AF36" s="64" t="n">
        <f aca="false">AE36+Annahmen!$B$154*Annahmen!$B$155</f>
        <v>12400</v>
      </c>
      <c r="AG36" s="64" t="n">
        <f aca="false">AF36+Annahmen!$B$154*Annahmen!$B$155</f>
        <v>12800</v>
      </c>
      <c r="AH36" s="64" t="n">
        <f aca="false">AG36+Annahmen!$B$154*Annahmen!$B$155</f>
        <v>13200</v>
      </c>
      <c r="AI36" s="64" t="n">
        <f aca="false">AH36+Annahmen!$B$154*Annahmen!$B$155</f>
        <v>13600</v>
      </c>
      <c r="AJ36" s="64" t="n">
        <f aca="false">AI36+Annahmen!$B$154*Annahmen!$B$155</f>
        <v>14000</v>
      </c>
      <c r="AK36" s="64" t="n">
        <f aca="false">AJ36+Annahmen!$B$154*Annahmen!$B$155</f>
        <v>14400</v>
      </c>
    </row>
    <row r="37" customFormat="false" ht="16.5" hidden="false" customHeight="true" outlineLevel="0" collapsed="false">
      <c r="A37" s="14" t="s">
        <v>335</v>
      </c>
      <c r="B37" s="64" t="n">
        <f aca="false">Annahmen!$B$156*Annahmen!$B$155</f>
        <v>2200</v>
      </c>
      <c r="C37" s="64" t="n">
        <f aca="false">B37+Annahmen!$B$156*Annahmen!$B$155</f>
        <v>4400</v>
      </c>
      <c r="D37" s="64" t="n">
        <f aca="false">C37+Annahmen!$B$156*Annahmen!$B$155</f>
        <v>6600</v>
      </c>
      <c r="E37" s="64" t="n">
        <f aca="false">D37+Annahmen!$B$156*Annahmen!$B$155</f>
        <v>8800</v>
      </c>
      <c r="F37" s="64" t="n">
        <f aca="false">E37+Annahmen!$B$156*Annahmen!$B$155</f>
        <v>11000</v>
      </c>
      <c r="G37" s="64" t="n">
        <f aca="false">F37+Annahmen!$B$156*Annahmen!$B$155</f>
        <v>13200</v>
      </c>
      <c r="H37" s="64" t="n">
        <f aca="false">G37+Annahmen!$B$156*Annahmen!$B$155</f>
        <v>15400</v>
      </c>
      <c r="I37" s="64" t="n">
        <f aca="false">H37+Annahmen!$B$156*Annahmen!$B$155</f>
        <v>17600</v>
      </c>
      <c r="J37" s="64" t="n">
        <f aca="false">I37+Annahmen!$B$156*Annahmen!$B$155</f>
        <v>19800</v>
      </c>
      <c r="K37" s="64" t="n">
        <f aca="false">J37+Annahmen!$B$156*Annahmen!$B$155</f>
        <v>22000</v>
      </c>
      <c r="L37" s="64" t="n">
        <f aca="false">K37+Annahmen!$B$156*Annahmen!$B$155</f>
        <v>24200</v>
      </c>
      <c r="M37" s="64" t="n">
        <f aca="false">L37+Annahmen!$B$156*Annahmen!$B$155</f>
        <v>26400</v>
      </c>
      <c r="N37" s="64" t="n">
        <f aca="false">M37+Annahmen!$B$156*Annahmen!$B$155</f>
        <v>28600</v>
      </c>
      <c r="O37" s="64" t="n">
        <f aca="false">N37+Annahmen!$B$156*Annahmen!$B$155</f>
        <v>30800</v>
      </c>
      <c r="P37" s="64" t="n">
        <f aca="false">O37+Annahmen!$B$156*Annahmen!$B$155</f>
        <v>33000</v>
      </c>
      <c r="Q37" s="64" t="n">
        <f aca="false">P37+Annahmen!$B$156*Annahmen!$B$155</f>
        <v>35200</v>
      </c>
      <c r="R37" s="64" t="n">
        <f aca="false">Q37+Annahmen!$B$156*Annahmen!$B$155</f>
        <v>37400</v>
      </c>
      <c r="S37" s="64" t="n">
        <f aca="false">R37+Annahmen!$B$156*Annahmen!$B$155</f>
        <v>39600</v>
      </c>
      <c r="T37" s="64" t="n">
        <f aca="false">S37+Annahmen!$B$156*Annahmen!$B$155</f>
        <v>41800</v>
      </c>
      <c r="U37" s="64" t="n">
        <f aca="false">T37+Annahmen!$B$156*Annahmen!$B$155</f>
        <v>44000</v>
      </c>
      <c r="V37" s="64" t="n">
        <f aca="false">U37+Annahmen!$B$156*Annahmen!$B$155</f>
        <v>46200</v>
      </c>
      <c r="W37" s="64" t="n">
        <f aca="false">V37+Annahmen!$B$156*Annahmen!$B$155</f>
        <v>48400</v>
      </c>
      <c r="X37" s="64" t="n">
        <f aca="false">W37+Annahmen!$B$156*Annahmen!$B$155</f>
        <v>50600</v>
      </c>
      <c r="Y37" s="64" t="n">
        <f aca="false">X37+Annahmen!$B$156*Annahmen!$B$155</f>
        <v>52800</v>
      </c>
      <c r="Z37" s="64" t="n">
        <f aca="false">Y37+Annahmen!$B$156*Annahmen!$B$155</f>
        <v>55000</v>
      </c>
      <c r="AA37" s="64" t="n">
        <f aca="false">Z37+Annahmen!$B$156*Annahmen!$B$155</f>
        <v>57200</v>
      </c>
      <c r="AB37" s="64" t="n">
        <f aca="false">AA37+Annahmen!$B$156*Annahmen!$B$155</f>
        <v>59400</v>
      </c>
      <c r="AC37" s="64" t="n">
        <f aca="false">AB37+Annahmen!$B$156*Annahmen!$B$155</f>
        <v>61600</v>
      </c>
      <c r="AD37" s="64" t="n">
        <f aca="false">AC37+Annahmen!$B$156*Annahmen!$B$155</f>
        <v>63800</v>
      </c>
      <c r="AE37" s="64" t="n">
        <f aca="false">AD37+Annahmen!$B$156*Annahmen!$B$155</f>
        <v>66000</v>
      </c>
      <c r="AF37" s="64" t="n">
        <f aca="false">AE37+Annahmen!$B$156*Annahmen!$B$155</f>
        <v>68200</v>
      </c>
      <c r="AG37" s="64" t="n">
        <f aca="false">AF37+Annahmen!$B$156*Annahmen!$B$155</f>
        <v>70400</v>
      </c>
      <c r="AH37" s="64" t="n">
        <f aca="false">AG37+Annahmen!$B$156*Annahmen!$B$155</f>
        <v>72600</v>
      </c>
      <c r="AI37" s="64" t="n">
        <f aca="false">AH37+Annahmen!$B$156*Annahmen!$B$155</f>
        <v>74800</v>
      </c>
      <c r="AJ37" s="64" t="n">
        <f aca="false">AI37+Annahmen!$B$156*Annahmen!$B$155</f>
        <v>77000</v>
      </c>
      <c r="AK37" s="64" t="n">
        <f aca="false">AJ37+Annahmen!$B$156*Annahmen!$B$155</f>
        <v>79200</v>
      </c>
    </row>
    <row r="39" customFormat="false" ht="15" hidden="false" customHeight="true" outlineLevel="0" collapsed="false">
      <c r="A39" s="69" t="s">
        <v>336</v>
      </c>
    </row>
    <row r="40" customFormat="false" ht="21.75" hidden="false" customHeight="true" outlineLevel="0" collapsed="false">
      <c r="A40" s="10" t="s">
        <v>29</v>
      </c>
      <c r="B40" s="10" t="s">
        <v>337</v>
      </c>
      <c r="C40" s="10" t="s">
        <v>338</v>
      </c>
      <c r="D40" s="10" t="s">
        <v>339</v>
      </c>
      <c r="E40" s="10" t="s">
        <v>340</v>
      </c>
    </row>
    <row r="41" customFormat="false" ht="15" hidden="false" customHeight="true" outlineLevel="0" collapsed="false">
      <c r="A41" s="42" t="s">
        <v>341</v>
      </c>
      <c r="B41" s="70" t="n">
        <f aca="false">AVERAGE(B7:M7)</f>
        <v>3206.87688414313</v>
      </c>
      <c r="C41" s="70" t="n">
        <f aca="false">AVERAGE(N7:Y7)</f>
        <v>15433.9594378455</v>
      </c>
      <c r="D41" s="70" t="n">
        <f aca="false">AVERAGE(Z7:AK7)</f>
        <v>42272.1490083714</v>
      </c>
      <c r="E41" s="71" t="n">
        <f aca="false">AVERAGE(B7:AK7)</f>
        <v>20304.3284434533</v>
      </c>
    </row>
    <row r="42" customFormat="false" ht="15" hidden="false" customHeight="true" outlineLevel="0" collapsed="false">
      <c r="A42" s="42" t="s">
        <v>342</v>
      </c>
      <c r="B42" s="70" t="n">
        <f aca="false">AVERAGE(B11:M11)</f>
        <v>0</v>
      </c>
      <c r="C42" s="70" t="n">
        <f aca="false">AVERAGE(N11:Y11)</f>
        <v>341.868785181498</v>
      </c>
      <c r="D42" s="70" t="n">
        <f aca="false">AVERAGE(Z11:AK11)</f>
        <v>1389.45253428721</v>
      </c>
      <c r="E42" s="71" t="n">
        <f aca="false">AVERAGE(B11:AK11)</f>
        <v>577.107106489569</v>
      </c>
    </row>
    <row r="43" customFormat="false" ht="15" hidden="false" customHeight="true" outlineLevel="0" collapsed="false">
      <c r="A43" s="42" t="s">
        <v>320</v>
      </c>
      <c r="B43" s="72" t="n">
        <f aca="false">SUM(B19:M19)</f>
        <v>0</v>
      </c>
      <c r="C43" s="72" t="n">
        <f aca="false">SUM(N19:Y19)</f>
        <v>41199.5102171094</v>
      </c>
      <c r="D43" s="72" t="n">
        <f aca="false">SUM(Z19:AK19)</f>
        <v>164484.943693361</v>
      </c>
      <c r="E43" s="54" t="n">
        <f aca="false">SUM(B19:AK19)</f>
        <v>205684.45391047</v>
      </c>
    </row>
    <row r="44" customFormat="false" ht="15" hidden="false" customHeight="true" outlineLevel="0" collapsed="false">
      <c r="A44" s="42" t="s">
        <v>331</v>
      </c>
      <c r="B44" s="72" t="n">
        <f aca="false">SUM(B31:M31)</f>
        <v>90958.8205695645</v>
      </c>
      <c r="C44" s="72" t="n">
        <f aca="false">SUM(N31:Y31)</f>
        <v>68866.5916150355</v>
      </c>
      <c r="D44" s="72" t="n">
        <f aca="false">SUM(Z31:AK31)</f>
        <v>153993.35629545</v>
      </c>
      <c r="E44" s="54" t="n">
        <f aca="false">SUM(B31:AK31)</f>
        <v>313818.76848005</v>
      </c>
    </row>
    <row r="45" customFormat="false" ht="15" hidden="false" customHeight="true" outlineLevel="0" collapsed="false">
      <c r="A45" s="42" t="s">
        <v>343</v>
      </c>
      <c r="B45" s="72" t="n">
        <f aca="false">SUM(B33:M33)</f>
        <v>-90958.8205695645</v>
      </c>
      <c r="C45" s="72" t="n">
        <f aca="false">SUM(N33:Y33)</f>
        <v>-27667.0813979261</v>
      </c>
      <c r="D45" s="72" t="n">
        <f aca="false">SUM(Z33:AK33)</f>
        <v>10491.587397911</v>
      </c>
      <c r="E45" s="54" t="n">
        <f aca="false">SUM(B33:AK33)</f>
        <v>-108134.31456958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37" min="2" style="1" width="11"/>
  </cols>
  <sheetData>
    <row r="1" customFormat="false" ht="19.5" hidden="false" customHeight="true" outlineLevel="0" collapsed="false">
      <c r="A1" s="2" t="s">
        <v>345</v>
      </c>
    </row>
    <row r="2" customFormat="false" ht="25.5" hidden="false" customHeight="true" outlineLevel="0" collapsed="false">
      <c r="A2" s="3" t="s">
        <v>270</v>
      </c>
    </row>
    <row r="4" customFormat="false" ht="21.75" hidden="false" customHeight="true" outlineLevel="0" collapsed="false">
      <c r="A4" s="10" t="s">
        <v>150</v>
      </c>
      <c r="B4" s="10" t="s">
        <v>271</v>
      </c>
      <c r="C4" s="10" t="s">
        <v>272</v>
      </c>
      <c r="D4" s="10" t="s">
        <v>273</v>
      </c>
      <c r="E4" s="10" t="s">
        <v>274</v>
      </c>
      <c r="F4" s="10" t="s">
        <v>275</v>
      </c>
      <c r="G4" s="10" t="s">
        <v>276</v>
      </c>
      <c r="H4" s="10" t="s">
        <v>277</v>
      </c>
      <c r="I4" s="10" t="s">
        <v>278</v>
      </c>
      <c r="J4" s="10" t="s">
        <v>279</v>
      </c>
      <c r="K4" s="10" t="s">
        <v>280</v>
      </c>
      <c r="L4" s="10" t="s">
        <v>281</v>
      </c>
      <c r="M4" s="10" t="s">
        <v>282</v>
      </c>
      <c r="N4" s="10" t="s">
        <v>283</v>
      </c>
      <c r="O4" s="10" t="s">
        <v>284</v>
      </c>
      <c r="P4" s="10" t="s">
        <v>285</v>
      </c>
      <c r="Q4" s="10" t="s">
        <v>286</v>
      </c>
      <c r="R4" s="10" t="s">
        <v>287</v>
      </c>
      <c r="S4" s="10" t="s">
        <v>288</v>
      </c>
      <c r="T4" s="10" t="s">
        <v>289</v>
      </c>
      <c r="U4" s="10" t="s">
        <v>290</v>
      </c>
      <c r="V4" s="10" t="s">
        <v>291</v>
      </c>
      <c r="W4" s="10" t="s">
        <v>292</v>
      </c>
      <c r="X4" s="10" t="s">
        <v>293</v>
      </c>
      <c r="Y4" s="10" t="s">
        <v>294</v>
      </c>
      <c r="Z4" s="10" t="s">
        <v>295</v>
      </c>
      <c r="AA4" s="10" t="s">
        <v>296</v>
      </c>
      <c r="AB4" s="10" t="s">
        <v>297</v>
      </c>
      <c r="AC4" s="10" t="s">
        <v>298</v>
      </c>
      <c r="AD4" s="10" t="s">
        <v>299</v>
      </c>
      <c r="AE4" s="10" t="s">
        <v>300</v>
      </c>
      <c r="AF4" s="10" t="s">
        <v>301</v>
      </c>
      <c r="AG4" s="10" t="s">
        <v>302</v>
      </c>
      <c r="AH4" s="10" t="s">
        <v>303</v>
      </c>
      <c r="AI4" s="10" t="s">
        <v>304</v>
      </c>
      <c r="AJ4" s="10" t="s">
        <v>305</v>
      </c>
      <c r="AK4" s="10" t="s">
        <v>306</v>
      </c>
    </row>
    <row r="5" customFormat="false" ht="16.5" hidden="false" customHeight="true" outlineLevel="0" collapsed="false">
      <c r="A5" s="14" t="s">
        <v>198</v>
      </c>
      <c r="B5" s="59" t="n">
        <v>1</v>
      </c>
      <c r="C5" s="59" t="n">
        <v>2</v>
      </c>
      <c r="D5" s="59" t="n">
        <v>3</v>
      </c>
      <c r="E5" s="59" t="n">
        <v>4</v>
      </c>
      <c r="F5" s="59" t="n">
        <v>5</v>
      </c>
      <c r="G5" s="59" t="n">
        <v>6</v>
      </c>
      <c r="H5" s="59" t="n">
        <v>7</v>
      </c>
      <c r="I5" s="59" t="n">
        <v>8</v>
      </c>
      <c r="J5" s="59" t="n">
        <v>9</v>
      </c>
      <c r="K5" s="59" t="n">
        <v>10</v>
      </c>
      <c r="L5" s="59" t="n">
        <v>11</v>
      </c>
      <c r="M5" s="59" t="n">
        <v>12</v>
      </c>
      <c r="N5" s="59" t="n">
        <v>13</v>
      </c>
      <c r="O5" s="59" t="n">
        <v>14</v>
      </c>
      <c r="P5" s="59" t="n">
        <v>15</v>
      </c>
      <c r="Q5" s="59" t="n">
        <v>16</v>
      </c>
      <c r="R5" s="59" t="n">
        <v>17</v>
      </c>
      <c r="S5" s="59" t="n">
        <v>18</v>
      </c>
      <c r="T5" s="59" t="n">
        <v>19</v>
      </c>
      <c r="U5" s="59" t="n">
        <v>20</v>
      </c>
      <c r="V5" s="59" t="n">
        <v>21</v>
      </c>
      <c r="W5" s="59" t="n">
        <v>22</v>
      </c>
      <c r="X5" s="59" t="n">
        <v>23</v>
      </c>
      <c r="Y5" s="59" t="n">
        <v>24</v>
      </c>
      <c r="Z5" s="59" t="n">
        <v>25</v>
      </c>
      <c r="AA5" s="59" t="n">
        <v>26</v>
      </c>
      <c r="AB5" s="59" t="n">
        <v>27</v>
      </c>
      <c r="AC5" s="59" t="n">
        <v>28</v>
      </c>
      <c r="AD5" s="59" t="n">
        <v>29</v>
      </c>
      <c r="AE5" s="59" t="n">
        <v>30</v>
      </c>
      <c r="AF5" s="59" t="n">
        <v>31</v>
      </c>
      <c r="AG5" s="59" t="n">
        <v>32</v>
      </c>
      <c r="AH5" s="59" t="n">
        <v>33</v>
      </c>
      <c r="AI5" s="59" t="n">
        <v>34</v>
      </c>
      <c r="AJ5" s="59" t="n">
        <v>35</v>
      </c>
      <c r="AK5" s="59" t="n">
        <v>36</v>
      </c>
    </row>
    <row r="6" customFormat="false" ht="16.5" hidden="false" customHeight="true" outlineLevel="0" collapsed="false">
      <c r="A6" s="14" t="s">
        <v>307</v>
      </c>
      <c r="B6" s="59" t="n">
        <f aca="false">ROUNDUP(B5/12,0)</f>
        <v>1</v>
      </c>
      <c r="C6" s="59" t="n">
        <f aca="false">ROUNDUP(C5/12,0)</f>
        <v>1</v>
      </c>
      <c r="D6" s="59" t="n">
        <f aca="false">ROUNDUP(D5/12,0)</f>
        <v>1</v>
      </c>
      <c r="E6" s="59" t="n">
        <f aca="false">ROUNDUP(E5/12,0)</f>
        <v>1</v>
      </c>
      <c r="F6" s="59" t="n">
        <f aca="false">ROUNDUP(F5/12,0)</f>
        <v>1</v>
      </c>
      <c r="G6" s="59" t="n">
        <f aca="false">ROUNDUP(G5/12,0)</f>
        <v>1</v>
      </c>
      <c r="H6" s="59" t="n">
        <f aca="false">ROUNDUP(H5/12,0)</f>
        <v>1</v>
      </c>
      <c r="I6" s="59" t="n">
        <f aca="false">ROUNDUP(I5/12,0)</f>
        <v>1</v>
      </c>
      <c r="J6" s="59" t="n">
        <f aca="false">ROUNDUP(J5/12,0)</f>
        <v>1</v>
      </c>
      <c r="K6" s="59" t="n">
        <f aca="false">ROUNDUP(K5/12,0)</f>
        <v>1</v>
      </c>
      <c r="L6" s="59" t="n">
        <f aca="false">ROUNDUP(L5/12,0)</f>
        <v>1</v>
      </c>
      <c r="M6" s="59" t="n">
        <f aca="false">ROUNDUP(M5/12,0)</f>
        <v>1</v>
      </c>
      <c r="N6" s="59" t="n">
        <f aca="false">ROUNDUP(N5/12,0)</f>
        <v>2</v>
      </c>
      <c r="O6" s="59" t="n">
        <f aca="false">ROUNDUP(O5/12,0)</f>
        <v>2</v>
      </c>
      <c r="P6" s="59" t="n">
        <f aca="false">ROUNDUP(P5/12,0)</f>
        <v>2</v>
      </c>
      <c r="Q6" s="59" t="n">
        <f aca="false">ROUNDUP(Q5/12,0)</f>
        <v>2</v>
      </c>
      <c r="R6" s="59" t="n">
        <f aca="false">ROUNDUP(R5/12,0)</f>
        <v>2</v>
      </c>
      <c r="S6" s="59" t="n">
        <f aca="false">ROUNDUP(S5/12,0)</f>
        <v>2</v>
      </c>
      <c r="T6" s="59" t="n">
        <f aca="false">ROUNDUP(T5/12,0)</f>
        <v>2</v>
      </c>
      <c r="U6" s="59" t="n">
        <f aca="false">ROUNDUP(U5/12,0)</f>
        <v>2</v>
      </c>
      <c r="V6" s="59" t="n">
        <f aca="false">ROUNDUP(V5/12,0)</f>
        <v>2</v>
      </c>
      <c r="W6" s="59" t="n">
        <f aca="false">ROUNDUP(W5/12,0)</f>
        <v>2</v>
      </c>
      <c r="X6" s="59" t="n">
        <f aca="false">ROUNDUP(X5/12,0)</f>
        <v>2</v>
      </c>
      <c r="Y6" s="59" t="n">
        <f aca="false">ROUNDUP(Y5/12,0)</f>
        <v>2</v>
      </c>
      <c r="Z6" s="59" t="n">
        <f aca="false">ROUNDUP(Z5/12,0)</f>
        <v>3</v>
      </c>
      <c r="AA6" s="59" t="n">
        <f aca="false">ROUNDUP(AA5/12,0)</f>
        <v>3</v>
      </c>
      <c r="AB6" s="59" t="n">
        <f aca="false">ROUNDUP(AB5/12,0)</f>
        <v>3</v>
      </c>
      <c r="AC6" s="59" t="n">
        <f aca="false">ROUNDUP(AC5/12,0)</f>
        <v>3</v>
      </c>
      <c r="AD6" s="59" t="n">
        <f aca="false">ROUNDUP(AD5/12,0)</f>
        <v>3</v>
      </c>
      <c r="AE6" s="59" t="n">
        <f aca="false">ROUNDUP(AE5/12,0)</f>
        <v>3</v>
      </c>
      <c r="AF6" s="59" t="n">
        <f aca="false">ROUNDUP(AF5/12,0)</f>
        <v>3</v>
      </c>
      <c r="AG6" s="59" t="n">
        <f aca="false">ROUNDUP(AG5/12,0)</f>
        <v>3</v>
      </c>
      <c r="AH6" s="59" t="n">
        <f aca="false">ROUNDUP(AH5/12,0)</f>
        <v>3</v>
      </c>
      <c r="AI6" s="59" t="n">
        <f aca="false">ROUNDUP(AI5/12,0)</f>
        <v>3</v>
      </c>
      <c r="AJ6" s="59" t="n">
        <f aca="false">ROUNDUP(AJ5/12,0)</f>
        <v>3</v>
      </c>
      <c r="AK6" s="59" t="n">
        <f aca="false">ROUNDUP(AK5/12,0)</f>
        <v>3</v>
      </c>
    </row>
    <row r="7" customFormat="false" ht="16.5" hidden="false" customHeight="true" outlineLevel="0" collapsed="false">
      <c r="A7" s="27" t="s">
        <v>308</v>
      </c>
      <c r="B7" s="60" t="n">
        <f aca="false">IF(B5&lt;Annahmen!$D$9,0,IF(B5&lt;=12,Annahmen!$D$6*((B5-Annahmen!$D$9+1)/(12-Annahmen!$D$9+1))^Annahmen!$D$10,IF(B5&lt;=24,Annahmen!$D$6+(Annahmen!$D$7-Annahmen!$D$6)*((B5-12)/12)^Annahmen!$D$11,Annahmen!$D$7+(Annahmen!$D$8-Annahmen!$D$7)*((B5-24)/12)^Annahmen!$D$11)))</f>
        <v>0</v>
      </c>
      <c r="C7" s="60" t="n">
        <f aca="false">IF(C5&lt;Annahmen!$D$9,0,IF(C5&lt;=12,Annahmen!$D$6*((C5-Annahmen!$D$9+1)/(12-Annahmen!$D$9+1))^Annahmen!$D$10,IF(C5&lt;=24,Annahmen!$D$6+(Annahmen!$D$7-Annahmen!$D$6)*((C5-12)/12)^Annahmen!$D$11,Annahmen!$D$7+(Annahmen!$D$8-Annahmen!$D$7)*((C5-24)/12)^Annahmen!$D$11)))</f>
        <v>563.198951437326</v>
      </c>
      <c r="D7" s="60" t="n">
        <f aca="false">IF(D5&lt;Annahmen!$D$9,0,IF(D5&lt;=12,Annahmen!$D$6*((D5-Annahmen!$D$9+1)/(12-Annahmen!$D$9+1))^Annahmen!$D$10,IF(D5&lt;=24,Annahmen!$D$6+(Annahmen!$D$7-Annahmen!$D$6)*((D5-12)/12)^Annahmen!$D$11,Annahmen!$D$7+(Annahmen!$D$8-Annahmen!$D$7)*((D5-24)/12)^Annahmen!$D$11)))</f>
        <v>1425.74557299789</v>
      </c>
      <c r="E7" s="60" t="n">
        <f aca="false">IF(E5&lt;Annahmen!$D$9,0,IF(E5&lt;=12,Annahmen!$D$6*((E5-Annahmen!$D$9+1)/(12-Annahmen!$D$9+1))^Annahmen!$D$10,IF(E5&lt;=24,Annahmen!$D$6+(Annahmen!$D$7-Annahmen!$D$6)*((E5-12)/12)^Annahmen!$D$11,Annahmen!$D$7+(Annahmen!$D$8-Annahmen!$D$7)*((E5-24)/12)^Annahmen!$D$11)))</f>
        <v>2454.73332693668</v>
      </c>
      <c r="F7" s="60" t="n">
        <f aca="false">IF(F5&lt;Annahmen!$D$9,0,IF(F5&lt;=12,Annahmen!$D$6*((F5-Annahmen!$D$9+1)/(12-Annahmen!$D$9+1))^Annahmen!$D$10,IF(F5&lt;=24,Annahmen!$D$6+(Annahmen!$D$7-Annahmen!$D$6)*((F5-12)/12)^Annahmen!$D$11,Annahmen!$D$7+(Annahmen!$D$8-Annahmen!$D$7)*((F5-24)/12)^Annahmen!$D$11)))</f>
        <v>3609.29372069202</v>
      </c>
      <c r="G7" s="60" t="n">
        <f aca="false">IF(G5&lt;Annahmen!$D$9,0,IF(G5&lt;=12,Annahmen!$D$6*((G5-Annahmen!$D$9+1)/(12-Annahmen!$D$9+1))^Annahmen!$D$10,IF(G5&lt;=24,Annahmen!$D$6+(Annahmen!$D$7-Annahmen!$D$6)*((G5-12)/12)^Annahmen!$D$11,Annahmen!$D$7+(Annahmen!$D$8-Annahmen!$D$7)*((G5-24)/12)^Annahmen!$D$11)))</f>
        <v>4867.22746882305</v>
      </c>
      <c r="H7" s="60" t="n">
        <f aca="false">IF(H5&lt;Annahmen!$D$9,0,IF(H5&lt;=12,Annahmen!$D$6*((H5-Annahmen!$D$9+1)/(12-Annahmen!$D$9+1))^Annahmen!$D$10,IF(H5&lt;=24,Annahmen!$D$6+(Annahmen!$D$7-Annahmen!$D$6)*((H5-12)/12)^Annahmen!$D$11,Annahmen!$D$7+(Annahmen!$D$8-Annahmen!$D$7)*((H5-24)/12)^Annahmen!$D$11)))</f>
        <v>6214.18979001741</v>
      </c>
      <c r="I7" s="60" t="n">
        <f aca="false">IF(I5&lt;Annahmen!$D$9,0,IF(I5&lt;=12,Annahmen!$D$6*((I5-Annahmen!$D$9+1)/(12-Annahmen!$D$9+1))^Annahmen!$D$10,IF(I5&lt;=24,Annahmen!$D$6+(Annahmen!$D$7-Annahmen!$D$6)*((I5-12)/12)^Annahmen!$D$11,Annahmen!$D$7+(Annahmen!$D$8-Annahmen!$D$7)*((I5-24)/12)^Annahmen!$D$11)))</f>
        <v>7639.9974071459</v>
      </c>
      <c r="J7" s="60" t="n">
        <f aca="false">IF(J5&lt;Annahmen!$D$9,0,IF(J5&lt;=12,Annahmen!$D$6*((J5-Annahmen!$D$9+1)/(12-Annahmen!$D$9+1))^Annahmen!$D$10,IF(J5&lt;=24,Annahmen!$D$6+(Annahmen!$D$7-Annahmen!$D$6)*((J5-12)/12)^Annahmen!$D$11,Annahmen!$D$7+(Annahmen!$D$8-Annahmen!$D$7)*((J5-24)/12)^Annahmen!$D$11)))</f>
        <v>9136.9746530829</v>
      </c>
      <c r="K7" s="60" t="n">
        <f aca="false">IF(K5&lt;Annahmen!$D$9,0,IF(K5&lt;=12,Annahmen!$D$6*((K5-Annahmen!$D$9+1)/(12-Annahmen!$D$9+1))^Annahmen!$D$10,IF(K5&lt;=24,Annahmen!$D$6+(Annahmen!$D$7-Annahmen!$D$6)*((K5-12)/12)^Annahmen!$D$11,Annahmen!$D$7+(Annahmen!$D$8-Annahmen!$D$7)*((K5-24)/12)^Annahmen!$D$11)))</f>
        <v>10699.0890004244</v>
      </c>
      <c r="L7" s="60" t="n">
        <f aca="false">IF(L5&lt;Annahmen!$D$9,0,IF(L5&lt;=12,Annahmen!$D$6*((L5-Annahmen!$D$9+1)/(12-Annahmen!$D$9+1))^Annahmen!$D$10,IF(L5&lt;=24,Annahmen!$D$6+(Annahmen!$D$7-Annahmen!$D$6)*((L5-12)/12)^Annahmen!$D$11,Annahmen!$D$7+(Annahmen!$D$8-Annahmen!$D$7)*((L5-24)/12)^Annahmen!$D$11)))</f>
        <v>12321.4505260321</v>
      </c>
      <c r="M7" s="60" t="n">
        <f aca="false">IF(M5&lt;Annahmen!$D$9,0,IF(M5&lt;=12,Annahmen!$D$6*((M5-Annahmen!$D$9+1)/(12-Annahmen!$D$9+1))^Annahmen!$D$10,IF(M5&lt;=24,Annahmen!$D$6+(Annahmen!$D$7-Annahmen!$D$6)*((M5-12)/12)^Annahmen!$D$11,Annahmen!$D$7+(Annahmen!$D$8-Annahmen!$D$7)*((M5-24)/12)^Annahmen!$D$11)))</f>
        <v>14000</v>
      </c>
      <c r="N7" s="60" t="n">
        <f aca="false">IF(N5&lt;Annahmen!$D$9,0,IF(N5&lt;=12,Annahmen!$D$6*((N5-Annahmen!$D$9+1)/(12-Annahmen!$D$9+1))^Annahmen!$D$10,IF(N5&lt;=24,Annahmen!$D$6+(Annahmen!$D$7-Annahmen!$D$6)*((N5-12)/12)^Annahmen!$D$11,Annahmen!$D$7+(Annahmen!$D$8-Annahmen!$D$7)*((N5-24)/12)^Annahmen!$D$11)))</f>
        <v>16009.0440617173</v>
      </c>
      <c r="O7" s="60" t="n">
        <f aca="false">IF(O5&lt;Annahmen!$D$9,0,IF(O5&lt;=12,Annahmen!$D$6*((O5-Annahmen!$D$9+1)/(12-Annahmen!$D$9+1))^Annahmen!$D$10,IF(O5&lt;=24,Annahmen!$D$6+(Annahmen!$D$7-Annahmen!$D$6)*((O5-12)/12)^Annahmen!$D$11,Annahmen!$D$7+(Annahmen!$D$8-Annahmen!$D$7)*((O5-24)/12)^Annahmen!$D$11)))</f>
        <v>18811.5749610952</v>
      </c>
      <c r="P7" s="60" t="n">
        <f aca="false">IF(P5&lt;Annahmen!$D$9,0,IF(P5&lt;=12,Annahmen!$D$6*((P5-Annahmen!$D$9+1)/(12-Annahmen!$D$9+1))^Annahmen!$D$10,IF(P5&lt;=24,Annahmen!$D$6+(Annahmen!$D$7-Annahmen!$D$6)*((P5-12)/12)^Annahmen!$D$11,Annahmen!$D$7+(Annahmen!$D$8-Annahmen!$D$7)*((P5-24)/12)^Annahmen!$D$11)))</f>
        <v>22019.7760815148</v>
      </c>
      <c r="Q7" s="60" t="n">
        <f aca="false">IF(Q5&lt;Annahmen!$D$9,0,IF(Q5&lt;=12,Annahmen!$D$6*((Q5-Annahmen!$D$9+1)/(12-Annahmen!$D$9+1))^Annahmen!$D$10,IF(Q5&lt;=24,Annahmen!$D$6+(Annahmen!$D$7-Annahmen!$D$6)*((Q5-12)/12)^Annahmen!$D$11,Annahmen!$D$7+(Annahmen!$D$8-Annahmen!$D$7)*((Q5-24)/12)^Annahmen!$D$11)))</f>
        <v>25523.5171031784</v>
      </c>
      <c r="R7" s="60" t="n">
        <f aca="false">IF(R5&lt;Annahmen!$D$9,0,IF(R5&lt;=12,Annahmen!$D$6*((R5-Annahmen!$D$9+1)/(12-Annahmen!$D$9+1))^Annahmen!$D$10,IF(R5&lt;=24,Annahmen!$D$6+(Annahmen!$D$7-Annahmen!$D$6)*((R5-12)/12)^Annahmen!$D$11,Annahmen!$D$7+(Annahmen!$D$8-Annahmen!$D$7)*((R5-24)/12)^Annahmen!$D$11)))</f>
        <v>29264.8192823425</v>
      </c>
      <c r="S7" s="60" t="n">
        <f aca="false">IF(S5&lt;Annahmen!$D$9,0,IF(S5&lt;=12,Annahmen!$D$6*((S5-Annahmen!$D$9+1)/(12-Annahmen!$D$9+1))^Annahmen!$D$10,IF(S5&lt;=24,Annahmen!$D$6+(Annahmen!$D$7-Annahmen!$D$6)*((S5-12)/12)^Annahmen!$D$11,Annahmen!$D$7+(Annahmen!$D$8-Annahmen!$D$7)*((S5-24)/12)^Annahmen!$D$11)))</f>
        <v>33207.0221468525</v>
      </c>
      <c r="T7" s="60" t="n">
        <f aca="false">IF(T5&lt;Annahmen!$D$9,0,IF(T5&lt;=12,Annahmen!$D$6*((T5-Annahmen!$D$9+1)/(12-Annahmen!$D$9+1))^Annahmen!$D$10,IF(T5&lt;=24,Annahmen!$D$6+(Annahmen!$D$7-Annahmen!$D$6)*((T5-12)/12)^Annahmen!$D$11,Annahmen!$D$7+(Annahmen!$D$8-Annahmen!$D$7)*((T5-24)/12)^Annahmen!$D$11)))</f>
        <v>37324.5348769057</v>
      </c>
      <c r="U7" s="60" t="n">
        <f aca="false">IF(U5&lt;Annahmen!$D$9,0,IF(U5&lt;=12,Annahmen!$D$6*((U5-Annahmen!$D$9+1)/(12-Annahmen!$D$9+1))^Annahmen!$D$10,IF(U5&lt;=24,Annahmen!$D$6+(Annahmen!$D$7-Annahmen!$D$6)*((U5-12)/12)^Annahmen!$D$11,Annahmen!$D$7+(Annahmen!$D$8-Annahmen!$D$7)*((U5-24)/12)^Annahmen!$D$11)))</f>
        <v>41598.3326667362</v>
      </c>
      <c r="V7" s="60" t="n">
        <f aca="false">IF(V5&lt;Annahmen!$D$9,0,IF(V5&lt;=12,Annahmen!$D$6*((V5-Annahmen!$D$9+1)/(12-Annahmen!$D$9+1))^Annahmen!$D$10,IF(V5&lt;=24,Annahmen!$D$6+(Annahmen!$D$7-Annahmen!$D$6)*((V5-12)/12)^Annahmen!$D$11,Annahmen!$D$7+(Annahmen!$D$8-Annahmen!$D$7)*((V5-24)/12)^Annahmen!$D$11)))</f>
        <v>46013.637541956</v>
      </c>
      <c r="W7" s="60" t="n">
        <f aca="false">IF(W5&lt;Annahmen!$D$9,0,IF(W5&lt;=12,Annahmen!$D$6*((W5-Annahmen!$D$9+1)/(12-Annahmen!$D$9+1))^Annahmen!$D$10,IF(W5&lt;=24,Annahmen!$D$6+(Annahmen!$D$7-Annahmen!$D$6)*((W5-12)/12)^Annahmen!$D$11,Annahmen!$D$7+(Annahmen!$D$8-Annahmen!$D$7)*((W5-24)/12)^Annahmen!$D$11)))</f>
        <v>50558.592040923</v>
      </c>
      <c r="X7" s="60" t="n">
        <f aca="false">IF(X5&lt;Annahmen!$D$9,0,IF(X5&lt;=12,Annahmen!$D$6*((X5-Annahmen!$D$9+1)/(12-Annahmen!$D$9+1))^Annahmen!$D$10,IF(X5&lt;=24,Annahmen!$D$6+(Annahmen!$D$7-Annahmen!$D$6)*((X5-12)/12)^Annahmen!$D$11,Annahmen!$D$7+(Annahmen!$D$8-Annahmen!$D$7)*((X5-24)/12)^Annahmen!$D$11)))</f>
        <v>55223.4414373921</v>
      </c>
      <c r="Y7" s="60" t="n">
        <f aca="false">IF(Y5&lt;Annahmen!$D$9,0,IF(Y5&lt;=12,Annahmen!$D$6*((Y5-Annahmen!$D$9+1)/(12-Annahmen!$D$9+1))^Annahmen!$D$10,IF(Y5&lt;=24,Annahmen!$D$6+(Annahmen!$D$7-Annahmen!$D$6)*((Y5-12)/12)^Annahmen!$D$11,Annahmen!$D$7+(Annahmen!$D$8-Annahmen!$D$7)*((Y5-24)/12)^Annahmen!$D$11)))</f>
        <v>60000</v>
      </c>
      <c r="Z7" s="60" t="n">
        <f aca="false">IF(Z5&lt;Annahmen!$D$9,0,IF(Z5&lt;=12,Annahmen!$D$6*((Z5-Annahmen!$D$9+1)/(12-Annahmen!$D$9+1))^Annahmen!$D$10,IF(Z5&lt;=24,Annahmen!$D$6+(Annahmen!$D$7-Annahmen!$D$6)*((Z5-12)/12)^Annahmen!$D$11,Annahmen!$D$7+(Annahmen!$D$8-Annahmen!$D$7)*((Z5-24)/12)^Annahmen!$D$11)))</f>
        <v>63930.7383816208</v>
      </c>
      <c r="AA7" s="60" t="n">
        <f aca="false">IF(AA5&lt;Annahmen!$D$9,0,IF(AA5&lt;=12,Annahmen!$D$6*((AA5-Annahmen!$D$9+1)/(12-Annahmen!$D$9+1))^Annahmen!$D$10,IF(AA5&lt;=24,Annahmen!$D$6+(Annahmen!$D$7-Annahmen!$D$6)*((AA5-12)/12)^Annahmen!$D$11,Annahmen!$D$7+(Annahmen!$D$8-Annahmen!$D$7)*((AA5-24)/12)^Annahmen!$D$11)))</f>
        <v>69413.9510108385</v>
      </c>
      <c r="AB7" s="60" t="n">
        <f aca="false">IF(AB5&lt;Annahmen!$D$9,0,IF(AB5&lt;=12,Annahmen!$D$6*((AB5-Annahmen!$D$9+1)/(12-Annahmen!$D$9+1))^Annahmen!$D$10,IF(AB5&lt;=24,Annahmen!$D$6+(Annahmen!$D$7-Annahmen!$D$6)*((AB5-12)/12)^Annahmen!$D$11,Annahmen!$D$7+(Annahmen!$D$8-Annahmen!$D$7)*((AB5-24)/12)^Annahmen!$D$11)))</f>
        <v>75690.8662464421</v>
      </c>
      <c r="AC7" s="60" t="n">
        <f aca="false">IF(AC5&lt;Annahmen!$D$9,0,IF(AC5&lt;=12,Annahmen!$D$6*((AC5-Annahmen!$D$9+1)/(12-Annahmen!$D$9+1))^Annahmen!$D$10,IF(AC5&lt;=24,Annahmen!$D$6+(Annahmen!$D$7-Annahmen!$D$6)*((AC5-12)/12)^Annahmen!$D$11,Annahmen!$D$7+(Annahmen!$D$8-Annahmen!$D$7)*((AC5-24)/12)^Annahmen!$D$11)))</f>
        <v>82546.0117236098</v>
      </c>
      <c r="AD7" s="60" t="n">
        <f aca="false">IF(AD5&lt;Annahmen!$D$9,0,IF(AD5&lt;=12,Annahmen!$D$6*((AD5-Annahmen!$D$9+1)/(12-Annahmen!$D$9+1))^Annahmen!$D$10,IF(AD5&lt;=24,Annahmen!$D$6+(Annahmen!$D$7-Annahmen!$D$6)*((AD5-12)/12)^Annahmen!$D$11,Annahmen!$D$7+(Annahmen!$D$8-Annahmen!$D$7)*((AD5-24)/12)^Annahmen!$D$11)))</f>
        <v>89865.9507698005</v>
      </c>
      <c r="AE7" s="60" t="n">
        <f aca="false">IF(AE5&lt;Annahmen!$D$9,0,IF(AE5&lt;=12,Annahmen!$D$6*((AE5-Annahmen!$D$9+1)/(12-Annahmen!$D$9+1))^Annahmen!$D$10,IF(AE5&lt;=24,Annahmen!$D$6+(Annahmen!$D$7-Annahmen!$D$6)*((AE5-12)/12)^Annahmen!$D$11,Annahmen!$D$7+(Annahmen!$D$8-Annahmen!$D$7)*((AE5-24)/12)^Annahmen!$D$11)))</f>
        <v>97578.9563742766</v>
      </c>
      <c r="AF7" s="60" t="n">
        <f aca="false">IF(AF5&lt;Annahmen!$D$9,0,IF(AF5&lt;=12,Annahmen!$D$6*((AF5-Annahmen!$D$9+1)/(12-Annahmen!$D$9+1))^Annahmen!$D$10,IF(AF5&lt;=24,Annahmen!$D$6+(Annahmen!$D$7-Annahmen!$D$6)*((AF5-12)/12)^Annahmen!$D$11,Annahmen!$D$7+(Annahmen!$D$8-Annahmen!$D$7)*((AF5-24)/12)^Annahmen!$D$11)))</f>
        <v>105634.959541772</v>
      </c>
      <c r="AG7" s="60" t="n">
        <f aca="false">IF(AG5&lt;Annahmen!$D$9,0,IF(AG5&lt;=12,Annahmen!$D$6*((AG5-Annahmen!$D$9+1)/(12-Annahmen!$D$9+1))^Annahmen!$D$10,IF(AG5&lt;=24,Annahmen!$D$6+(Annahmen!$D$7-Annahmen!$D$6)*((AG5-12)/12)^Annahmen!$D$11,Annahmen!$D$7+(Annahmen!$D$8-Annahmen!$D$7)*((AG5-24)/12)^Annahmen!$D$11)))</f>
        <v>113996.737826223</v>
      </c>
      <c r="AH7" s="60" t="n">
        <f aca="false">IF(AH5&lt;Annahmen!$D$9,0,IF(AH5&lt;=12,Annahmen!$D$6*((AH5-Annahmen!$D$9+1)/(12-Annahmen!$D$9+1))^Annahmen!$D$10,IF(AH5&lt;=24,Annahmen!$D$6+(Annahmen!$D$7-Annahmen!$D$6)*((AH5-12)/12)^Annahmen!$D$11,Annahmen!$D$7+(Annahmen!$D$8-Annahmen!$D$7)*((AH5-24)/12)^Annahmen!$D$11)))</f>
        <v>122635.377799479</v>
      </c>
      <c r="AI7" s="60" t="n">
        <f aca="false">IF(AI5&lt;Annahmen!$D$9,0,IF(AI5&lt;=12,Annahmen!$D$6*((AI5-Annahmen!$D$9+1)/(12-Annahmen!$D$9+1))^Annahmen!$D$10,IF(AI5&lt;=24,Annahmen!$D$6+(Annahmen!$D$7-Annahmen!$D$6)*((AI5-12)/12)^Annahmen!$D$11,Annahmen!$D$7+(Annahmen!$D$8-Annahmen!$D$7)*((AI5-24)/12)^Annahmen!$D$11)))</f>
        <v>131527.680080067</v>
      </c>
      <c r="AJ7" s="60" t="n">
        <f aca="false">IF(AJ5&lt;Annahmen!$D$9,0,IF(AJ5&lt;=12,Annahmen!$D$6*((AJ5-Annahmen!$D$9+1)/(12-Annahmen!$D$9+1))^Annahmen!$D$10,IF(AJ5&lt;=24,Annahmen!$D$6+(Annahmen!$D$7-Annahmen!$D$6)*((AJ5-12)/12)^Annahmen!$D$11,Annahmen!$D$7+(Annahmen!$D$8-Annahmen!$D$7)*((AJ5-24)/12)^Annahmen!$D$11)))</f>
        <v>140654.559334028</v>
      </c>
      <c r="AK7" s="60" t="n">
        <f aca="false">IF(AK5&lt;Annahmen!$D$9,0,IF(AK5&lt;=12,Annahmen!$D$6*((AK5-Annahmen!$D$9+1)/(12-Annahmen!$D$9+1))^Annahmen!$D$10,IF(AK5&lt;=24,Annahmen!$D$6+(Annahmen!$D$7-Annahmen!$D$6)*((AK5-12)/12)^Annahmen!$D$11,Annahmen!$D$7+(Annahmen!$D$8-Annahmen!$D$7)*((AK5-24)/12)^Annahmen!$D$11)))</f>
        <v>150000</v>
      </c>
    </row>
    <row r="8" customFormat="false" ht="16.5" hidden="false" customHeight="true" outlineLevel="0" collapsed="false">
      <c r="A8" s="14" t="s">
        <v>309</v>
      </c>
      <c r="B8" s="60" t="n">
        <f aca="false">IF(B5&lt;=12,Annahmen!$D$12,IF(B5&lt;=24,Annahmen!$D$13,Annahmen!$D$14))</f>
        <v>1</v>
      </c>
      <c r="C8" s="60" t="n">
        <f aca="false">IF(C5&lt;=12,Annahmen!$D$12,IF(C5&lt;=24,Annahmen!$D$13,Annahmen!$D$14))</f>
        <v>1</v>
      </c>
      <c r="D8" s="60" t="n">
        <f aca="false">IF(D5&lt;=12,Annahmen!$D$12,IF(D5&lt;=24,Annahmen!$D$13,Annahmen!$D$14))</f>
        <v>1</v>
      </c>
      <c r="E8" s="60" t="n">
        <f aca="false">IF(E5&lt;=12,Annahmen!$D$12,IF(E5&lt;=24,Annahmen!$D$13,Annahmen!$D$14))</f>
        <v>1</v>
      </c>
      <c r="F8" s="60" t="n">
        <f aca="false">IF(F5&lt;=12,Annahmen!$D$12,IF(F5&lt;=24,Annahmen!$D$13,Annahmen!$D$14))</f>
        <v>1</v>
      </c>
      <c r="G8" s="60" t="n">
        <f aca="false">IF(G5&lt;=12,Annahmen!$D$12,IF(G5&lt;=24,Annahmen!$D$13,Annahmen!$D$14))</f>
        <v>1</v>
      </c>
      <c r="H8" s="60" t="n">
        <f aca="false">IF(H5&lt;=12,Annahmen!$D$12,IF(H5&lt;=24,Annahmen!$D$13,Annahmen!$D$14))</f>
        <v>1</v>
      </c>
      <c r="I8" s="60" t="n">
        <f aca="false">IF(I5&lt;=12,Annahmen!$D$12,IF(I5&lt;=24,Annahmen!$D$13,Annahmen!$D$14))</f>
        <v>1</v>
      </c>
      <c r="J8" s="60" t="n">
        <f aca="false">IF(J5&lt;=12,Annahmen!$D$12,IF(J5&lt;=24,Annahmen!$D$13,Annahmen!$D$14))</f>
        <v>1</v>
      </c>
      <c r="K8" s="60" t="n">
        <f aca="false">IF(K5&lt;=12,Annahmen!$D$12,IF(K5&lt;=24,Annahmen!$D$13,Annahmen!$D$14))</f>
        <v>1</v>
      </c>
      <c r="L8" s="60" t="n">
        <f aca="false">IF(L5&lt;=12,Annahmen!$D$12,IF(L5&lt;=24,Annahmen!$D$13,Annahmen!$D$14))</f>
        <v>1</v>
      </c>
      <c r="M8" s="60" t="n">
        <f aca="false">IF(M5&lt;=12,Annahmen!$D$12,IF(M5&lt;=24,Annahmen!$D$13,Annahmen!$D$14))</f>
        <v>1</v>
      </c>
      <c r="N8" s="60" t="n">
        <f aca="false">IF(N5&lt;=12,Annahmen!$D$12,IF(N5&lt;=24,Annahmen!$D$13,Annahmen!$D$14))</f>
        <v>3</v>
      </c>
      <c r="O8" s="60" t="n">
        <f aca="false">IF(O5&lt;=12,Annahmen!$D$12,IF(O5&lt;=24,Annahmen!$D$13,Annahmen!$D$14))</f>
        <v>3</v>
      </c>
      <c r="P8" s="60" t="n">
        <f aca="false">IF(P5&lt;=12,Annahmen!$D$12,IF(P5&lt;=24,Annahmen!$D$13,Annahmen!$D$14))</f>
        <v>3</v>
      </c>
      <c r="Q8" s="60" t="n">
        <f aca="false">IF(Q5&lt;=12,Annahmen!$D$12,IF(Q5&lt;=24,Annahmen!$D$13,Annahmen!$D$14))</f>
        <v>3</v>
      </c>
      <c r="R8" s="60" t="n">
        <f aca="false">IF(R5&lt;=12,Annahmen!$D$12,IF(R5&lt;=24,Annahmen!$D$13,Annahmen!$D$14))</f>
        <v>3</v>
      </c>
      <c r="S8" s="60" t="n">
        <f aca="false">IF(S5&lt;=12,Annahmen!$D$12,IF(S5&lt;=24,Annahmen!$D$13,Annahmen!$D$14))</f>
        <v>3</v>
      </c>
      <c r="T8" s="60" t="n">
        <f aca="false">IF(T5&lt;=12,Annahmen!$D$12,IF(T5&lt;=24,Annahmen!$D$13,Annahmen!$D$14))</f>
        <v>3</v>
      </c>
      <c r="U8" s="60" t="n">
        <f aca="false">IF(U5&lt;=12,Annahmen!$D$12,IF(U5&lt;=24,Annahmen!$D$13,Annahmen!$D$14))</f>
        <v>3</v>
      </c>
      <c r="V8" s="60" t="n">
        <f aca="false">IF(V5&lt;=12,Annahmen!$D$12,IF(V5&lt;=24,Annahmen!$D$13,Annahmen!$D$14))</f>
        <v>3</v>
      </c>
      <c r="W8" s="60" t="n">
        <f aca="false">IF(W5&lt;=12,Annahmen!$D$12,IF(W5&lt;=24,Annahmen!$D$13,Annahmen!$D$14))</f>
        <v>3</v>
      </c>
      <c r="X8" s="60" t="n">
        <f aca="false">IF(X5&lt;=12,Annahmen!$D$12,IF(X5&lt;=24,Annahmen!$D$13,Annahmen!$D$14))</f>
        <v>3</v>
      </c>
      <c r="Y8" s="60" t="n">
        <f aca="false">IF(Y5&lt;=12,Annahmen!$D$12,IF(Y5&lt;=24,Annahmen!$D$13,Annahmen!$D$14))</f>
        <v>3</v>
      </c>
      <c r="Z8" s="60" t="n">
        <f aca="false">IF(Z5&lt;=12,Annahmen!$D$12,IF(Z5&lt;=24,Annahmen!$D$13,Annahmen!$D$14))</f>
        <v>6</v>
      </c>
      <c r="AA8" s="60" t="n">
        <f aca="false">IF(AA5&lt;=12,Annahmen!$D$12,IF(AA5&lt;=24,Annahmen!$D$13,Annahmen!$D$14))</f>
        <v>6</v>
      </c>
      <c r="AB8" s="60" t="n">
        <f aca="false">IF(AB5&lt;=12,Annahmen!$D$12,IF(AB5&lt;=24,Annahmen!$D$13,Annahmen!$D$14))</f>
        <v>6</v>
      </c>
      <c r="AC8" s="60" t="n">
        <f aca="false">IF(AC5&lt;=12,Annahmen!$D$12,IF(AC5&lt;=24,Annahmen!$D$13,Annahmen!$D$14))</f>
        <v>6</v>
      </c>
      <c r="AD8" s="60" t="n">
        <f aca="false">IF(AD5&lt;=12,Annahmen!$D$12,IF(AD5&lt;=24,Annahmen!$D$13,Annahmen!$D$14))</f>
        <v>6</v>
      </c>
      <c r="AE8" s="60" t="n">
        <f aca="false">IF(AE5&lt;=12,Annahmen!$D$12,IF(AE5&lt;=24,Annahmen!$D$13,Annahmen!$D$14))</f>
        <v>6</v>
      </c>
      <c r="AF8" s="60" t="n">
        <f aca="false">IF(AF5&lt;=12,Annahmen!$D$12,IF(AF5&lt;=24,Annahmen!$D$13,Annahmen!$D$14))</f>
        <v>6</v>
      </c>
      <c r="AG8" s="60" t="n">
        <f aca="false">IF(AG5&lt;=12,Annahmen!$D$12,IF(AG5&lt;=24,Annahmen!$D$13,Annahmen!$D$14))</f>
        <v>6</v>
      </c>
      <c r="AH8" s="60" t="n">
        <f aca="false">IF(AH5&lt;=12,Annahmen!$D$12,IF(AH5&lt;=24,Annahmen!$D$13,Annahmen!$D$14))</f>
        <v>6</v>
      </c>
      <c r="AI8" s="60" t="n">
        <f aca="false">IF(AI5&lt;=12,Annahmen!$D$12,IF(AI5&lt;=24,Annahmen!$D$13,Annahmen!$D$14))</f>
        <v>6</v>
      </c>
      <c r="AJ8" s="60" t="n">
        <f aca="false">IF(AJ5&lt;=12,Annahmen!$D$12,IF(AJ5&lt;=24,Annahmen!$D$13,Annahmen!$D$14))</f>
        <v>6</v>
      </c>
      <c r="AK8" s="60" t="n">
        <f aca="false">IF(AK5&lt;=12,Annahmen!$D$12,IF(AK5&lt;=24,Annahmen!$D$13,Annahmen!$D$14))</f>
        <v>6</v>
      </c>
    </row>
    <row r="9" customFormat="false" ht="16.5" hidden="false" customHeight="true" outlineLevel="0" collapsed="false">
      <c r="A9" s="14" t="s">
        <v>310</v>
      </c>
      <c r="B9" s="60" t="n">
        <f aca="false">MAX(0,B7-0)+B7*Annahmen!$D$15*(1-Annahmen!$D$16)</f>
        <v>0</v>
      </c>
      <c r="C9" s="60" t="n">
        <f aca="false">MAX(0,C7-B7)+C7*Annahmen!$D$15*(1-Annahmen!$D$16)</f>
        <v>590.795700057755</v>
      </c>
      <c r="D9" s="60" t="n">
        <f aca="false">MAX(0,D7-C7)+D7*Annahmen!$D$15*(1-Annahmen!$D$16)</f>
        <v>932.408154637456</v>
      </c>
      <c r="E9" s="60" t="n">
        <f aca="false">MAX(0,E7-D7)+E7*Annahmen!$D$15*(1-Annahmen!$D$16)</f>
        <v>1149.26968695869</v>
      </c>
      <c r="F9" s="60" t="n">
        <f aca="false">MAX(0,F7-E7)+F7*Annahmen!$D$15*(1-Annahmen!$D$16)</f>
        <v>1331.41578606925</v>
      </c>
      <c r="G9" s="60" t="n">
        <f aca="false">MAX(0,G7-F7)+G7*Annahmen!$D$15*(1-Annahmen!$D$16)</f>
        <v>1496.42789410336</v>
      </c>
      <c r="H9" s="60" t="n">
        <f aca="false">MAX(0,H7-G7)+H7*Annahmen!$D$15*(1-Annahmen!$D$16)</f>
        <v>1651.45762090522</v>
      </c>
      <c r="I9" s="60" t="n">
        <f aca="false">MAX(0,I7-H7)+I7*Annahmen!$D$15*(1-Annahmen!$D$16)</f>
        <v>1800.16749007863</v>
      </c>
      <c r="J9" s="60" t="n">
        <f aca="false">MAX(0,J7-I7)+J7*Annahmen!$D$15*(1-Annahmen!$D$16)</f>
        <v>1944.68900393807</v>
      </c>
      <c r="K9" s="60" t="n">
        <f aca="false">MAX(0,K7-J7)+K7*Annahmen!$D$15*(1-Annahmen!$D$16)</f>
        <v>2086.36970836226</v>
      </c>
      <c r="L9" s="60" t="n">
        <f aca="false">MAX(0,L7-K7)+L7*Annahmen!$D$15*(1-Annahmen!$D$16)</f>
        <v>2226.11260138331</v>
      </c>
      <c r="M9" s="60" t="n">
        <f aca="false">MAX(0,M7-L7)+M7*Annahmen!$D$15*(1-Annahmen!$D$16)</f>
        <v>2364.5494739679</v>
      </c>
      <c r="N9" s="60" t="n">
        <f aca="false">MAX(0,N7-M7)+N7*Annahmen!$D$15*(1-Annahmen!$D$16)</f>
        <v>2793.48722074147</v>
      </c>
      <c r="O9" s="60" t="n">
        <f aca="false">MAX(0,O7-N7)+O7*Annahmen!$D$15*(1-Annahmen!$D$16)</f>
        <v>3724.29807247156</v>
      </c>
      <c r="P9" s="60" t="n">
        <f aca="false">MAX(0,P7-O7)+P7*Annahmen!$D$15*(1-Annahmen!$D$16)</f>
        <v>4287.17014841384</v>
      </c>
      <c r="Q9" s="60" t="n">
        <f aca="false">MAX(0,Q7-P7)+Q7*Annahmen!$D$15*(1-Annahmen!$D$16)</f>
        <v>4754.39335971926</v>
      </c>
      <c r="R9" s="60" t="n">
        <f aca="false">MAX(0,R7-Q7)+R7*Annahmen!$D$15*(1-Annahmen!$D$16)</f>
        <v>5175.2783239989</v>
      </c>
      <c r="S9" s="60" t="n">
        <f aca="false">MAX(0,S7-R7)+S7*Annahmen!$D$15*(1-Annahmen!$D$16)</f>
        <v>5569.3469497058</v>
      </c>
      <c r="T9" s="60" t="n">
        <f aca="false">MAX(0,T7-S7)+T7*Annahmen!$D$15*(1-Annahmen!$D$16)</f>
        <v>5946.41493902155</v>
      </c>
      <c r="U9" s="60" t="n">
        <f aca="false">MAX(0,U7-T7)+U7*Annahmen!$D$15*(1-Annahmen!$D$16)</f>
        <v>6312.11609050057</v>
      </c>
      <c r="V9" s="60" t="n">
        <f aca="false">MAX(0,V7-U7)+V7*Annahmen!$D$15*(1-Annahmen!$D$16)</f>
        <v>6669.97311477564</v>
      </c>
      <c r="W9" s="60" t="n">
        <f aca="false">MAX(0,W7-V7)+W7*Annahmen!$D$15*(1-Annahmen!$D$16)</f>
        <v>7022.32550897227</v>
      </c>
      <c r="X9" s="60" t="n">
        <f aca="false">MAX(0,X7-W7)+X7*Annahmen!$D$15*(1-Annahmen!$D$16)</f>
        <v>7370.79802690131</v>
      </c>
      <c r="Y9" s="60" t="n">
        <f aca="false">MAX(0,Y7-X7)+Y7*Annahmen!$D$15*(1-Annahmen!$D$16)</f>
        <v>7716.55856260789</v>
      </c>
      <c r="Z9" s="60" t="n">
        <f aca="false">MAX(0,Z7-Y7)+Z7*Annahmen!$D$15*(1-Annahmen!$D$16)</f>
        <v>7063.34456232027</v>
      </c>
      <c r="AA9" s="60" t="n">
        <f aca="false">MAX(0,AA7-Z7)+AA7*Annahmen!$D$15*(1-Annahmen!$D$16)</f>
        <v>8884.49622874871</v>
      </c>
      <c r="AB9" s="60" t="n">
        <f aca="false">MAX(0,AB7-AA7)+AB7*Annahmen!$D$15*(1-Annahmen!$D$16)</f>
        <v>9985.76768167925</v>
      </c>
      <c r="AC9" s="60" t="n">
        <f aca="false">MAX(0,AC7-AB7)+AC7*Annahmen!$D$15*(1-Annahmen!$D$16)</f>
        <v>10899.9000516246</v>
      </c>
      <c r="AD9" s="60" t="n">
        <f aca="false">MAX(0,AD7-AC7)+AD7*Annahmen!$D$15*(1-Annahmen!$D$16)</f>
        <v>11723.3706339109</v>
      </c>
      <c r="AE9" s="60" t="n">
        <f aca="false">MAX(0,AE7-AD7)+AE7*Annahmen!$D$15*(1-Annahmen!$D$16)</f>
        <v>12494.3744668157</v>
      </c>
      <c r="AF9" s="60" t="n">
        <f aca="false">MAX(0,AF7-AE7)+AF7*Annahmen!$D$15*(1-Annahmen!$D$16)</f>
        <v>13232.1161850422</v>
      </c>
      <c r="AG9" s="60" t="n">
        <f aca="false">MAX(0,AG7-AF7)+AG7*Annahmen!$D$15*(1-Annahmen!$D$16)</f>
        <v>13947.6184379359</v>
      </c>
      <c r="AH9" s="60" t="n">
        <f aca="false">MAX(0,AH7-AG7)+AH7*Annahmen!$D$15*(1-Annahmen!$D$16)</f>
        <v>14647.7734854306</v>
      </c>
      <c r="AI9" s="60" t="n">
        <f aca="false">MAX(0,AI7-AH7)+AI7*Annahmen!$D$15*(1-Annahmen!$D$16)</f>
        <v>15337.158604511</v>
      </c>
      <c r="AJ9" s="60" t="n">
        <f aca="false">MAX(0,AJ7-AI7)+AJ7*Annahmen!$D$15*(1-Annahmen!$D$16)</f>
        <v>16018.9526613287</v>
      </c>
      <c r="AK9" s="60" t="n">
        <f aca="false">MAX(0,AK7-AJ7)+AK7*Annahmen!$D$15*(1-Annahmen!$D$16)</f>
        <v>16695.440665972</v>
      </c>
    </row>
    <row r="10" customFormat="false" ht="16.5" hidden="false" customHeight="true" outlineLevel="0" collapsed="false">
      <c r="A10" s="14" t="s">
        <v>311</v>
      </c>
      <c r="B10" s="61" t="n">
        <f aca="false">IF(B5&lt;Annahmen!$D$22,0,Annahmen!$D$23*(Annahmen!$D$24+(1-Annahmen!$D$24)*MIN(1,(B5-Annahmen!$D$22+1)/Annahmen!$D$25)))</f>
        <v>0</v>
      </c>
      <c r="C10" s="61" t="n">
        <f aca="false">IF(C5&lt;Annahmen!$D$22,0,Annahmen!$D$23*(Annahmen!$D$24+(1-Annahmen!$D$24)*MIN(1,(C5-Annahmen!$D$22+1)/Annahmen!$D$25)))</f>
        <v>0</v>
      </c>
      <c r="D10" s="61" t="n">
        <f aca="false">IF(D5&lt;Annahmen!$D$22,0,Annahmen!$D$23*(Annahmen!$D$24+(1-Annahmen!$D$24)*MIN(1,(D5-Annahmen!$D$22+1)/Annahmen!$D$25)))</f>
        <v>0</v>
      </c>
      <c r="E10" s="61" t="n">
        <f aca="false">IF(E5&lt;Annahmen!$D$22,0,Annahmen!$D$23*(Annahmen!$D$24+(1-Annahmen!$D$24)*MIN(1,(E5-Annahmen!$D$22+1)/Annahmen!$D$25)))</f>
        <v>0</v>
      </c>
      <c r="F10" s="61" t="n">
        <f aca="false">IF(F5&lt;Annahmen!$D$22,0,Annahmen!$D$23*(Annahmen!$D$24+(1-Annahmen!$D$24)*MIN(1,(F5-Annahmen!$D$22+1)/Annahmen!$D$25)))</f>
        <v>0</v>
      </c>
      <c r="G10" s="61" t="n">
        <f aca="false">IF(G5&lt;Annahmen!$D$22,0,Annahmen!$D$23*(Annahmen!$D$24+(1-Annahmen!$D$24)*MIN(1,(G5-Annahmen!$D$22+1)/Annahmen!$D$25)))</f>
        <v>0</v>
      </c>
      <c r="H10" s="61" t="n">
        <f aca="false">IF(H5&lt;Annahmen!$D$22,0,Annahmen!$D$23*(Annahmen!$D$24+(1-Annahmen!$D$24)*MIN(1,(H5-Annahmen!$D$22+1)/Annahmen!$D$25)))</f>
        <v>0</v>
      </c>
      <c r="I10" s="61" t="n">
        <f aca="false">IF(I5&lt;Annahmen!$D$22,0,Annahmen!$D$23*(Annahmen!$D$24+(1-Annahmen!$D$24)*MIN(1,(I5-Annahmen!$D$22+1)/Annahmen!$D$25)))</f>
        <v>0</v>
      </c>
      <c r="J10" s="61" t="n">
        <f aca="false">IF(J5&lt;Annahmen!$D$22,0,Annahmen!$D$23*(Annahmen!$D$24+(1-Annahmen!$D$24)*MIN(1,(J5-Annahmen!$D$22+1)/Annahmen!$D$25)))</f>
        <v>0</v>
      </c>
      <c r="K10" s="61" t="n">
        <f aca="false">IF(K5&lt;Annahmen!$D$22,0,Annahmen!$D$23*(Annahmen!$D$24+(1-Annahmen!$D$24)*MIN(1,(K5-Annahmen!$D$22+1)/Annahmen!$D$25)))</f>
        <v>0</v>
      </c>
      <c r="L10" s="61" t="n">
        <f aca="false">IF(L5&lt;Annahmen!$D$22,0,Annahmen!$D$23*(Annahmen!$D$24+(1-Annahmen!$D$24)*MIN(1,(L5-Annahmen!$D$22+1)/Annahmen!$D$25)))</f>
        <v>0.0227563636363636</v>
      </c>
      <c r="M10" s="61" t="n">
        <f aca="false">IF(M5&lt;Annahmen!$D$22,0,Annahmen!$D$23*(Annahmen!$D$24+(1-Annahmen!$D$24)*MIN(1,(M5-Annahmen!$D$22+1)/Annahmen!$D$25)))</f>
        <v>0.0236727272727273</v>
      </c>
      <c r="N10" s="61" t="n">
        <f aca="false">IF(N5&lt;Annahmen!$D$22,0,Annahmen!$D$23*(Annahmen!$D$24+(1-Annahmen!$D$24)*MIN(1,(N5-Annahmen!$D$22+1)/Annahmen!$D$25)))</f>
        <v>0.0245890909090909</v>
      </c>
      <c r="O10" s="61" t="n">
        <f aca="false">IF(O5&lt;Annahmen!$D$22,0,Annahmen!$D$23*(Annahmen!$D$24+(1-Annahmen!$D$24)*MIN(1,(O5-Annahmen!$D$22+1)/Annahmen!$D$25)))</f>
        <v>0.0255054545454545</v>
      </c>
      <c r="P10" s="61" t="n">
        <f aca="false">IF(P5&lt;Annahmen!$D$22,0,Annahmen!$D$23*(Annahmen!$D$24+(1-Annahmen!$D$24)*MIN(1,(P5-Annahmen!$D$22+1)/Annahmen!$D$25)))</f>
        <v>0.0264218181818182</v>
      </c>
      <c r="Q10" s="61" t="n">
        <f aca="false">IF(Q5&lt;Annahmen!$D$22,0,Annahmen!$D$23*(Annahmen!$D$24+(1-Annahmen!$D$24)*MIN(1,(Q5-Annahmen!$D$22+1)/Annahmen!$D$25)))</f>
        <v>0.0273381818181818</v>
      </c>
      <c r="R10" s="61" t="n">
        <f aca="false">IF(R5&lt;Annahmen!$D$22,0,Annahmen!$D$23*(Annahmen!$D$24+(1-Annahmen!$D$24)*MIN(1,(R5-Annahmen!$D$22+1)/Annahmen!$D$25)))</f>
        <v>0.0282545454545455</v>
      </c>
      <c r="S10" s="61" t="n">
        <f aca="false">IF(S5&lt;Annahmen!$D$22,0,Annahmen!$D$23*(Annahmen!$D$24+(1-Annahmen!$D$24)*MIN(1,(S5-Annahmen!$D$22+1)/Annahmen!$D$25)))</f>
        <v>0.0291709090909091</v>
      </c>
      <c r="T10" s="61" t="n">
        <f aca="false">IF(T5&lt;Annahmen!$D$22,0,Annahmen!$D$23*(Annahmen!$D$24+(1-Annahmen!$D$24)*MIN(1,(T5-Annahmen!$D$22+1)/Annahmen!$D$25)))</f>
        <v>0.0300872727272727</v>
      </c>
      <c r="U10" s="61" t="n">
        <f aca="false">IF(U5&lt;Annahmen!$D$22,0,Annahmen!$D$23*(Annahmen!$D$24+(1-Annahmen!$D$24)*MIN(1,(U5-Annahmen!$D$22+1)/Annahmen!$D$25)))</f>
        <v>0.0310036363636364</v>
      </c>
      <c r="V10" s="61" t="n">
        <f aca="false">IF(V5&lt;Annahmen!$D$22,0,Annahmen!$D$23*(Annahmen!$D$24+(1-Annahmen!$D$24)*MIN(1,(V5-Annahmen!$D$22+1)/Annahmen!$D$25)))</f>
        <v>0.03192</v>
      </c>
      <c r="W10" s="61" t="n">
        <f aca="false">IF(W5&lt;Annahmen!$D$22,0,Annahmen!$D$23*(Annahmen!$D$24+(1-Annahmen!$D$24)*MIN(1,(W5-Annahmen!$D$22+1)/Annahmen!$D$25)))</f>
        <v>0.0328363636363636</v>
      </c>
      <c r="X10" s="61" t="n">
        <f aca="false">IF(X5&lt;Annahmen!$D$22,0,Annahmen!$D$23*(Annahmen!$D$24+(1-Annahmen!$D$24)*MIN(1,(X5-Annahmen!$D$22+1)/Annahmen!$D$25)))</f>
        <v>0.0337527272727273</v>
      </c>
      <c r="Y10" s="61" t="n">
        <f aca="false">IF(Y5&lt;Annahmen!$D$22,0,Annahmen!$D$23*(Annahmen!$D$24+(1-Annahmen!$D$24)*MIN(1,(Y5-Annahmen!$D$22+1)/Annahmen!$D$25)))</f>
        <v>0.0346690909090909</v>
      </c>
      <c r="Z10" s="61" t="n">
        <f aca="false">IF(Z5&lt;Annahmen!$D$22,0,Annahmen!$D$23*(Annahmen!$D$24+(1-Annahmen!$D$24)*MIN(1,(Z5-Annahmen!$D$22+1)/Annahmen!$D$25)))</f>
        <v>0.0355854545454545</v>
      </c>
      <c r="AA10" s="61" t="n">
        <f aca="false">IF(AA5&lt;Annahmen!$D$22,0,Annahmen!$D$23*(Annahmen!$D$24+(1-Annahmen!$D$24)*MIN(1,(AA5-Annahmen!$D$22+1)/Annahmen!$D$25)))</f>
        <v>0.0365018181818182</v>
      </c>
      <c r="AB10" s="61" t="n">
        <f aca="false">IF(AB5&lt;Annahmen!$D$22,0,Annahmen!$D$23*(Annahmen!$D$24+(1-Annahmen!$D$24)*MIN(1,(AB5-Annahmen!$D$22+1)/Annahmen!$D$25)))</f>
        <v>0.0374181818181818</v>
      </c>
      <c r="AC10" s="61" t="n">
        <f aca="false">IF(AC5&lt;Annahmen!$D$22,0,Annahmen!$D$23*(Annahmen!$D$24+(1-Annahmen!$D$24)*MIN(1,(AC5-Annahmen!$D$22+1)/Annahmen!$D$25)))</f>
        <v>0.0383345454545455</v>
      </c>
      <c r="AD10" s="61" t="n">
        <f aca="false">IF(AD5&lt;Annahmen!$D$22,0,Annahmen!$D$23*(Annahmen!$D$24+(1-Annahmen!$D$24)*MIN(1,(AD5-Annahmen!$D$22+1)/Annahmen!$D$25)))</f>
        <v>0.0392509090909091</v>
      </c>
      <c r="AE10" s="61" t="n">
        <f aca="false">IF(AE5&lt;Annahmen!$D$22,0,Annahmen!$D$23*(Annahmen!$D$24+(1-Annahmen!$D$24)*MIN(1,(AE5-Annahmen!$D$22+1)/Annahmen!$D$25)))</f>
        <v>0.0401672727272727</v>
      </c>
      <c r="AF10" s="61" t="n">
        <f aca="false">IF(AF5&lt;Annahmen!$D$22,0,Annahmen!$D$23*(Annahmen!$D$24+(1-Annahmen!$D$24)*MIN(1,(AF5-Annahmen!$D$22+1)/Annahmen!$D$25)))</f>
        <v>0.0410836363636364</v>
      </c>
      <c r="AG10" s="61" t="n">
        <f aca="false">IF(AG5&lt;Annahmen!$D$22,0,Annahmen!$D$23*(Annahmen!$D$24+(1-Annahmen!$D$24)*MIN(1,(AG5-Annahmen!$D$22+1)/Annahmen!$D$25)))</f>
        <v>0.042</v>
      </c>
      <c r="AH10" s="61" t="n">
        <f aca="false">IF(AH5&lt;Annahmen!$D$22,0,Annahmen!$D$23*(Annahmen!$D$24+(1-Annahmen!$D$24)*MIN(1,(AH5-Annahmen!$D$22+1)/Annahmen!$D$25)))</f>
        <v>0.042</v>
      </c>
      <c r="AI10" s="61" t="n">
        <f aca="false">IF(AI5&lt;Annahmen!$D$22,0,Annahmen!$D$23*(Annahmen!$D$24+(1-Annahmen!$D$24)*MIN(1,(AI5-Annahmen!$D$22+1)/Annahmen!$D$25)))</f>
        <v>0.042</v>
      </c>
      <c r="AJ10" s="61" t="n">
        <f aca="false">IF(AJ5&lt;Annahmen!$D$22,0,Annahmen!$D$23*(Annahmen!$D$24+(1-Annahmen!$D$24)*MIN(1,(AJ5-Annahmen!$D$22+1)/Annahmen!$D$25)))</f>
        <v>0.042</v>
      </c>
      <c r="AK10" s="61" t="n">
        <f aca="false">IF(AK5&lt;Annahmen!$D$22,0,Annahmen!$D$23*(Annahmen!$D$24+(1-Annahmen!$D$24)*MIN(1,(AK5-Annahmen!$D$22+1)/Annahmen!$D$25)))</f>
        <v>0.042</v>
      </c>
    </row>
    <row r="11" customFormat="false" ht="16.5" hidden="false" customHeight="true" outlineLevel="0" collapsed="false">
      <c r="A11" s="27" t="s">
        <v>312</v>
      </c>
      <c r="B11" s="60" t="n">
        <f aca="false">B7*B10</f>
        <v>0</v>
      </c>
      <c r="C11" s="60" t="n">
        <f aca="false">C7*C10</f>
        <v>0</v>
      </c>
      <c r="D11" s="60" t="n">
        <f aca="false">D7*D10</f>
        <v>0</v>
      </c>
      <c r="E11" s="60" t="n">
        <f aca="false">E7*E10</f>
        <v>0</v>
      </c>
      <c r="F11" s="60" t="n">
        <f aca="false">F7*F10</f>
        <v>0</v>
      </c>
      <c r="G11" s="60" t="n">
        <f aca="false">G7*G10</f>
        <v>0</v>
      </c>
      <c r="H11" s="60" t="n">
        <f aca="false">H7*H10</f>
        <v>0</v>
      </c>
      <c r="I11" s="60" t="n">
        <f aca="false">I7*I10</f>
        <v>0</v>
      </c>
      <c r="J11" s="60" t="n">
        <f aca="false">J7*J10</f>
        <v>0</v>
      </c>
      <c r="K11" s="60" t="n">
        <f aca="false">K7*K10</f>
        <v>0</v>
      </c>
      <c r="L11" s="60" t="n">
        <f aca="false">L7*L10</f>
        <v>280.39140869785</v>
      </c>
      <c r="M11" s="60" t="n">
        <f aca="false">M7*M10</f>
        <v>331.418181818182</v>
      </c>
      <c r="N11" s="60" t="n">
        <f aca="false">N7*N10</f>
        <v>393.647839801209</v>
      </c>
      <c r="O11" s="60" t="n">
        <f aca="false">O7*O10</f>
        <v>479.797770098625</v>
      </c>
      <c r="P11" s="60" t="n">
        <f aca="false">P7*P10</f>
        <v>581.802520030134</v>
      </c>
      <c r="Q11" s="60" t="n">
        <f aca="false">Q7*Q10</f>
        <v>697.766551206163</v>
      </c>
      <c r="R11" s="60" t="n">
        <f aca="false">R7*R10</f>
        <v>826.864166632004</v>
      </c>
      <c r="S11" s="60" t="n">
        <f aca="false">S7*S10</f>
        <v>968.679024225639</v>
      </c>
      <c r="T11" s="60" t="n">
        <f aca="false">T7*T10</f>
        <v>1122.99346026006</v>
      </c>
      <c r="U11" s="60" t="n">
        <f aca="false">U7*U10</f>
        <v>1289.69957933306</v>
      </c>
      <c r="V11" s="60" t="n">
        <f aca="false">V7*V10</f>
        <v>1468.75531033923</v>
      </c>
      <c r="W11" s="60" t="n">
        <f aca="false">W7*W10</f>
        <v>1660.16031319831</v>
      </c>
      <c r="X11" s="60" t="n">
        <f aca="false">X7*X10</f>
        <v>1863.94175789772</v>
      </c>
      <c r="Y11" s="60" t="n">
        <f aca="false">Y7*Y10</f>
        <v>2080.14545454546</v>
      </c>
      <c r="Z11" s="60" t="n">
        <f aca="false">Z7*Z10</f>
        <v>2275.00438473652</v>
      </c>
      <c r="AA11" s="60" t="n">
        <f aca="false">AA7*AA10</f>
        <v>2533.73541907926</v>
      </c>
      <c r="AB11" s="60" t="n">
        <f aca="false">AB7*AB10</f>
        <v>2832.21459518505</v>
      </c>
      <c r="AC11" s="60" t="n">
        <f aca="false">AC7*AC10</f>
        <v>3164.36383851016</v>
      </c>
      <c r="AD11" s="60" t="n">
        <f aca="false">AD7*AD10</f>
        <v>3527.32026403355</v>
      </c>
      <c r="AE11" s="60" t="n">
        <f aca="false">AE7*AE10</f>
        <v>3919.48055312822</v>
      </c>
      <c r="AF11" s="60" t="n">
        <f aca="false">AF7*AF10</f>
        <v>4339.8682651016</v>
      </c>
      <c r="AG11" s="60" t="n">
        <f aca="false">AG7*AG10</f>
        <v>4787.86298870136</v>
      </c>
      <c r="AH11" s="60" t="n">
        <f aca="false">AH7*AH10</f>
        <v>5150.68586757812</v>
      </c>
      <c r="AI11" s="60" t="n">
        <f aca="false">AI7*AI10</f>
        <v>5524.1625633628</v>
      </c>
      <c r="AJ11" s="60" t="n">
        <f aca="false">AJ7*AJ10</f>
        <v>5907.49149202918</v>
      </c>
      <c r="AK11" s="60" t="n">
        <f aca="false">AK7*AK10</f>
        <v>6300</v>
      </c>
    </row>
    <row r="12" customFormat="false" ht="16.5" hidden="false" customHeight="true" outlineLevel="0" collapsed="false">
      <c r="A12" s="14" t="s">
        <v>313</v>
      </c>
      <c r="B12" s="60" t="n">
        <f aca="false">MIN(MATCH(B7,Annahmen!$B$80:$F$80,1),4)</f>
        <v>1</v>
      </c>
      <c r="C12" s="60" t="n">
        <f aca="false">MIN(MATCH(C7,Annahmen!$B$80:$F$80,1),4)</f>
        <v>1</v>
      </c>
      <c r="D12" s="60" t="n">
        <f aca="false">MIN(MATCH(D7,Annahmen!$B$80:$F$80,1),4)</f>
        <v>1</v>
      </c>
      <c r="E12" s="60" t="n">
        <f aca="false">MIN(MATCH(E7,Annahmen!$B$80:$F$80,1),4)</f>
        <v>1</v>
      </c>
      <c r="F12" s="60" t="n">
        <f aca="false">MIN(MATCH(F7,Annahmen!$B$80:$F$80,1),4)</f>
        <v>1</v>
      </c>
      <c r="G12" s="60" t="n">
        <f aca="false">MIN(MATCH(G7,Annahmen!$B$80:$F$80,1),4)</f>
        <v>1</v>
      </c>
      <c r="H12" s="60" t="n">
        <f aca="false">MIN(MATCH(H7,Annahmen!$B$80:$F$80,1),4)</f>
        <v>2</v>
      </c>
      <c r="I12" s="60" t="n">
        <f aca="false">MIN(MATCH(I7,Annahmen!$B$80:$F$80,1),4)</f>
        <v>2</v>
      </c>
      <c r="J12" s="60" t="n">
        <f aca="false">MIN(MATCH(J7,Annahmen!$B$80:$F$80,1),4)</f>
        <v>2</v>
      </c>
      <c r="K12" s="60" t="n">
        <f aca="false">MIN(MATCH(K7,Annahmen!$B$80:$F$80,1),4)</f>
        <v>2</v>
      </c>
      <c r="L12" s="60" t="n">
        <f aca="false">MIN(MATCH(L7,Annahmen!$B$80:$F$80,1),4)</f>
        <v>3</v>
      </c>
      <c r="M12" s="60" t="n">
        <f aca="false">MIN(MATCH(M7,Annahmen!$B$80:$F$80,1),4)</f>
        <v>3</v>
      </c>
      <c r="N12" s="60" t="n">
        <f aca="false">MIN(MATCH(N7,Annahmen!$B$80:$F$80,1),4)</f>
        <v>3</v>
      </c>
      <c r="O12" s="60" t="n">
        <f aca="false">MIN(MATCH(O7,Annahmen!$B$80:$F$80,1),4)</f>
        <v>3</v>
      </c>
      <c r="P12" s="60" t="n">
        <f aca="false">MIN(MATCH(P7,Annahmen!$B$80:$F$80,1),4)</f>
        <v>4</v>
      </c>
      <c r="Q12" s="60" t="n">
        <f aca="false">MIN(MATCH(Q7,Annahmen!$B$80:$F$80,1),4)</f>
        <v>4</v>
      </c>
      <c r="R12" s="60" t="n">
        <f aca="false">MIN(MATCH(R7,Annahmen!$B$80:$F$80,1),4)</f>
        <v>4</v>
      </c>
      <c r="S12" s="60" t="n">
        <f aca="false">MIN(MATCH(S7,Annahmen!$B$80:$F$80,1),4)</f>
        <v>4</v>
      </c>
      <c r="T12" s="60" t="n">
        <f aca="false">MIN(MATCH(T7,Annahmen!$B$80:$F$80,1),4)</f>
        <v>4</v>
      </c>
      <c r="U12" s="60" t="n">
        <f aca="false">MIN(MATCH(U7,Annahmen!$B$80:$F$80,1),4)</f>
        <v>4</v>
      </c>
      <c r="V12" s="60" t="n">
        <f aca="false">MIN(MATCH(V7,Annahmen!$B$80:$F$80,1),4)</f>
        <v>4</v>
      </c>
      <c r="W12" s="60" t="n">
        <f aca="false">MIN(MATCH(W7,Annahmen!$B$80:$F$80,1),4)</f>
        <v>4</v>
      </c>
      <c r="X12" s="60" t="n">
        <f aca="false">MIN(MATCH(X7,Annahmen!$B$80:$F$80,1),4)</f>
        <v>4</v>
      </c>
      <c r="Y12" s="60" t="n">
        <f aca="false">MIN(MATCH(Y7,Annahmen!$B$80:$F$80,1),4)</f>
        <v>4</v>
      </c>
      <c r="Z12" s="60" t="n">
        <f aca="false">MIN(MATCH(Z7,Annahmen!$B$80:$F$80,1),4)</f>
        <v>4</v>
      </c>
      <c r="AA12" s="60" t="n">
        <f aca="false">MIN(MATCH(AA7,Annahmen!$B$80:$F$80,1),4)</f>
        <v>4</v>
      </c>
      <c r="AB12" s="60" t="n">
        <f aca="false">MIN(MATCH(AB7,Annahmen!$B$80:$F$80,1),4)</f>
        <v>4</v>
      </c>
      <c r="AC12" s="60" t="n">
        <f aca="false">MIN(MATCH(AC7,Annahmen!$B$80:$F$80,1),4)</f>
        <v>4</v>
      </c>
      <c r="AD12" s="60" t="n">
        <f aca="false">MIN(MATCH(AD7,Annahmen!$B$80:$F$80,1),4)</f>
        <v>4</v>
      </c>
      <c r="AE12" s="60" t="n">
        <f aca="false">MIN(MATCH(AE7,Annahmen!$B$80:$F$80,1),4)</f>
        <v>4</v>
      </c>
      <c r="AF12" s="60" t="n">
        <f aca="false">MIN(MATCH(AF7,Annahmen!$B$80:$F$80,1),4)</f>
        <v>4</v>
      </c>
      <c r="AG12" s="60" t="n">
        <f aca="false">MIN(MATCH(AG7,Annahmen!$B$80:$F$80,1),4)</f>
        <v>4</v>
      </c>
      <c r="AH12" s="60" t="n">
        <f aca="false">MIN(MATCH(AH7,Annahmen!$B$80:$F$80,1),4)</f>
        <v>4</v>
      </c>
      <c r="AI12" s="60" t="n">
        <f aca="false">MIN(MATCH(AI7,Annahmen!$B$80:$F$80,1),4)</f>
        <v>4</v>
      </c>
      <c r="AJ12" s="60" t="n">
        <f aca="false">MIN(MATCH(AJ7,Annahmen!$B$80:$F$80,1),4)</f>
        <v>4</v>
      </c>
      <c r="AK12" s="60" t="n">
        <f aca="false">MIN(MATCH(AK7,Annahmen!$B$80:$F$80,1),4)</f>
        <v>4</v>
      </c>
    </row>
    <row r="13" customFormat="false" ht="15" hidden="false" customHeight="true" outlineLevel="0" collapsed="false">
      <c r="A13" s="62" t="s">
        <v>314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3"/>
      <c r="AK13" s="63"/>
    </row>
    <row r="14" customFormat="false" ht="16.5" hidden="false" customHeight="true" outlineLevel="0" collapsed="false">
      <c r="A14" s="14" t="s">
        <v>315</v>
      </c>
      <c r="B14" s="64" t="n">
        <f aca="false">B11*Annahmen!$D$26</f>
        <v>0</v>
      </c>
      <c r="C14" s="64" t="n">
        <f aca="false">C11*Annahmen!$D$26</f>
        <v>0</v>
      </c>
      <c r="D14" s="64" t="n">
        <f aca="false">D11*Annahmen!$D$26</f>
        <v>0</v>
      </c>
      <c r="E14" s="64" t="n">
        <f aca="false">E11*Annahmen!$D$26</f>
        <v>0</v>
      </c>
      <c r="F14" s="64" t="n">
        <f aca="false">F11*Annahmen!$D$26</f>
        <v>0</v>
      </c>
      <c r="G14" s="64" t="n">
        <f aca="false">G11*Annahmen!$D$26</f>
        <v>0</v>
      </c>
      <c r="H14" s="64" t="n">
        <f aca="false">H11*Annahmen!$D$26</f>
        <v>0</v>
      </c>
      <c r="I14" s="64" t="n">
        <f aca="false">I11*Annahmen!$D$26</f>
        <v>0</v>
      </c>
      <c r="J14" s="64" t="n">
        <f aca="false">J11*Annahmen!$D$26</f>
        <v>0</v>
      </c>
      <c r="K14" s="64" t="n">
        <f aca="false">K11*Annahmen!$D$26</f>
        <v>0</v>
      </c>
      <c r="L14" s="64" t="n">
        <f aca="false">L11*Annahmen!$D$26</f>
        <v>2119.58454262541</v>
      </c>
      <c r="M14" s="64" t="n">
        <f aca="false">M11*Annahmen!$D$26</f>
        <v>2505.31518989519</v>
      </c>
      <c r="N14" s="64" t="n">
        <f aca="false">N11*Annahmen!$D$26</f>
        <v>2975.73267439032</v>
      </c>
      <c r="O14" s="64" t="n">
        <f aca="false">O11*Annahmen!$D$26</f>
        <v>3626.97253032839</v>
      </c>
      <c r="P14" s="64" t="n">
        <f aca="false">P11*Annahmen!$D$26</f>
        <v>4398.06495514009</v>
      </c>
      <c r="Q14" s="64" t="n">
        <f aca="false">Q11*Annahmen!$D$26</f>
        <v>5274.68085832603</v>
      </c>
      <c r="R14" s="64" t="n">
        <f aca="false">R11*Annahmen!$D$26</f>
        <v>6250.57848449501</v>
      </c>
      <c r="S14" s="64" t="n">
        <f aca="false">S11*Annahmen!$D$26</f>
        <v>7322.61054662573</v>
      </c>
      <c r="T14" s="64" t="n">
        <f aca="false">T11*Annahmen!$D$26</f>
        <v>8489.13164240933</v>
      </c>
      <c r="U14" s="64" t="n">
        <f aca="false">U11*Annahmen!$D$26</f>
        <v>9749.32614975591</v>
      </c>
      <c r="V14" s="64" t="n">
        <f aca="false">V11*Annahmen!$D$26</f>
        <v>11102.8760372924</v>
      </c>
      <c r="W14" s="64" t="n">
        <f aca="false">W11*Annahmen!$D$26</f>
        <v>12549.7787342236</v>
      </c>
      <c r="X14" s="64" t="n">
        <f aca="false">X11*Annahmen!$D$26</f>
        <v>14090.2396287448</v>
      </c>
      <c r="Y14" s="64" t="n">
        <f aca="false">Y11*Annahmen!$D$26</f>
        <v>15724.6050167615</v>
      </c>
      <c r="Z14" s="64" t="n">
        <f aca="false">Z11*Annahmen!$D$26</f>
        <v>17197.6172547027</v>
      </c>
      <c r="AA14" s="64" t="n">
        <f aca="false">AA11*Annahmen!$D$26</f>
        <v>19153.4628479652</v>
      </c>
      <c r="AB14" s="64" t="n">
        <f aca="false">AB11*Annahmen!$D$26</f>
        <v>21409.7796549154</v>
      </c>
      <c r="AC14" s="64" t="n">
        <f aca="false">AC11*Annahmen!$D$26</f>
        <v>23920.6212148124</v>
      </c>
      <c r="AD14" s="64" t="n">
        <f aca="false">AD11*Annahmen!$D$26</f>
        <v>26664.3458986702</v>
      </c>
      <c r="AE14" s="64" t="n">
        <f aca="false">AE11*Annahmen!$D$26</f>
        <v>29628.8336155256</v>
      </c>
      <c r="AF14" s="64" t="n">
        <f aca="false">AF11*Annahmen!$D$26</f>
        <v>32806.70308145</v>
      </c>
      <c r="AG14" s="64" t="n">
        <f aca="false">AG11*Annahmen!$D$26</f>
        <v>36193.2643735011</v>
      </c>
      <c r="AH14" s="64" t="n">
        <f aca="false">AH11*Annahmen!$D$26</f>
        <v>38935.9795278257</v>
      </c>
      <c r="AI14" s="64" t="n">
        <f aca="false">AI11*Annahmen!$D$26</f>
        <v>41759.2309073609</v>
      </c>
      <c r="AJ14" s="64" t="n">
        <f aca="false">AJ11*Annahmen!$D$26</f>
        <v>44656.95903575</v>
      </c>
      <c r="AK14" s="64" t="n">
        <f aca="false">AK11*Annahmen!$D$26</f>
        <v>47624.0790705882</v>
      </c>
    </row>
    <row r="15" customFormat="false" ht="16.5" hidden="false" customHeight="true" outlineLevel="0" collapsed="false">
      <c r="A15" s="14" t="s">
        <v>316</v>
      </c>
      <c r="B15" s="64" t="n">
        <f aca="false">IF(AND(B5&gt;=Annahmen!$D$62,B7&gt;=Annahmen!$D$63),B8*Annahmen!$D$64*Annahmen!$D$65,0)</f>
        <v>0</v>
      </c>
      <c r="C15" s="64" t="n">
        <f aca="false">IF(AND(C5&gt;=Annahmen!$D$62,C7&gt;=Annahmen!$D$63),C8*Annahmen!$D$64*Annahmen!$D$65,0)</f>
        <v>0</v>
      </c>
      <c r="D15" s="64" t="n">
        <f aca="false">IF(AND(D5&gt;=Annahmen!$D$62,D7&gt;=Annahmen!$D$63),D8*Annahmen!$D$64*Annahmen!$D$65,0)</f>
        <v>0</v>
      </c>
      <c r="E15" s="64" t="n">
        <f aca="false">IF(AND(E5&gt;=Annahmen!$D$62,E7&gt;=Annahmen!$D$63),E8*Annahmen!$D$64*Annahmen!$D$65,0)</f>
        <v>0</v>
      </c>
      <c r="F15" s="64" t="n">
        <f aca="false">IF(AND(F5&gt;=Annahmen!$D$62,F7&gt;=Annahmen!$D$63),F8*Annahmen!$D$64*Annahmen!$D$65,0)</f>
        <v>0</v>
      </c>
      <c r="G15" s="64" t="n">
        <f aca="false">IF(AND(G5&gt;=Annahmen!$D$62,G7&gt;=Annahmen!$D$63),G8*Annahmen!$D$64*Annahmen!$D$65,0)</f>
        <v>0</v>
      </c>
      <c r="H15" s="64" t="n">
        <f aca="false">IF(AND(H5&gt;=Annahmen!$D$62,H7&gt;=Annahmen!$D$63),H8*Annahmen!$D$64*Annahmen!$D$65,0)</f>
        <v>0</v>
      </c>
      <c r="I15" s="64" t="n">
        <f aca="false">IF(AND(I5&gt;=Annahmen!$D$62,I7&gt;=Annahmen!$D$63),I8*Annahmen!$D$64*Annahmen!$D$65,0)</f>
        <v>0</v>
      </c>
      <c r="J15" s="64" t="n">
        <f aca="false">IF(AND(J5&gt;=Annahmen!$D$62,J7&gt;=Annahmen!$D$63),J8*Annahmen!$D$64*Annahmen!$D$65,0)</f>
        <v>0</v>
      </c>
      <c r="K15" s="64" t="n">
        <f aca="false">IF(AND(K5&gt;=Annahmen!$D$62,K7&gt;=Annahmen!$D$63),K8*Annahmen!$D$64*Annahmen!$D$65,0)</f>
        <v>0</v>
      </c>
      <c r="L15" s="64" t="n">
        <f aca="false">IF(AND(L5&gt;=Annahmen!$D$62,L7&gt;=Annahmen!$D$63),L8*Annahmen!$D$64*Annahmen!$D$65,0)</f>
        <v>0</v>
      </c>
      <c r="M15" s="64" t="n">
        <f aca="false">IF(AND(M5&gt;=Annahmen!$D$62,M7&gt;=Annahmen!$D$63),M8*Annahmen!$D$64*Annahmen!$D$65,0)</f>
        <v>0</v>
      </c>
      <c r="N15" s="64" t="n">
        <f aca="false">IF(AND(N5&gt;=Annahmen!$D$62,N7&gt;=Annahmen!$D$63),N8*Annahmen!$D$64*Annahmen!$D$65,0)</f>
        <v>435</v>
      </c>
      <c r="O15" s="64" t="n">
        <f aca="false">IF(AND(O5&gt;=Annahmen!$D$62,O7&gt;=Annahmen!$D$63),O8*Annahmen!$D$64*Annahmen!$D$65,0)</f>
        <v>435</v>
      </c>
      <c r="P15" s="64" t="n">
        <f aca="false">IF(AND(P5&gt;=Annahmen!$D$62,P7&gt;=Annahmen!$D$63),P8*Annahmen!$D$64*Annahmen!$D$65,0)</f>
        <v>435</v>
      </c>
      <c r="Q15" s="64" t="n">
        <f aca="false">IF(AND(Q5&gt;=Annahmen!$D$62,Q7&gt;=Annahmen!$D$63),Q8*Annahmen!$D$64*Annahmen!$D$65,0)</f>
        <v>435</v>
      </c>
      <c r="R15" s="64" t="n">
        <f aca="false">IF(AND(R5&gt;=Annahmen!$D$62,R7&gt;=Annahmen!$D$63),R8*Annahmen!$D$64*Annahmen!$D$65,0)</f>
        <v>435</v>
      </c>
      <c r="S15" s="64" t="n">
        <f aca="false">IF(AND(S5&gt;=Annahmen!$D$62,S7&gt;=Annahmen!$D$63),S8*Annahmen!$D$64*Annahmen!$D$65,0)</f>
        <v>435</v>
      </c>
      <c r="T15" s="64" t="n">
        <f aca="false">IF(AND(T5&gt;=Annahmen!$D$62,T7&gt;=Annahmen!$D$63),T8*Annahmen!$D$64*Annahmen!$D$65,0)</f>
        <v>435</v>
      </c>
      <c r="U15" s="64" t="n">
        <f aca="false">IF(AND(U5&gt;=Annahmen!$D$62,U7&gt;=Annahmen!$D$63),U8*Annahmen!$D$64*Annahmen!$D$65,0)</f>
        <v>435</v>
      </c>
      <c r="V15" s="64" t="n">
        <f aca="false">IF(AND(V5&gt;=Annahmen!$D$62,V7&gt;=Annahmen!$D$63),V8*Annahmen!$D$64*Annahmen!$D$65,0)</f>
        <v>435</v>
      </c>
      <c r="W15" s="64" t="n">
        <f aca="false">IF(AND(W5&gt;=Annahmen!$D$62,W7&gt;=Annahmen!$D$63),W8*Annahmen!$D$64*Annahmen!$D$65,0)</f>
        <v>435</v>
      </c>
      <c r="X15" s="64" t="n">
        <f aca="false">IF(AND(X5&gt;=Annahmen!$D$62,X7&gt;=Annahmen!$D$63),X8*Annahmen!$D$64*Annahmen!$D$65,0)</f>
        <v>435</v>
      </c>
      <c r="Y15" s="64" t="n">
        <f aca="false">IF(AND(Y5&gt;=Annahmen!$D$62,Y7&gt;=Annahmen!$D$63),Y8*Annahmen!$D$64*Annahmen!$D$65,0)</f>
        <v>435</v>
      </c>
      <c r="Z15" s="64" t="n">
        <f aca="false">IF(AND(Z5&gt;=Annahmen!$D$62,Z7&gt;=Annahmen!$D$63),Z8*Annahmen!$D$64*Annahmen!$D$65,0)</f>
        <v>870</v>
      </c>
      <c r="AA15" s="64" t="n">
        <f aca="false">IF(AND(AA5&gt;=Annahmen!$D$62,AA7&gt;=Annahmen!$D$63),AA8*Annahmen!$D$64*Annahmen!$D$65,0)</f>
        <v>870</v>
      </c>
      <c r="AB15" s="64" t="n">
        <f aca="false">IF(AND(AB5&gt;=Annahmen!$D$62,AB7&gt;=Annahmen!$D$63),AB8*Annahmen!$D$64*Annahmen!$D$65,0)</f>
        <v>870</v>
      </c>
      <c r="AC15" s="64" t="n">
        <f aca="false">IF(AND(AC5&gt;=Annahmen!$D$62,AC7&gt;=Annahmen!$D$63),AC8*Annahmen!$D$64*Annahmen!$D$65,0)</f>
        <v>870</v>
      </c>
      <c r="AD15" s="64" t="n">
        <f aca="false">IF(AND(AD5&gt;=Annahmen!$D$62,AD7&gt;=Annahmen!$D$63),AD8*Annahmen!$D$64*Annahmen!$D$65,0)</f>
        <v>870</v>
      </c>
      <c r="AE15" s="64" t="n">
        <f aca="false">IF(AND(AE5&gt;=Annahmen!$D$62,AE7&gt;=Annahmen!$D$63),AE8*Annahmen!$D$64*Annahmen!$D$65,0)</f>
        <v>870</v>
      </c>
      <c r="AF15" s="64" t="n">
        <f aca="false">IF(AND(AF5&gt;=Annahmen!$D$62,AF7&gt;=Annahmen!$D$63),AF8*Annahmen!$D$64*Annahmen!$D$65,0)</f>
        <v>870</v>
      </c>
      <c r="AG15" s="64" t="n">
        <f aca="false">IF(AND(AG5&gt;=Annahmen!$D$62,AG7&gt;=Annahmen!$D$63),AG8*Annahmen!$D$64*Annahmen!$D$65,0)</f>
        <v>870</v>
      </c>
      <c r="AH15" s="64" t="n">
        <f aca="false">IF(AND(AH5&gt;=Annahmen!$D$62,AH7&gt;=Annahmen!$D$63),AH8*Annahmen!$D$64*Annahmen!$D$65,0)</f>
        <v>870</v>
      </c>
      <c r="AI15" s="64" t="n">
        <f aca="false">IF(AND(AI5&gt;=Annahmen!$D$62,AI7&gt;=Annahmen!$D$63),AI8*Annahmen!$D$64*Annahmen!$D$65,0)</f>
        <v>870</v>
      </c>
      <c r="AJ15" s="64" t="n">
        <f aca="false">IF(AND(AJ5&gt;=Annahmen!$D$62,AJ7&gt;=Annahmen!$D$63),AJ8*Annahmen!$D$64*Annahmen!$D$65,0)</f>
        <v>870</v>
      </c>
      <c r="AK15" s="64" t="n">
        <f aca="false">IF(AND(AK5&gt;=Annahmen!$D$62,AK7&gt;=Annahmen!$D$63),AK8*Annahmen!$D$64*Annahmen!$D$65,0)</f>
        <v>870</v>
      </c>
    </row>
    <row r="16" customFormat="false" ht="16.5" hidden="false" customHeight="true" outlineLevel="0" collapsed="false">
      <c r="A16" s="14" t="s">
        <v>317</v>
      </c>
      <c r="B16" s="64" t="n">
        <f aca="false">IF(AND(B5&gt;=Annahmen!$D$66,B7&gt;=Annahmen!$D$67),B8*Annahmen!$D$68*Annahmen!$D$69*Annahmen!$D$70*Annahmen!$D$71,0)</f>
        <v>0</v>
      </c>
      <c r="C16" s="64" t="n">
        <f aca="false">IF(AND(C5&gt;=Annahmen!$D$66,C7&gt;=Annahmen!$D$67),C8*Annahmen!$D$68*Annahmen!$D$69*Annahmen!$D$70*Annahmen!$D$71,0)</f>
        <v>0</v>
      </c>
      <c r="D16" s="64" t="n">
        <f aca="false">IF(AND(D5&gt;=Annahmen!$D$66,D7&gt;=Annahmen!$D$67),D8*Annahmen!$D$68*Annahmen!$D$69*Annahmen!$D$70*Annahmen!$D$71,0)</f>
        <v>0</v>
      </c>
      <c r="E16" s="64" t="n">
        <f aca="false">IF(AND(E5&gt;=Annahmen!$D$66,E7&gt;=Annahmen!$D$67),E8*Annahmen!$D$68*Annahmen!$D$69*Annahmen!$D$70*Annahmen!$D$71,0)</f>
        <v>0</v>
      </c>
      <c r="F16" s="64" t="n">
        <f aca="false">IF(AND(F5&gt;=Annahmen!$D$66,F7&gt;=Annahmen!$D$67),F8*Annahmen!$D$68*Annahmen!$D$69*Annahmen!$D$70*Annahmen!$D$71,0)</f>
        <v>0</v>
      </c>
      <c r="G16" s="64" t="n">
        <f aca="false">IF(AND(G5&gt;=Annahmen!$D$66,G7&gt;=Annahmen!$D$67),G8*Annahmen!$D$68*Annahmen!$D$69*Annahmen!$D$70*Annahmen!$D$71,0)</f>
        <v>0</v>
      </c>
      <c r="H16" s="64" t="n">
        <f aca="false">IF(AND(H5&gt;=Annahmen!$D$66,H7&gt;=Annahmen!$D$67),H8*Annahmen!$D$68*Annahmen!$D$69*Annahmen!$D$70*Annahmen!$D$71,0)</f>
        <v>0</v>
      </c>
      <c r="I16" s="64" t="n">
        <f aca="false">IF(AND(I5&gt;=Annahmen!$D$66,I7&gt;=Annahmen!$D$67),I8*Annahmen!$D$68*Annahmen!$D$69*Annahmen!$D$70*Annahmen!$D$71,0)</f>
        <v>0</v>
      </c>
      <c r="J16" s="64" t="n">
        <f aca="false">IF(AND(J5&gt;=Annahmen!$D$66,J7&gt;=Annahmen!$D$67),J8*Annahmen!$D$68*Annahmen!$D$69*Annahmen!$D$70*Annahmen!$D$71,0)</f>
        <v>0</v>
      </c>
      <c r="K16" s="64" t="n">
        <f aca="false">IF(AND(K5&gt;=Annahmen!$D$66,K7&gt;=Annahmen!$D$67),K8*Annahmen!$D$68*Annahmen!$D$69*Annahmen!$D$70*Annahmen!$D$71,0)</f>
        <v>0</v>
      </c>
      <c r="L16" s="64" t="n">
        <f aca="false">IF(AND(L5&gt;=Annahmen!$D$66,L7&gt;=Annahmen!$D$67),L8*Annahmen!$D$68*Annahmen!$D$69*Annahmen!$D$70*Annahmen!$D$71,0)</f>
        <v>0</v>
      </c>
      <c r="M16" s="64" t="n">
        <f aca="false">IF(AND(M5&gt;=Annahmen!$D$66,M7&gt;=Annahmen!$D$67),M8*Annahmen!$D$68*Annahmen!$D$69*Annahmen!$D$70*Annahmen!$D$71,0)</f>
        <v>0</v>
      </c>
      <c r="N16" s="64" t="n">
        <f aca="false">IF(AND(N5&gt;=Annahmen!$D$66,N7&gt;=Annahmen!$D$67),N8*Annahmen!$D$68*Annahmen!$D$69*Annahmen!$D$70*Annahmen!$D$71,0)</f>
        <v>0</v>
      </c>
      <c r="O16" s="64" t="n">
        <f aca="false">IF(AND(O5&gt;=Annahmen!$D$66,O7&gt;=Annahmen!$D$67),O8*Annahmen!$D$68*Annahmen!$D$69*Annahmen!$D$70*Annahmen!$D$71,0)</f>
        <v>0</v>
      </c>
      <c r="P16" s="64" t="n">
        <f aca="false">IF(AND(P5&gt;=Annahmen!$D$66,P7&gt;=Annahmen!$D$67),P8*Annahmen!$D$68*Annahmen!$D$69*Annahmen!$D$70*Annahmen!$D$71,0)</f>
        <v>691.2</v>
      </c>
      <c r="Q16" s="64" t="n">
        <f aca="false">IF(AND(Q5&gt;=Annahmen!$D$66,Q7&gt;=Annahmen!$D$67),Q8*Annahmen!$D$68*Annahmen!$D$69*Annahmen!$D$70*Annahmen!$D$71,0)</f>
        <v>691.2</v>
      </c>
      <c r="R16" s="64" t="n">
        <f aca="false">IF(AND(R5&gt;=Annahmen!$D$66,R7&gt;=Annahmen!$D$67),R8*Annahmen!$D$68*Annahmen!$D$69*Annahmen!$D$70*Annahmen!$D$71,0)</f>
        <v>691.2</v>
      </c>
      <c r="S16" s="64" t="n">
        <f aca="false">IF(AND(S5&gt;=Annahmen!$D$66,S7&gt;=Annahmen!$D$67),S8*Annahmen!$D$68*Annahmen!$D$69*Annahmen!$D$70*Annahmen!$D$71,0)</f>
        <v>691.2</v>
      </c>
      <c r="T16" s="64" t="n">
        <f aca="false">IF(AND(T5&gt;=Annahmen!$D$66,T7&gt;=Annahmen!$D$67),T8*Annahmen!$D$68*Annahmen!$D$69*Annahmen!$D$70*Annahmen!$D$71,0)</f>
        <v>691.2</v>
      </c>
      <c r="U16" s="64" t="n">
        <f aca="false">IF(AND(U5&gt;=Annahmen!$D$66,U7&gt;=Annahmen!$D$67),U8*Annahmen!$D$68*Annahmen!$D$69*Annahmen!$D$70*Annahmen!$D$71,0)</f>
        <v>691.2</v>
      </c>
      <c r="V16" s="64" t="n">
        <f aca="false">IF(AND(V5&gt;=Annahmen!$D$66,V7&gt;=Annahmen!$D$67),V8*Annahmen!$D$68*Annahmen!$D$69*Annahmen!$D$70*Annahmen!$D$71,0)</f>
        <v>691.2</v>
      </c>
      <c r="W16" s="64" t="n">
        <f aca="false">IF(AND(W5&gt;=Annahmen!$D$66,W7&gt;=Annahmen!$D$67),W8*Annahmen!$D$68*Annahmen!$D$69*Annahmen!$D$70*Annahmen!$D$71,0)</f>
        <v>691.2</v>
      </c>
      <c r="X16" s="64" t="n">
        <f aca="false">IF(AND(X5&gt;=Annahmen!$D$66,X7&gt;=Annahmen!$D$67),X8*Annahmen!$D$68*Annahmen!$D$69*Annahmen!$D$70*Annahmen!$D$71,0)</f>
        <v>691.2</v>
      </c>
      <c r="Y16" s="64" t="n">
        <f aca="false">IF(AND(Y5&gt;=Annahmen!$D$66,Y7&gt;=Annahmen!$D$67),Y8*Annahmen!$D$68*Annahmen!$D$69*Annahmen!$D$70*Annahmen!$D$71,0)</f>
        <v>691.2</v>
      </c>
      <c r="Z16" s="64" t="n">
        <f aca="false">IF(AND(Z5&gt;=Annahmen!$D$66,Z7&gt;=Annahmen!$D$67),Z8*Annahmen!$D$68*Annahmen!$D$69*Annahmen!$D$70*Annahmen!$D$71,0)</f>
        <v>1382.4</v>
      </c>
      <c r="AA16" s="64" t="n">
        <f aca="false">IF(AND(AA5&gt;=Annahmen!$D$66,AA7&gt;=Annahmen!$D$67),AA8*Annahmen!$D$68*Annahmen!$D$69*Annahmen!$D$70*Annahmen!$D$71,0)</f>
        <v>1382.4</v>
      </c>
      <c r="AB16" s="64" t="n">
        <f aca="false">IF(AND(AB5&gt;=Annahmen!$D$66,AB7&gt;=Annahmen!$D$67),AB8*Annahmen!$D$68*Annahmen!$D$69*Annahmen!$D$70*Annahmen!$D$71,0)</f>
        <v>1382.4</v>
      </c>
      <c r="AC16" s="64" t="n">
        <f aca="false">IF(AND(AC5&gt;=Annahmen!$D$66,AC7&gt;=Annahmen!$D$67),AC8*Annahmen!$D$68*Annahmen!$D$69*Annahmen!$D$70*Annahmen!$D$71,0)</f>
        <v>1382.4</v>
      </c>
      <c r="AD16" s="64" t="n">
        <f aca="false">IF(AND(AD5&gt;=Annahmen!$D$66,AD7&gt;=Annahmen!$D$67),AD8*Annahmen!$D$68*Annahmen!$D$69*Annahmen!$D$70*Annahmen!$D$71,0)</f>
        <v>1382.4</v>
      </c>
      <c r="AE16" s="64" t="n">
        <f aca="false">IF(AND(AE5&gt;=Annahmen!$D$66,AE7&gt;=Annahmen!$D$67),AE8*Annahmen!$D$68*Annahmen!$D$69*Annahmen!$D$70*Annahmen!$D$71,0)</f>
        <v>1382.4</v>
      </c>
      <c r="AF16" s="64" t="n">
        <f aca="false">IF(AND(AF5&gt;=Annahmen!$D$66,AF7&gt;=Annahmen!$D$67),AF8*Annahmen!$D$68*Annahmen!$D$69*Annahmen!$D$70*Annahmen!$D$71,0)</f>
        <v>1382.4</v>
      </c>
      <c r="AG16" s="64" t="n">
        <f aca="false">IF(AND(AG5&gt;=Annahmen!$D$66,AG7&gt;=Annahmen!$D$67),AG8*Annahmen!$D$68*Annahmen!$D$69*Annahmen!$D$70*Annahmen!$D$71,0)</f>
        <v>1382.4</v>
      </c>
      <c r="AH16" s="64" t="n">
        <f aca="false">IF(AND(AH5&gt;=Annahmen!$D$66,AH7&gt;=Annahmen!$D$67),AH8*Annahmen!$D$68*Annahmen!$D$69*Annahmen!$D$70*Annahmen!$D$71,0)</f>
        <v>1382.4</v>
      </c>
      <c r="AI16" s="64" t="n">
        <f aca="false">IF(AND(AI5&gt;=Annahmen!$D$66,AI7&gt;=Annahmen!$D$67),AI8*Annahmen!$D$68*Annahmen!$D$69*Annahmen!$D$70*Annahmen!$D$71,0)</f>
        <v>1382.4</v>
      </c>
      <c r="AJ16" s="64" t="n">
        <f aca="false">IF(AND(AJ5&gt;=Annahmen!$D$66,AJ7&gt;=Annahmen!$D$67),AJ8*Annahmen!$D$68*Annahmen!$D$69*Annahmen!$D$70*Annahmen!$D$71,0)</f>
        <v>1382.4</v>
      </c>
      <c r="AK16" s="64" t="n">
        <f aca="false">IF(AND(AK5&gt;=Annahmen!$D$66,AK7&gt;=Annahmen!$D$67),AK8*Annahmen!$D$68*Annahmen!$D$69*Annahmen!$D$70*Annahmen!$D$71,0)</f>
        <v>1382.4</v>
      </c>
    </row>
    <row r="17" customFormat="false" ht="16.5" hidden="false" customHeight="true" outlineLevel="0" collapsed="false">
      <c r="A17" s="14" t="s">
        <v>318</v>
      </c>
      <c r="B17" s="64" t="n">
        <f aca="false">IF(B5&gt;=Annahmen!$D$72,B7*Annahmen!$D$73,0)</f>
        <v>0</v>
      </c>
      <c r="C17" s="64" t="n">
        <f aca="false">IF(C5&gt;=Annahmen!$D$72,C7*Annahmen!$D$73,0)</f>
        <v>0</v>
      </c>
      <c r="D17" s="64" t="n">
        <f aca="false">IF(D5&gt;=Annahmen!$D$72,D7*Annahmen!$D$73,0)</f>
        <v>0</v>
      </c>
      <c r="E17" s="64" t="n">
        <f aca="false">IF(E5&gt;=Annahmen!$D$72,E7*Annahmen!$D$73,0)</f>
        <v>0</v>
      </c>
      <c r="F17" s="64" t="n">
        <f aca="false">IF(F5&gt;=Annahmen!$D$72,F7*Annahmen!$D$73,0)</f>
        <v>0</v>
      </c>
      <c r="G17" s="64" t="n">
        <f aca="false">IF(G5&gt;=Annahmen!$D$72,G7*Annahmen!$D$73,0)</f>
        <v>0</v>
      </c>
      <c r="H17" s="64" t="n">
        <f aca="false">IF(H5&gt;=Annahmen!$D$72,H7*Annahmen!$D$73,0)</f>
        <v>0</v>
      </c>
      <c r="I17" s="64" t="n">
        <f aca="false">IF(I5&gt;=Annahmen!$D$72,I7*Annahmen!$D$73,0)</f>
        <v>0</v>
      </c>
      <c r="J17" s="64" t="n">
        <f aca="false">IF(J5&gt;=Annahmen!$D$72,J7*Annahmen!$D$73,0)</f>
        <v>0</v>
      </c>
      <c r="K17" s="64" t="n">
        <f aca="false">IF(K5&gt;=Annahmen!$D$72,K7*Annahmen!$D$73,0)</f>
        <v>0</v>
      </c>
      <c r="L17" s="64" t="n">
        <f aca="false">IF(L5&gt;=Annahmen!$D$72,L7*Annahmen!$D$73,0)</f>
        <v>0</v>
      </c>
      <c r="M17" s="64" t="n">
        <f aca="false">IF(M5&gt;=Annahmen!$D$72,M7*Annahmen!$D$73,0)</f>
        <v>0</v>
      </c>
      <c r="N17" s="64" t="n">
        <f aca="false">IF(N5&gt;=Annahmen!$D$72,N7*Annahmen!$D$73,0)</f>
        <v>0</v>
      </c>
      <c r="O17" s="64" t="n">
        <f aca="false">IF(O5&gt;=Annahmen!$D$72,O7*Annahmen!$D$73,0)</f>
        <v>282.173624416428</v>
      </c>
      <c r="P17" s="64" t="n">
        <f aca="false">IF(P5&gt;=Annahmen!$D$72,P7*Annahmen!$D$73,0)</f>
        <v>330.296641222723</v>
      </c>
      <c r="Q17" s="64" t="n">
        <f aca="false">IF(Q5&gt;=Annahmen!$D$72,Q7*Annahmen!$D$73,0)</f>
        <v>382.852756547675</v>
      </c>
      <c r="R17" s="64" t="n">
        <f aca="false">IF(R5&gt;=Annahmen!$D$72,R7*Annahmen!$D$73,0)</f>
        <v>438.972289235137</v>
      </c>
      <c r="S17" s="64" t="n">
        <f aca="false">IF(S5&gt;=Annahmen!$D$72,S7*Annahmen!$D$73,0)</f>
        <v>498.105332202787</v>
      </c>
      <c r="T17" s="64" t="n">
        <f aca="false">IF(T5&gt;=Annahmen!$D$72,T7*Annahmen!$D$73,0)</f>
        <v>559.868023153585</v>
      </c>
      <c r="U17" s="64" t="n">
        <f aca="false">IF(U5&gt;=Annahmen!$D$72,U7*Annahmen!$D$73,0)</f>
        <v>623.974990001043</v>
      </c>
      <c r="V17" s="64" t="n">
        <f aca="false">IF(V5&gt;=Annahmen!$D$72,V7*Annahmen!$D$73,0)</f>
        <v>690.204563129339</v>
      </c>
      <c r="W17" s="64" t="n">
        <f aca="false">IF(W5&gt;=Annahmen!$D$72,W7*Annahmen!$D$73,0)</f>
        <v>758.378880613845</v>
      </c>
      <c r="X17" s="64" t="n">
        <f aca="false">IF(X5&gt;=Annahmen!$D$72,X7*Annahmen!$D$73,0)</f>
        <v>828.351621560882</v>
      </c>
      <c r="Y17" s="64" t="n">
        <f aca="false">IF(Y5&gt;=Annahmen!$D$72,Y7*Annahmen!$D$73,0)</f>
        <v>900</v>
      </c>
      <c r="Z17" s="64" t="n">
        <f aca="false">IF(Z5&gt;=Annahmen!$D$72,Z7*Annahmen!$D$73,0)</f>
        <v>958.961075724313</v>
      </c>
      <c r="AA17" s="64" t="n">
        <f aca="false">IF(AA5&gt;=Annahmen!$D$72,AA7*Annahmen!$D$73,0)</f>
        <v>1041.20926516258</v>
      </c>
      <c r="AB17" s="64" t="n">
        <f aca="false">IF(AB5&gt;=Annahmen!$D$72,AB7*Annahmen!$D$73,0)</f>
        <v>1135.36299369663</v>
      </c>
      <c r="AC17" s="64" t="n">
        <f aca="false">IF(AC5&gt;=Annahmen!$D$72,AC7*Annahmen!$D$73,0)</f>
        <v>1238.19017585415</v>
      </c>
      <c r="AD17" s="64" t="n">
        <f aca="false">IF(AD5&gt;=Annahmen!$D$72,AD7*Annahmen!$D$73,0)</f>
        <v>1347.98926154701</v>
      </c>
      <c r="AE17" s="64" t="n">
        <f aca="false">IF(AE5&gt;=Annahmen!$D$72,AE7*Annahmen!$D$73,0)</f>
        <v>1463.68434561415</v>
      </c>
      <c r="AF17" s="64" t="n">
        <f aca="false">IF(AF5&gt;=Annahmen!$D$72,AF7*Annahmen!$D$73,0)</f>
        <v>1584.52439312658</v>
      </c>
      <c r="AG17" s="64" t="n">
        <f aca="false">IF(AG5&gt;=Annahmen!$D$72,AG7*Annahmen!$D$73,0)</f>
        <v>1709.95106739334</v>
      </c>
      <c r="AH17" s="64" t="n">
        <f aca="false">IF(AH5&gt;=Annahmen!$D$72,AH7*Annahmen!$D$73,0)</f>
        <v>1839.53066699219</v>
      </c>
      <c r="AI17" s="64" t="n">
        <f aca="false">IF(AI5&gt;=Annahmen!$D$72,AI7*Annahmen!$D$73,0)</f>
        <v>1972.915201201</v>
      </c>
      <c r="AJ17" s="64" t="n">
        <f aca="false">IF(AJ5&gt;=Annahmen!$D$72,AJ7*Annahmen!$D$73,0)</f>
        <v>2109.81839001042</v>
      </c>
      <c r="AK17" s="64" t="n">
        <f aca="false">IF(AK5&gt;=Annahmen!$D$72,AK7*Annahmen!$D$73,0)</f>
        <v>2250</v>
      </c>
    </row>
    <row r="18" customFormat="false" ht="16.5" hidden="false" customHeight="true" outlineLevel="0" collapsed="false">
      <c r="A18" s="14" t="s">
        <v>319</v>
      </c>
      <c r="B18" s="64" t="n">
        <f aca="false">IF(B5&gt;=Annahmen!$D$74,B8*Annahmen!$D$75,0)</f>
        <v>0</v>
      </c>
      <c r="C18" s="64" t="n">
        <f aca="false">IF(C5&gt;=Annahmen!$D$74,C8*Annahmen!$D$75,0)</f>
        <v>0</v>
      </c>
      <c r="D18" s="64" t="n">
        <f aca="false">IF(D5&gt;=Annahmen!$D$74,D8*Annahmen!$D$75,0)</f>
        <v>0</v>
      </c>
      <c r="E18" s="64" t="n">
        <f aca="false">IF(E5&gt;=Annahmen!$D$74,E8*Annahmen!$D$75,0)</f>
        <v>0</v>
      </c>
      <c r="F18" s="64" t="n">
        <f aca="false">IF(F5&gt;=Annahmen!$D$74,F8*Annahmen!$D$75,0)</f>
        <v>0</v>
      </c>
      <c r="G18" s="64" t="n">
        <f aca="false">IF(G5&gt;=Annahmen!$D$74,G8*Annahmen!$D$75,0)</f>
        <v>0</v>
      </c>
      <c r="H18" s="64" t="n">
        <f aca="false">IF(H5&gt;=Annahmen!$D$74,H8*Annahmen!$D$75,0)</f>
        <v>0</v>
      </c>
      <c r="I18" s="64" t="n">
        <f aca="false">IF(I5&gt;=Annahmen!$D$74,I8*Annahmen!$D$75,0)</f>
        <v>0</v>
      </c>
      <c r="J18" s="64" t="n">
        <f aca="false">IF(J5&gt;=Annahmen!$D$74,J8*Annahmen!$D$75,0)</f>
        <v>0</v>
      </c>
      <c r="K18" s="64" t="n">
        <f aca="false">IF(K5&gt;=Annahmen!$D$74,K8*Annahmen!$D$75,0)</f>
        <v>0</v>
      </c>
      <c r="L18" s="64" t="n">
        <f aca="false">IF(L5&gt;=Annahmen!$D$74,L8*Annahmen!$D$75,0)</f>
        <v>0</v>
      </c>
      <c r="M18" s="64" t="n">
        <f aca="false">IF(M5&gt;=Annahmen!$D$74,M8*Annahmen!$D$75,0)</f>
        <v>0</v>
      </c>
      <c r="N18" s="64" t="n">
        <f aca="false">IF(N5&gt;=Annahmen!$D$74,N8*Annahmen!$D$75,0)</f>
        <v>0</v>
      </c>
      <c r="O18" s="64" t="n">
        <f aca="false">IF(O5&gt;=Annahmen!$D$74,O8*Annahmen!$D$75,0)</f>
        <v>0</v>
      </c>
      <c r="P18" s="64" t="n">
        <f aca="false">IF(P5&gt;=Annahmen!$D$74,P8*Annahmen!$D$75,0)</f>
        <v>0</v>
      </c>
      <c r="Q18" s="64" t="n">
        <f aca="false">IF(Q5&gt;=Annahmen!$D$74,Q8*Annahmen!$D$75,0)</f>
        <v>0</v>
      </c>
      <c r="R18" s="64" t="n">
        <f aca="false">IF(R5&gt;=Annahmen!$D$74,R8*Annahmen!$D$75,0)</f>
        <v>0</v>
      </c>
      <c r="S18" s="64" t="n">
        <f aca="false">IF(S5&gt;=Annahmen!$D$74,S8*Annahmen!$D$75,0)</f>
        <v>0</v>
      </c>
      <c r="T18" s="64" t="n">
        <f aca="false">IF(T5&gt;=Annahmen!$D$74,T8*Annahmen!$D$75,0)</f>
        <v>0</v>
      </c>
      <c r="U18" s="64" t="n">
        <f aca="false">IF(U5&gt;=Annahmen!$D$74,U8*Annahmen!$D$75,0)</f>
        <v>801</v>
      </c>
      <c r="V18" s="64" t="n">
        <f aca="false">IF(V5&gt;=Annahmen!$D$74,V8*Annahmen!$D$75,0)</f>
        <v>801</v>
      </c>
      <c r="W18" s="64" t="n">
        <f aca="false">IF(W5&gt;=Annahmen!$D$74,W8*Annahmen!$D$75,0)</f>
        <v>801</v>
      </c>
      <c r="X18" s="64" t="n">
        <f aca="false">IF(X5&gt;=Annahmen!$D$74,X8*Annahmen!$D$75,0)</f>
        <v>801</v>
      </c>
      <c r="Y18" s="64" t="n">
        <f aca="false">IF(Y5&gt;=Annahmen!$D$74,Y8*Annahmen!$D$75,0)</f>
        <v>801</v>
      </c>
      <c r="Z18" s="64" t="n">
        <f aca="false">IF(Z5&gt;=Annahmen!$D$74,Z8*Annahmen!$D$75,0)</f>
        <v>1602</v>
      </c>
      <c r="AA18" s="64" t="n">
        <f aca="false">IF(AA5&gt;=Annahmen!$D$74,AA8*Annahmen!$D$75,0)</f>
        <v>1602</v>
      </c>
      <c r="AB18" s="64" t="n">
        <f aca="false">IF(AB5&gt;=Annahmen!$D$74,AB8*Annahmen!$D$75,0)</f>
        <v>1602</v>
      </c>
      <c r="AC18" s="64" t="n">
        <f aca="false">IF(AC5&gt;=Annahmen!$D$74,AC8*Annahmen!$D$75,0)</f>
        <v>1602</v>
      </c>
      <c r="AD18" s="64" t="n">
        <f aca="false">IF(AD5&gt;=Annahmen!$D$74,AD8*Annahmen!$D$75,0)</f>
        <v>1602</v>
      </c>
      <c r="AE18" s="64" t="n">
        <f aca="false">IF(AE5&gt;=Annahmen!$D$74,AE8*Annahmen!$D$75,0)</f>
        <v>1602</v>
      </c>
      <c r="AF18" s="64" t="n">
        <f aca="false">IF(AF5&gt;=Annahmen!$D$74,AF8*Annahmen!$D$75,0)</f>
        <v>1602</v>
      </c>
      <c r="AG18" s="64" t="n">
        <f aca="false">IF(AG5&gt;=Annahmen!$D$74,AG8*Annahmen!$D$75,0)</f>
        <v>1602</v>
      </c>
      <c r="AH18" s="64" t="n">
        <f aca="false">IF(AH5&gt;=Annahmen!$D$74,AH8*Annahmen!$D$75,0)</f>
        <v>1602</v>
      </c>
      <c r="AI18" s="64" t="n">
        <f aca="false">IF(AI5&gt;=Annahmen!$D$74,AI8*Annahmen!$D$75,0)</f>
        <v>1602</v>
      </c>
      <c r="AJ18" s="64" t="n">
        <f aca="false">IF(AJ5&gt;=Annahmen!$D$74,AJ8*Annahmen!$D$75,0)</f>
        <v>1602</v>
      </c>
      <c r="AK18" s="64" t="n">
        <f aca="false">IF(AK5&gt;=Annahmen!$D$74,AK8*Annahmen!$D$75,0)</f>
        <v>1602</v>
      </c>
    </row>
    <row r="19" customFormat="false" ht="16.5" hidden="false" customHeight="true" outlineLevel="0" collapsed="false">
      <c r="A19" s="27" t="s">
        <v>320</v>
      </c>
      <c r="B19" s="65" t="n">
        <f aca="false">SUM(B14:B18)</f>
        <v>0</v>
      </c>
      <c r="C19" s="65" t="n">
        <f aca="false">SUM(C14:C18)</f>
        <v>0</v>
      </c>
      <c r="D19" s="65" t="n">
        <f aca="false">SUM(D14:D18)</f>
        <v>0</v>
      </c>
      <c r="E19" s="65" t="n">
        <f aca="false">SUM(E14:E18)</f>
        <v>0</v>
      </c>
      <c r="F19" s="65" t="n">
        <f aca="false">SUM(F14:F18)</f>
        <v>0</v>
      </c>
      <c r="G19" s="65" t="n">
        <f aca="false">SUM(G14:G18)</f>
        <v>0</v>
      </c>
      <c r="H19" s="65" t="n">
        <f aca="false">SUM(H14:H18)</f>
        <v>0</v>
      </c>
      <c r="I19" s="65" t="n">
        <f aca="false">SUM(I14:I18)</f>
        <v>0</v>
      </c>
      <c r="J19" s="65" t="n">
        <f aca="false">SUM(J14:J18)</f>
        <v>0</v>
      </c>
      <c r="K19" s="65" t="n">
        <f aca="false">SUM(K14:K18)</f>
        <v>0</v>
      </c>
      <c r="L19" s="65" t="n">
        <f aca="false">SUM(L14:L18)</f>
        <v>2119.58454262541</v>
      </c>
      <c r="M19" s="65" t="n">
        <f aca="false">SUM(M14:M18)</f>
        <v>2505.31518989519</v>
      </c>
      <c r="N19" s="65" t="n">
        <f aca="false">SUM(N14:N18)</f>
        <v>3410.73267439032</v>
      </c>
      <c r="O19" s="65" t="n">
        <f aca="false">SUM(O14:O18)</f>
        <v>4344.14615474481</v>
      </c>
      <c r="P19" s="65" t="n">
        <f aca="false">SUM(P14:P18)</f>
        <v>5854.56159636282</v>
      </c>
      <c r="Q19" s="65" t="n">
        <f aca="false">SUM(Q14:Q18)</f>
        <v>6783.7336148737</v>
      </c>
      <c r="R19" s="65" t="n">
        <f aca="false">SUM(R14:R18)</f>
        <v>7815.75077373015</v>
      </c>
      <c r="S19" s="65" t="n">
        <f aca="false">SUM(S14:S18)</f>
        <v>8946.91587882852</v>
      </c>
      <c r="T19" s="65" t="n">
        <f aca="false">SUM(T14:T18)</f>
        <v>10175.1996655629</v>
      </c>
      <c r="U19" s="65" t="n">
        <f aca="false">SUM(U14:U18)</f>
        <v>12300.5011397569</v>
      </c>
      <c r="V19" s="65" t="n">
        <f aca="false">SUM(V14:V18)</f>
        <v>13720.2806004217</v>
      </c>
      <c r="W19" s="65" t="n">
        <f aca="false">SUM(W14:W18)</f>
        <v>15235.3576148375</v>
      </c>
      <c r="X19" s="65" t="n">
        <f aca="false">SUM(X14:X18)</f>
        <v>16845.7912503057</v>
      </c>
      <c r="Y19" s="65" t="n">
        <f aca="false">SUM(Y14:Y18)</f>
        <v>18551.8050167615</v>
      </c>
      <c r="Z19" s="65" t="n">
        <f aca="false">SUM(Z14:Z18)</f>
        <v>22010.978330427</v>
      </c>
      <c r="AA19" s="65" t="n">
        <f aca="false">SUM(AA14:AA18)</f>
        <v>24049.0721131278</v>
      </c>
      <c r="AB19" s="65" t="n">
        <f aca="false">SUM(AB14:AB18)</f>
        <v>26399.542648612</v>
      </c>
      <c r="AC19" s="65" t="n">
        <f aca="false">SUM(AC14:AC18)</f>
        <v>29013.2113906665</v>
      </c>
      <c r="AD19" s="65" t="n">
        <f aca="false">SUM(AD14:AD18)</f>
        <v>31866.7351602172</v>
      </c>
      <c r="AE19" s="65" t="n">
        <f aca="false">SUM(AE14:AE18)</f>
        <v>34946.9179611397</v>
      </c>
      <c r="AF19" s="65" t="n">
        <f aca="false">SUM(AF14:AF18)</f>
        <v>38245.6274745766</v>
      </c>
      <c r="AG19" s="65" t="n">
        <f aca="false">SUM(AG14:AG18)</f>
        <v>41757.6154408944</v>
      </c>
      <c r="AH19" s="65" t="n">
        <f aca="false">SUM(AH14:AH18)</f>
        <v>44629.9101948179</v>
      </c>
      <c r="AI19" s="65" t="n">
        <f aca="false">SUM(AI14:AI18)</f>
        <v>47586.5461085619</v>
      </c>
      <c r="AJ19" s="65" t="n">
        <f aca="false">SUM(AJ14:AJ18)</f>
        <v>50621.1774257604</v>
      </c>
      <c r="AK19" s="65" t="n">
        <f aca="false">SUM(AK14:AK18)</f>
        <v>53728.4790705882</v>
      </c>
    </row>
    <row r="21" customFormat="false" ht="15" hidden="false" customHeight="true" outlineLevel="0" collapsed="false">
      <c r="A21" s="62" t="s">
        <v>321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c r="AK21" s="63"/>
    </row>
    <row r="22" customFormat="false" ht="16.5" hidden="false" customHeight="true" outlineLevel="0" collapsed="false">
      <c r="A22" s="14" t="s">
        <v>322</v>
      </c>
      <c r="B22" s="64" t="n">
        <f aca="false">INDEX(Annahmen!$B$94:$F$94,B$12)+(B$7-INDEX(Annahmen!$B$80:$F$80,B$12))*(INDEX(Annahmen!$B$94:$F$94,B$12+1)-INDEX(Annahmen!$B$94:$F$94,B$12))/(INDEX(Annahmen!$B$80:$F$80,B$12+1)-INDEX(Annahmen!$B$80:$F$80,B$12))</f>
        <v>1000</v>
      </c>
      <c r="C22" s="64" t="n">
        <f aca="false">INDEX(Annahmen!$B$94:$F$94,C$12)+(C$7-INDEX(Annahmen!$B$80:$F$80,C$12))*(INDEX(Annahmen!$B$94:$F$94,C$12+1)-INDEX(Annahmen!$B$94:$F$94,C$12))/(INDEX(Annahmen!$B$80:$F$80,C$12+1)-INDEX(Annahmen!$B$80:$F$80,C$12))</f>
        <v>1033.79193708624</v>
      </c>
      <c r="D22" s="64" t="n">
        <f aca="false">INDEX(Annahmen!$B$94:$F$94,D$12)+(D$7-INDEX(Annahmen!$B$80:$F$80,D$12))*(INDEX(Annahmen!$B$94:$F$94,D$12+1)-INDEX(Annahmen!$B$94:$F$94,D$12))/(INDEX(Annahmen!$B$80:$F$80,D$12+1)-INDEX(Annahmen!$B$80:$F$80,D$12))</f>
        <v>1085.54473437987</v>
      </c>
      <c r="E22" s="64" t="n">
        <f aca="false">INDEX(Annahmen!$B$94:$F$94,E$12)+(E$7-INDEX(Annahmen!$B$80:$F$80,E$12))*(INDEX(Annahmen!$B$94:$F$94,E$12+1)-INDEX(Annahmen!$B$94:$F$94,E$12))/(INDEX(Annahmen!$B$80:$F$80,E$12+1)-INDEX(Annahmen!$B$80:$F$80,E$12))</f>
        <v>1147.2839996162</v>
      </c>
      <c r="F22" s="64" t="n">
        <f aca="false">INDEX(Annahmen!$B$94:$F$94,F$12)+(F$7-INDEX(Annahmen!$B$80:$F$80,F$12))*(INDEX(Annahmen!$B$94:$F$94,F$12+1)-INDEX(Annahmen!$B$94:$F$94,F$12))/(INDEX(Annahmen!$B$80:$F$80,F$12+1)-INDEX(Annahmen!$B$80:$F$80,F$12))</f>
        <v>1216.55762324152</v>
      </c>
      <c r="G22" s="64" t="n">
        <f aca="false">INDEX(Annahmen!$B$94:$F$94,G$12)+(G$7-INDEX(Annahmen!$B$80:$F$80,G$12))*(INDEX(Annahmen!$B$94:$F$94,G$12+1)-INDEX(Annahmen!$B$94:$F$94,G$12))/(INDEX(Annahmen!$B$80:$F$80,G$12+1)-INDEX(Annahmen!$B$80:$F$80,G$12))</f>
        <v>1292.03364812938</v>
      </c>
      <c r="H22" s="64" t="n">
        <f aca="false">INDEX(Annahmen!$B$94:$F$94,H$12)+(H$7-INDEX(Annahmen!$B$80:$F$80,H$12))*(INDEX(Annahmen!$B$94:$F$94,H$12+1)-INDEX(Annahmen!$B$94:$F$94,H$12))/(INDEX(Annahmen!$B$80:$F$80,H$12+1)-INDEX(Annahmen!$B$80:$F$80,H$12))</f>
        <v>1355.50581897222</v>
      </c>
      <c r="I22" s="64" t="n">
        <f aca="false">INDEX(Annahmen!$B$94:$F$94,I$12)+(I$7-INDEX(Annahmen!$B$80:$F$80,I$12))*(INDEX(Annahmen!$B$94:$F$94,I$12+1)-INDEX(Annahmen!$B$94:$F$94,I$12))/(INDEX(Annahmen!$B$80:$F$80,I$12+1)-INDEX(Annahmen!$B$80:$F$80,I$12))</f>
        <v>1420.68559575524</v>
      </c>
      <c r="J22" s="64" t="n">
        <f aca="false">INDEX(Annahmen!$B$94:$F$94,J$12)+(J$7-INDEX(Annahmen!$B$80:$F$80,J$12))*(INDEX(Annahmen!$B$94:$F$94,J$12+1)-INDEX(Annahmen!$B$94:$F$94,J$12))/(INDEX(Annahmen!$B$80:$F$80,J$12+1)-INDEX(Annahmen!$B$80:$F$80,J$12))</f>
        <v>1489.11884128379</v>
      </c>
      <c r="K22" s="64" t="n">
        <f aca="false">INDEX(Annahmen!$B$94:$F$94,K$12)+(K$7-INDEX(Annahmen!$B$80:$F$80,K$12))*(INDEX(Annahmen!$B$94:$F$94,K$12+1)-INDEX(Annahmen!$B$94:$F$94,K$12))/(INDEX(Annahmen!$B$80:$F$80,K$12+1)-INDEX(Annahmen!$B$80:$F$80,K$12))</f>
        <v>1560.52978287654</v>
      </c>
      <c r="L22" s="64" t="n">
        <f aca="false">INDEX(Annahmen!$B$94:$F$94,L$12)+(L$7-INDEX(Annahmen!$B$80:$F$80,L$12))*(INDEX(Annahmen!$B$94:$F$94,L$12+1)-INDEX(Annahmen!$B$94:$F$94,L$12))/(INDEX(Annahmen!$B$80:$F$80,L$12+1)-INDEX(Annahmen!$B$80:$F$80,L$12))</f>
        <v>1634.86708682898</v>
      </c>
      <c r="M22" s="64" t="n">
        <f aca="false">INDEX(Annahmen!$B$94:$F$94,M$12)+(M$7-INDEX(Annahmen!$B$80:$F$80,M$12))*(INDEX(Annahmen!$B$94:$F$94,M$12+1)-INDEX(Annahmen!$B$94:$F$94,M$12))/(INDEX(Annahmen!$B$80:$F$80,M$12+1)-INDEX(Annahmen!$B$80:$F$80,M$12))</f>
        <v>1712.5</v>
      </c>
      <c r="N22" s="64" t="n">
        <f aca="false">INDEX(Annahmen!$B$94:$F$94,N$12)+(N$7-INDEX(Annahmen!$B$80:$F$80,N$12))*(INDEX(Annahmen!$B$94:$F$94,N$12+1)-INDEX(Annahmen!$B$94:$F$94,N$12))/(INDEX(Annahmen!$B$80:$F$80,N$12+1)-INDEX(Annahmen!$B$80:$F$80,N$12))</f>
        <v>1805.41828785443</v>
      </c>
      <c r="O22" s="64" t="n">
        <f aca="false">INDEX(Annahmen!$B$94:$F$94,O$12)+(O$7-INDEX(Annahmen!$B$80:$F$80,O$12))*(INDEX(Annahmen!$B$94:$F$94,O$12+1)-INDEX(Annahmen!$B$94:$F$94,O$12))/(INDEX(Annahmen!$B$80:$F$80,O$12+1)-INDEX(Annahmen!$B$80:$F$80,O$12))</f>
        <v>1935.03534195065</v>
      </c>
      <c r="P22" s="64" t="n">
        <f aca="false">INDEX(Annahmen!$B$94:$F$94,P$12)+(P$7-INDEX(Annahmen!$B$80:$F$80,P$12))*(INDEX(Annahmen!$B$94:$F$94,P$12+1)-INDEX(Annahmen!$B$94:$F$94,P$12))/(INDEX(Annahmen!$B$80:$F$80,P$12+1)-INDEX(Annahmen!$B$80:$F$80,P$12))</f>
        <v>2071.46430195443</v>
      </c>
      <c r="Q22" s="64" t="n">
        <f aca="false">INDEX(Annahmen!$B$94:$F$94,Q$12)+(Q$7-INDEX(Annahmen!$B$80:$F$80,Q$12))*(INDEX(Annahmen!$B$94:$F$94,Q$12+1)-INDEX(Annahmen!$B$94:$F$94,Q$12))/(INDEX(Annahmen!$B$80:$F$80,Q$12+1)-INDEX(Annahmen!$B$80:$F$80,Q$12))</f>
        <v>2212.78185649486</v>
      </c>
      <c r="R22" s="64" t="n">
        <f aca="false">INDEX(Annahmen!$B$94:$F$94,R$12)+(R$7-INDEX(Annahmen!$B$80:$F$80,R$12))*(INDEX(Annahmen!$B$94:$F$94,R$12+1)-INDEX(Annahmen!$B$94:$F$94,R$12))/(INDEX(Annahmen!$B$80:$F$80,R$12+1)-INDEX(Annahmen!$B$80:$F$80,R$12))</f>
        <v>2363.68104438781</v>
      </c>
      <c r="S22" s="64" t="n">
        <f aca="false">INDEX(Annahmen!$B$94:$F$94,S$12)+(S$7-INDEX(Annahmen!$B$80:$F$80,S$12))*(INDEX(Annahmen!$B$94:$F$94,S$12+1)-INDEX(Annahmen!$B$94:$F$94,S$12))/(INDEX(Annahmen!$B$80:$F$80,S$12+1)-INDEX(Annahmen!$B$80:$F$80,S$12))</f>
        <v>2522.68322658972</v>
      </c>
      <c r="T22" s="64" t="n">
        <f aca="false">INDEX(Annahmen!$B$94:$F$94,T$12)+(T$7-INDEX(Annahmen!$B$80:$F$80,T$12))*(INDEX(Annahmen!$B$94:$F$94,T$12+1)-INDEX(Annahmen!$B$94:$F$94,T$12))/(INDEX(Annahmen!$B$80:$F$80,T$12+1)-INDEX(Annahmen!$B$80:$F$80,T$12))</f>
        <v>2688.7562400352</v>
      </c>
      <c r="U22" s="64" t="n">
        <f aca="false">INDEX(Annahmen!$B$94:$F$94,U$12)+(U$7-INDEX(Annahmen!$B$80:$F$80,U$12))*(INDEX(Annahmen!$B$94:$F$94,U$12+1)-INDEX(Annahmen!$B$94:$F$94,U$12))/(INDEX(Annahmen!$B$80:$F$80,U$12+1)-INDEX(Annahmen!$B$80:$F$80,U$12))</f>
        <v>2861.13275089169</v>
      </c>
      <c r="V22" s="64" t="n">
        <f aca="false">INDEX(Annahmen!$B$94:$F$94,V$12)+(V$7-INDEX(Annahmen!$B$80:$F$80,V$12))*(INDEX(Annahmen!$B$94:$F$94,V$12+1)-INDEX(Annahmen!$B$94:$F$94,V$12))/(INDEX(Annahmen!$B$80:$F$80,V$12+1)-INDEX(Annahmen!$B$80:$F$80,V$12))</f>
        <v>3039.21671419222</v>
      </c>
      <c r="W22" s="64" t="n">
        <f aca="false">INDEX(Annahmen!$B$94:$F$94,W$12)+(W$7-INDEX(Annahmen!$B$80:$F$80,W$12))*(INDEX(Annahmen!$B$94:$F$94,W$12+1)-INDEX(Annahmen!$B$94:$F$94,W$12))/(INDEX(Annahmen!$B$80:$F$80,W$12+1)-INDEX(Annahmen!$B$80:$F$80,W$12))</f>
        <v>3222.5298789839</v>
      </c>
      <c r="X22" s="64" t="n">
        <f aca="false">INDEX(Annahmen!$B$94:$F$94,X$12)+(X$7-INDEX(Annahmen!$B$80:$F$80,X$12))*(INDEX(Annahmen!$B$94:$F$94,X$12+1)-INDEX(Annahmen!$B$94:$F$94,X$12))/(INDEX(Annahmen!$B$80:$F$80,X$12+1)-INDEX(Annahmen!$B$80:$F$80,X$12))</f>
        <v>3410.67880464148</v>
      </c>
      <c r="Y22" s="64" t="n">
        <f aca="false">INDEX(Annahmen!$B$94:$F$94,Y$12)+(Y$7-INDEX(Annahmen!$B$80:$F$80,Y$12))*(INDEX(Annahmen!$B$94:$F$94,Y$12+1)-INDEX(Annahmen!$B$94:$F$94,Y$12))/(INDEX(Annahmen!$B$80:$F$80,Y$12+1)-INDEX(Annahmen!$B$80:$F$80,Y$12))</f>
        <v>3603.33333333333</v>
      </c>
      <c r="Z22" s="64" t="n">
        <f aca="false">INDEX(Annahmen!$B$94:$F$94,Z$12)+(Z$7-INDEX(Annahmen!$B$80:$F$80,Z$12))*(INDEX(Annahmen!$B$94:$F$94,Z$12+1)-INDEX(Annahmen!$B$94:$F$94,Z$12))/(INDEX(Annahmen!$B$80:$F$80,Z$12+1)-INDEX(Annahmen!$B$80:$F$80,Z$12))</f>
        <v>3761.87311472537</v>
      </c>
      <c r="AA22" s="64" t="n">
        <f aca="false">INDEX(Annahmen!$B$94:$F$94,AA$12)+(AA$7-INDEX(Annahmen!$B$80:$F$80,AA$12))*(INDEX(Annahmen!$B$94:$F$94,AA$12+1)-INDEX(Annahmen!$B$94:$F$94,AA$12))/(INDEX(Annahmen!$B$80:$F$80,AA$12+1)-INDEX(Annahmen!$B$80:$F$80,AA$12))</f>
        <v>3983.02935743715</v>
      </c>
      <c r="AB22" s="64" t="n">
        <f aca="false">INDEX(Annahmen!$B$94:$F$94,AB$12)+(AB$7-INDEX(Annahmen!$B$80:$F$80,AB$12))*(INDEX(Annahmen!$B$94:$F$94,AB$12+1)-INDEX(Annahmen!$B$94:$F$94,AB$12))/(INDEX(Annahmen!$B$80:$F$80,AB$12+1)-INDEX(Annahmen!$B$80:$F$80,AB$12))</f>
        <v>4236.19827193983</v>
      </c>
      <c r="AC22" s="64" t="n">
        <f aca="false">INDEX(Annahmen!$B$94:$F$94,AC$12)+(AC$7-INDEX(Annahmen!$B$80:$F$80,AC$12))*(INDEX(Annahmen!$B$94:$F$94,AC$12+1)-INDEX(Annahmen!$B$94:$F$94,AC$12))/(INDEX(Annahmen!$B$80:$F$80,AC$12+1)-INDEX(Annahmen!$B$80:$F$80,AC$12))</f>
        <v>4512.68913951893</v>
      </c>
      <c r="AD22" s="64" t="n">
        <f aca="false">INDEX(Annahmen!$B$94:$F$94,AD$12)+(AD$7-INDEX(Annahmen!$B$80:$F$80,AD$12))*(INDEX(Annahmen!$B$94:$F$94,AD$12+1)-INDEX(Annahmen!$B$94:$F$94,AD$12))/(INDEX(Annahmen!$B$80:$F$80,AD$12+1)-INDEX(Annahmen!$B$80:$F$80,AD$12))</f>
        <v>4807.92668104862</v>
      </c>
      <c r="AE22" s="64" t="n">
        <f aca="false">INDEX(Annahmen!$B$94:$F$94,AE$12)+(AE$7-INDEX(Annahmen!$B$80:$F$80,AE$12))*(INDEX(Annahmen!$B$94:$F$94,AE$12+1)-INDEX(Annahmen!$B$94:$F$94,AE$12))/(INDEX(Annahmen!$B$80:$F$80,AE$12+1)-INDEX(Annahmen!$B$80:$F$80,AE$12))</f>
        <v>5119.01790709582</v>
      </c>
      <c r="AF22" s="64" t="n">
        <f aca="false">INDEX(Annahmen!$B$94:$F$94,AF$12)+(AF$7-INDEX(Annahmen!$B$80:$F$80,AF$12))*(INDEX(Annahmen!$B$94:$F$94,AF$12+1)-INDEX(Annahmen!$B$94:$F$94,AF$12))/(INDEX(Annahmen!$B$80:$F$80,AF$12+1)-INDEX(Annahmen!$B$80:$F$80,AF$12))</f>
        <v>5443.9433681848</v>
      </c>
      <c r="AG22" s="64" t="n">
        <f aca="false">INDEX(Annahmen!$B$94:$F$94,AG$12)+(AG$7-INDEX(Annahmen!$B$80:$F$80,AG$12))*(INDEX(Annahmen!$B$94:$F$94,AG$12+1)-INDEX(Annahmen!$B$94:$F$94,AG$12))/(INDEX(Annahmen!$B$80:$F$80,AG$12+1)-INDEX(Annahmen!$B$80:$F$80,AG$12))</f>
        <v>5781.20175899099</v>
      </c>
      <c r="AH22" s="64" t="n">
        <f aca="false">INDEX(Annahmen!$B$94:$F$94,AH$12)+(AH$7-INDEX(Annahmen!$B$80:$F$80,AH$12))*(INDEX(Annahmen!$B$94:$F$94,AH$12+1)-INDEX(Annahmen!$B$94:$F$94,AH$12))/(INDEX(Annahmen!$B$80:$F$80,AH$12+1)-INDEX(Annahmen!$B$80:$F$80,AH$12))</f>
        <v>6129.62690457899</v>
      </c>
      <c r="AI22" s="64" t="n">
        <f aca="false">INDEX(Annahmen!$B$94:$F$94,AI$12)+(AI$7-INDEX(Annahmen!$B$80:$F$80,AI$12))*(INDEX(Annahmen!$B$94:$F$94,AI$12+1)-INDEX(Annahmen!$B$94:$F$94,AI$12))/(INDEX(Annahmen!$B$80:$F$80,AI$12+1)-INDEX(Annahmen!$B$80:$F$80,AI$12))</f>
        <v>6488.28309656269</v>
      </c>
      <c r="AJ22" s="64" t="n">
        <f aca="false">INDEX(Annahmen!$B$94:$F$94,AJ$12)+(AJ$7-INDEX(Annahmen!$B$80:$F$80,AJ$12))*(INDEX(Annahmen!$B$94:$F$94,AJ$12+1)-INDEX(Annahmen!$B$94:$F$94,AJ$12))/(INDEX(Annahmen!$B$80:$F$80,AJ$12+1)-INDEX(Annahmen!$B$80:$F$80,AJ$12))</f>
        <v>6856.4005598058</v>
      </c>
      <c r="AK22" s="64" t="n">
        <f aca="false">INDEX(Annahmen!$B$94:$F$94,AK$12)+(AK$7-INDEX(Annahmen!$B$80:$F$80,AK$12))*(INDEX(Annahmen!$B$94:$F$94,AK$12+1)-INDEX(Annahmen!$B$94:$F$94,AK$12))/(INDEX(Annahmen!$B$80:$F$80,AK$12+1)-INDEX(Annahmen!$B$80:$F$80,AK$12))</f>
        <v>7233.33333333333</v>
      </c>
    </row>
    <row r="23" customFormat="false" ht="16.5" hidden="false" customHeight="true" outlineLevel="0" collapsed="false">
      <c r="A23" s="14" t="s">
        <v>323</v>
      </c>
      <c r="B23" s="64" t="n">
        <f aca="false">INDEX(Annahmen!$B$95:$F$95,B$12)+(B$7-INDEX(Annahmen!$B$80:$F$80,B$12))*(INDEX(Annahmen!$B$95:$F$95,B$12+1)-INDEX(Annahmen!$B$95:$F$95,B$12))/(INDEX(Annahmen!$B$80:$F$80,B$12+1)-INDEX(Annahmen!$B$80:$F$80,B$12))</f>
        <v>270</v>
      </c>
      <c r="C23" s="64" t="n">
        <f aca="false">INDEX(Annahmen!$B$95:$F$95,C$12)+(C$7-INDEX(Annahmen!$B$80:$F$80,C$12))*(INDEX(Annahmen!$B$95:$F$95,C$12+1)-INDEX(Annahmen!$B$95:$F$95,C$12))/(INDEX(Annahmen!$B$80:$F$80,C$12+1)-INDEX(Annahmen!$B$80:$F$80,C$12))</f>
        <v>285.769570640245</v>
      </c>
      <c r="D23" s="64" t="n">
        <f aca="false">INDEX(Annahmen!$B$95:$F$95,D$12)+(D$7-INDEX(Annahmen!$B$80:$F$80,D$12))*(INDEX(Annahmen!$B$95:$F$95,D$12+1)-INDEX(Annahmen!$B$95:$F$95,D$12))/(INDEX(Annahmen!$B$80:$F$80,D$12+1)-INDEX(Annahmen!$B$80:$F$80,D$12))</f>
        <v>309.920876043941</v>
      </c>
      <c r="E23" s="64" t="n">
        <f aca="false">INDEX(Annahmen!$B$95:$F$95,E$12)+(E$7-INDEX(Annahmen!$B$80:$F$80,E$12))*(INDEX(Annahmen!$B$95:$F$95,E$12+1)-INDEX(Annahmen!$B$95:$F$95,E$12))/(INDEX(Annahmen!$B$80:$F$80,E$12+1)-INDEX(Annahmen!$B$80:$F$80,E$12))</f>
        <v>338.732533154227</v>
      </c>
      <c r="F23" s="64" t="n">
        <f aca="false">INDEX(Annahmen!$B$95:$F$95,F$12)+(F$7-INDEX(Annahmen!$B$80:$F$80,F$12))*(INDEX(Annahmen!$B$95:$F$95,F$12+1)-INDEX(Annahmen!$B$95:$F$95,F$12))/(INDEX(Annahmen!$B$80:$F$80,F$12+1)-INDEX(Annahmen!$B$80:$F$80,F$12))</f>
        <v>371.060224179377</v>
      </c>
      <c r="G23" s="64" t="n">
        <f aca="false">INDEX(Annahmen!$B$95:$F$95,G$12)+(G$7-INDEX(Annahmen!$B$80:$F$80,G$12))*(INDEX(Annahmen!$B$95:$F$95,G$12+1)-INDEX(Annahmen!$B$95:$F$95,G$12))/(INDEX(Annahmen!$B$80:$F$80,G$12+1)-INDEX(Annahmen!$B$80:$F$80,G$12))</f>
        <v>406.282369127045</v>
      </c>
      <c r="H23" s="64" t="n">
        <f aca="false">INDEX(Annahmen!$B$95:$F$95,H$12)+(H$7-INDEX(Annahmen!$B$80:$F$80,H$12))*(INDEX(Annahmen!$B$95:$F$95,H$12+1)-INDEX(Annahmen!$B$95:$F$95,H$12))/(INDEX(Annahmen!$B$80:$F$80,H$12+1)-INDEX(Annahmen!$B$80:$F$80,H$12))</f>
        <v>436.01835264323</v>
      </c>
      <c r="I23" s="64" t="n">
        <f aca="false">INDEX(Annahmen!$B$95:$F$95,I$12)+(I$7-INDEX(Annahmen!$B$80:$F$80,I$12))*(INDEX(Annahmen!$B$95:$F$95,I$12+1)-INDEX(Annahmen!$B$95:$F$95,I$12))/(INDEX(Annahmen!$B$80:$F$80,I$12+1)-INDEX(Annahmen!$B$80:$F$80,I$12))</f>
        <v>466.571373010269</v>
      </c>
      <c r="J23" s="64" t="n">
        <f aca="false">INDEX(Annahmen!$B$95:$F$95,J$12)+(J$7-INDEX(Annahmen!$B$80:$F$80,J$12))*(INDEX(Annahmen!$B$95:$F$95,J$12+1)-INDEX(Annahmen!$B$95:$F$95,J$12))/(INDEX(Annahmen!$B$80:$F$80,J$12+1)-INDEX(Annahmen!$B$80:$F$80,J$12))</f>
        <v>498.649456851776</v>
      </c>
      <c r="K23" s="64" t="n">
        <f aca="false">INDEX(Annahmen!$B$95:$F$95,K$12)+(K$7-INDEX(Annahmen!$B$80:$F$80,K$12))*(INDEX(Annahmen!$B$95:$F$95,K$12+1)-INDEX(Annahmen!$B$95:$F$95,K$12))/(INDEX(Annahmen!$B$80:$F$80,K$12+1)-INDEX(Annahmen!$B$80:$F$80,K$12))</f>
        <v>532.123335723379</v>
      </c>
      <c r="L23" s="64" t="n">
        <f aca="false">INDEX(Annahmen!$B$95:$F$95,L$12)+(L$7-INDEX(Annahmen!$B$80:$F$80,L$12))*(INDEX(Annahmen!$B$95:$F$95,L$12+1)-INDEX(Annahmen!$B$95:$F$95,L$12))/(INDEX(Annahmen!$B$80:$F$80,L$12+1)-INDEX(Annahmen!$B$80:$F$80,L$12))</f>
        <v>566.830823678182</v>
      </c>
      <c r="M23" s="64" t="n">
        <f aca="false">INDEX(Annahmen!$B$95:$F$95,M$12)+(M$7-INDEX(Annahmen!$B$80:$F$80,M$12))*(INDEX(Annahmen!$B$95:$F$95,M$12+1)-INDEX(Annahmen!$B$95:$F$95,M$12))/(INDEX(Annahmen!$B$80:$F$80,M$12+1)-INDEX(Annahmen!$B$80:$F$80,M$12))</f>
        <v>602.5</v>
      </c>
      <c r="N23" s="64" t="n">
        <f aca="false">INDEX(Annahmen!$B$95:$F$95,N$12)+(N$7-INDEX(Annahmen!$B$80:$F$80,N$12))*(INDEX(Annahmen!$B$95:$F$95,N$12+1)-INDEX(Annahmen!$B$95:$F$95,N$12))/(INDEX(Annahmen!$B$80:$F$80,N$12+1)-INDEX(Annahmen!$B$80:$F$80,N$12))</f>
        <v>645.192186311493</v>
      </c>
      <c r="O23" s="64" t="n">
        <f aca="false">INDEX(Annahmen!$B$95:$F$95,O$12)+(O$7-INDEX(Annahmen!$B$80:$F$80,O$12))*(INDEX(Annahmen!$B$95:$F$95,O$12+1)-INDEX(Annahmen!$B$95:$F$95,O$12))/(INDEX(Annahmen!$B$80:$F$80,O$12+1)-INDEX(Annahmen!$B$80:$F$80,O$12))</f>
        <v>704.745967923273</v>
      </c>
      <c r="P23" s="64" t="n">
        <f aca="false">INDEX(Annahmen!$B$95:$F$95,P$12)+(P$7-INDEX(Annahmen!$B$80:$F$80,P$12))*(INDEX(Annahmen!$B$95:$F$95,P$12+1)-INDEX(Annahmen!$B$95:$F$95,P$12))/(INDEX(Annahmen!$B$80:$F$80,P$12+1)-INDEX(Annahmen!$B$80:$F$80,P$12))</f>
        <v>771.742039017973</v>
      </c>
      <c r="Q23" s="64" t="n">
        <f aca="false">INDEX(Annahmen!$B$95:$F$95,Q$12)+(Q$7-INDEX(Annahmen!$B$80:$F$80,Q$12))*(INDEX(Annahmen!$B$95:$F$95,Q$12+1)-INDEX(Annahmen!$B$95:$F$95,Q$12))/(INDEX(Annahmen!$B$80:$F$80,Q$12+1)-INDEX(Annahmen!$B$80:$F$80,Q$12))</f>
        <v>844.152686799019</v>
      </c>
      <c r="R23" s="64" t="n">
        <f aca="false">INDEX(Annahmen!$B$95:$F$95,R$12)+(R$7-INDEX(Annahmen!$B$80:$F$80,R$12))*(INDEX(Annahmen!$B$95:$F$95,R$12+1)-INDEX(Annahmen!$B$95:$F$95,R$12))/(INDEX(Annahmen!$B$80:$F$80,R$12+1)-INDEX(Annahmen!$B$80:$F$80,R$12))</f>
        <v>921.472931835078</v>
      </c>
      <c r="S23" s="64" t="n">
        <f aca="false">INDEX(Annahmen!$B$95:$F$95,S$12)+(S$7-INDEX(Annahmen!$B$80:$F$80,S$12))*(INDEX(Annahmen!$B$95:$F$95,S$12+1)-INDEX(Annahmen!$B$95:$F$95,S$12))/(INDEX(Annahmen!$B$80:$F$80,S$12+1)-INDEX(Annahmen!$B$80:$F$80,S$12))</f>
        <v>1002.94512436829</v>
      </c>
      <c r="T23" s="64" t="n">
        <f aca="false">INDEX(Annahmen!$B$95:$F$95,T$12)+(T$7-INDEX(Annahmen!$B$80:$F$80,T$12))*(INDEX(Annahmen!$B$95:$F$95,T$12+1)-INDEX(Annahmen!$B$95:$F$95,T$12))/(INDEX(Annahmen!$B$80:$F$80,T$12+1)-INDEX(Annahmen!$B$80:$F$80,T$12))</f>
        <v>1088.04038745605</v>
      </c>
      <c r="U23" s="64" t="n">
        <f aca="false">INDEX(Annahmen!$B$95:$F$95,U$12)+(U$7-INDEX(Annahmen!$B$80:$F$80,U$12))*(INDEX(Annahmen!$B$95:$F$95,U$12+1)-INDEX(Annahmen!$B$95:$F$95,U$12))/(INDEX(Annahmen!$B$80:$F$80,U$12+1)-INDEX(Annahmen!$B$80:$F$80,U$12))</f>
        <v>1176.36554177921</v>
      </c>
      <c r="V23" s="64" t="n">
        <f aca="false">INDEX(Annahmen!$B$95:$F$95,V$12)+(V$7-INDEX(Annahmen!$B$80:$F$80,V$12))*(INDEX(Annahmen!$B$95:$F$95,V$12+1)-INDEX(Annahmen!$B$95:$F$95,V$12))/(INDEX(Annahmen!$B$80:$F$80,V$12+1)-INDEX(Annahmen!$B$80:$F$80,V$12))</f>
        <v>1267.61517586709</v>
      </c>
      <c r="W23" s="64" t="n">
        <f aca="false">INDEX(Annahmen!$B$95:$F$95,W$12)+(W$7-INDEX(Annahmen!$B$80:$F$80,W$12))*(INDEX(Annahmen!$B$95:$F$95,W$12+1)-INDEX(Annahmen!$B$95:$F$95,W$12))/(INDEX(Annahmen!$B$80:$F$80,W$12+1)-INDEX(Annahmen!$B$80:$F$80,W$12))</f>
        <v>1361.54423551241</v>
      </c>
      <c r="X23" s="64" t="n">
        <f aca="false">INDEX(Annahmen!$B$95:$F$95,X$12)+(X$7-INDEX(Annahmen!$B$80:$F$80,X$12))*(INDEX(Annahmen!$B$95:$F$95,X$12+1)-INDEX(Annahmen!$B$95:$F$95,X$12))/(INDEX(Annahmen!$B$80:$F$80,X$12+1)-INDEX(Annahmen!$B$80:$F$80,X$12))</f>
        <v>1457.95112303944</v>
      </c>
      <c r="Y23" s="64" t="n">
        <f aca="false">INDEX(Annahmen!$B$95:$F$95,Y$12)+(Y$7-INDEX(Annahmen!$B$80:$F$80,Y$12))*(INDEX(Annahmen!$B$95:$F$95,Y$12+1)-INDEX(Annahmen!$B$95:$F$95,Y$12))/(INDEX(Annahmen!$B$80:$F$80,Y$12+1)-INDEX(Annahmen!$B$80:$F$80,Y$12))</f>
        <v>1556.66666666667</v>
      </c>
      <c r="Z23" s="64" t="n">
        <f aca="false">INDEX(Annahmen!$B$95:$F$95,Z$12)+(Z$7-INDEX(Annahmen!$B$80:$F$80,Z$12))*(INDEX(Annahmen!$B$95:$F$95,Z$12+1)-INDEX(Annahmen!$B$95:$F$95,Z$12))/(INDEX(Annahmen!$B$80:$F$80,Z$12+1)-INDEX(Annahmen!$B$80:$F$80,Z$12))</f>
        <v>1637.9019265535</v>
      </c>
      <c r="AA23" s="64" t="n">
        <f aca="false">INDEX(Annahmen!$B$95:$F$95,AA$12)+(AA$7-INDEX(Annahmen!$B$80:$F$80,AA$12))*(INDEX(Annahmen!$B$95:$F$95,AA$12+1)-INDEX(Annahmen!$B$95:$F$95,AA$12))/(INDEX(Annahmen!$B$80:$F$80,AA$12+1)-INDEX(Annahmen!$B$80:$F$80,AA$12))</f>
        <v>1751.221654224</v>
      </c>
      <c r="AB23" s="64" t="n">
        <f aca="false">INDEX(Annahmen!$B$95:$F$95,AB$12)+(AB$7-INDEX(Annahmen!$B$80:$F$80,AB$12))*(INDEX(Annahmen!$B$95:$F$95,AB$12+1)-INDEX(Annahmen!$B$95:$F$95,AB$12))/(INDEX(Annahmen!$B$80:$F$80,AB$12+1)-INDEX(Annahmen!$B$80:$F$80,AB$12))</f>
        <v>1880.94456909314</v>
      </c>
      <c r="AC23" s="64" t="n">
        <f aca="false">INDEX(Annahmen!$B$95:$F$95,AC$12)+(AC$7-INDEX(Annahmen!$B$80:$F$80,AC$12))*(INDEX(Annahmen!$B$95:$F$95,AC$12+1)-INDEX(Annahmen!$B$95:$F$95,AC$12))/(INDEX(Annahmen!$B$80:$F$80,AC$12+1)-INDEX(Annahmen!$B$80:$F$80,AC$12))</f>
        <v>2022.61757562127</v>
      </c>
      <c r="AD23" s="64" t="n">
        <f aca="false">INDEX(Annahmen!$B$95:$F$95,AD$12)+(AD$7-INDEX(Annahmen!$B$80:$F$80,AD$12))*(INDEX(Annahmen!$B$95:$F$95,AD$12+1)-INDEX(Annahmen!$B$95:$F$95,AD$12))/(INDEX(Annahmen!$B$80:$F$80,AD$12+1)-INDEX(Annahmen!$B$80:$F$80,AD$12))</f>
        <v>2173.89631590921</v>
      </c>
      <c r="AE23" s="64" t="n">
        <f aca="false">INDEX(Annahmen!$B$95:$F$95,AE$12)+(AE$7-INDEX(Annahmen!$B$80:$F$80,AE$12))*(INDEX(Annahmen!$B$95:$F$95,AE$12+1)-INDEX(Annahmen!$B$95:$F$95,AE$12))/(INDEX(Annahmen!$B$80:$F$80,AE$12+1)-INDEX(Annahmen!$B$80:$F$80,AE$12))</f>
        <v>2333.29843173505</v>
      </c>
      <c r="AF23" s="64" t="n">
        <f aca="false">INDEX(Annahmen!$B$95:$F$95,AF$12)+(AF$7-INDEX(Annahmen!$B$80:$F$80,AF$12))*(INDEX(Annahmen!$B$95:$F$95,AF$12+1)-INDEX(Annahmen!$B$95:$F$95,AF$12))/(INDEX(Annahmen!$B$80:$F$80,AF$12+1)-INDEX(Annahmen!$B$80:$F$80,AF$12))</f>
        <v>2499.78916386329</v>
      </c>
      <c r="AG23" s="64" t="n">
        <f aca="false">INDEX(Annahmen!$B$95:$F$95,AG$12)+(AG$7-INDEX(Annahmen!$B$80:$F$80,AG$12))*(INDEX(Annahmen!$B$95:$F$95,AG$12+1)-INDEX(Annahmen!$B$95:$F$95,AG$12))/(INDEX(Annahmen!$B$80:$F$80,AG$12+1)-INDEX(Annahmen!$B$80:$F$80,AG$12))</f>
        <v>2672.59924840861</v>
      </c>
      <c r="AH23" s="64" t="n">
        <f aca="false">INDEX(Annahmen!$B$95:$F$95,AH$12)+(AH$7-INDEX(Annahmen!$B$80:$F$80,AH$12))*(INDEX(Annahmen!$B$95:$F$95,AH$12+1)-INDEX(Annahmen!$B$95:$F$95,AH$12))/(INDEX(Annahmen!$B$80:$F$80,AH$12+1)-INDEX(Annahmen!$B$80:$F$80,AH$12))</f>
        <v>2851.13114118923</v>
      </c>
      <c r="AI23" s="64" t="n">
        <f aca="false">INDEX(Annahmen!$B$95:$F$95,AI$12)+(AI$7-INDEX(Annahmen!$B$80:$F$80,AI$12))*(INDEX(Annahmen!$B$95:$F$95,AI$12+1)-INDEX(Annahmen!$B$95:$F$95,AI$12))/(INDEX(Annahmen!$B$80:$F$80,AI$12+1)-INDEX(Annahmen!$B$80:$F$80,AI$12))</f>
        <v>3034.90538832138</v>
      </c>
      <c r="AJ23" s="64" t="n">
        <f aca="false">INDEX(Annahmen!$B$95:$F$95,AJ$12)+(AJ$7-INDEX(Annahmen!$B$80:$F$80,AJ$12))*(INDEX(Annahmen!$B$95:$F$95,AJ$12+1)-INDEX(Annahmen!$B$95:$F$95,AJ$12))/(INDEX(Annahmen!$B$80:$F$80,AJ$12+1)-INDEX(Annahmen!$B$80:$F$80,AJ$12))</f>
        <v>3223.52755956991</v>
      </c>
      <c r="AK23" s="64" t="n">
        <f aca="false">INDEX(Annahmen!$B$95:$F$95,AK$12)+(AK$7-INDEX(Annahmen!$B$80:$F$80,AK$12))*(INDEX(Annahmen!$B$95:$F$95,AK$12+1)-INDEX(Annahmen!$B$95:$F$95,AK$12))/(INDEX(Annahmen!$B$80:$F$80,AK$12+1)-INDEX(Annahmen!$B$80:$F$80,AK$12))</f>
        <v>3416.66666666667</v>
      </c>
    </row>
    <row r="24" customFormat="false" ht="16.5" hidden="false" customHeight="true" outlineLevel="0" collapsed="false">
      <c r="A24" s="14" t="s">
        <v>324</v>
      </c>
      <c r="B24" s="66" t="n">
        <f aca="false">B9*Annahmen!$B$105+B9*Annahmen!$B$110*Annahmen!$B$111</f>
        <v>0</v>
      </c>
      <c r="C24" s="66" t="n">
        <f aca="false">C9*Annahmen!$B$105+C9*Annahmen!$B$110*Annahmen!$B$111</f>
        <v>336.75354903292</v>
      </c>
      <c r="D24" s="66" t="n">
        <f aca="false">D9*Annahmen!$B$105+D9*Annahmen!$B$110*Annahmen!$B$111</f>
        <v>531.47264814335</v>
      </c>
      <c r="E24" s="66" t="n">
        <f aca="false">E9*Annahmen!$B$105+E9*Annahmen!$B$110*Annahmen!$B$111</f>
        <v>655.083721566454</v>
      </c>
      <c r="F24" s="66" t="n">
        <f aca="false">F9*Annahmen!$B$105+F9*Annahmen!$B$110*Annahmen!$B$111</f>
        <v>758.906998059471</v>
      </c>
      <c r="G24" s="66" t="n">
        <f aca="false">G9*Annahmen!$B$105+G9*Annahmen!$B$110*Annahmen!$B$111</f>
        <v>852.963899638914</v>
      </c>
      <c r="H24" s="66" t="n">
        <f aca="false">H9*Annahmen!$B$105+H9*Annahmen!$B$110*Annahmen!$B$111</f>
        <v>941.330843915975</v>
      </c>
      <c r="I24" s="66" t="n">
        <f aca="false">I9*Annahmen!$B$105+I9*Annahmen!$B$110*Annahmen!$B$111</f>
        <v>1026.09546934482</v>
      </c>
      <c r="J24" s="66" t="n">
        <f aca="false">J9*Annahmen!$B$105+J9*Annahmen!$B$110*Annahmen!$B$111</f>
        <v>1108.4727322447</v>
      </c>
      <c r="K24" s="66" t="n">
        <f aca="false">K9*Annahmen!$B$105+K9*Annahmen!$B$110*Annahmen!$B$111</f>
        <v>1189.23073376649</v>
      </c>
      <c r="L24" s="66" t="n">
        <f aca="false">L9*Annahmen!$B$105+L9*Annahmen!$B$110*Annahmen!$B$111</f>
        <v>1268.88418278849</v>
      </c>
      <c r="M24" s="66" t="n">
        <f aca="false">M9*Annahmen!$B$105+M9*Annahmen!$B$110*Annahmen!$B$111</f>
        <v>1347.79320016171</v>
      </c>
      <c r="N24" s="66" t="n">
        <f aca="false">N9*Annahmen!$B$105+N9*Annahmen!$B$110*Annahmen!$B$111</f>
        <v>1592.28771582264</v>
      </c>
      <c r="O24" s="66" t="n">
        <f aca="false">O9*Annahmen!$B$105+O9*Annahmen!$B$110*Annahmen!$B$111</f>
        <v>2122.84990130879</v>
      </c>
      <c r="P24" s="66" t="n">
        <f aca="false">P9*Annahmen!$B$105+P9*Annahmen!$B$110*Annahmen!$B$111</f>
        <v>2443.68698459589</v>
      </c>
      <c r="Q24" s="66" t="n">
        <f aca="false">Q9*Annahmen!$B$105+Q9*Annahmen!$B$110*Annahmen!$B$111</f>
        <v>2710.00421503998</v>
      </c>
      <c r="R24" s="66" t="n">
        <f aca="false">R9*Annahmen!$B$105+R9*Annahmen!$B$110*Annahmen!$B$111</f>
        <v>2949.90864467937</v>
      </c>
      <c r="S24" s="66" t="n">
        <f aca="false">S9*Annahmen!$B$105+S9*Annahmen!$B$110*Annahmen!$B$111</f>
        <v>3174.52776133231</v>
      </c>
      <c r="T24" s="66" t="n">
        <f aca="false">T9*Annahmen!$B$105+T9*Annahmen!$B$110*Annahmen!$B$111</f>
        <v>3389.45651524228</v>
      </c>
      <c r="U24" s="66" t="n">
        <f aca="false">U9*Annahmen!$B$105+U9*Annahmen!$B$110*Annahmen!$B$111</f>
        <v>3597.90617158532</v>
      </c>
      <c r="V24" s="66" t="n">
        <f aca="false">V9*Annahmen!$B$105+V9*Annahmen!$B$110*Annahmen!$B$111</f>
        <v>3801.88467542211</v>
      </c>
      <c r="W24" s="66" t="n">
        <f aca="false">W9*Annahmen!$B$105+W9*Annahmen!$B$110*Annahmen!$B$111</f>
        <v>4002.7255401142</v>
      </c>
      <c r="X24" s="66" t="n">
        <f aca="false">X9*Annahmen!$B$105+X9*Annahmen!$B$110*Annahmen!$B$111</f>
        <v>4201.35487533375</v>
      </c>
      <c r="Y24" s="66" t="n">
        <f aca="false">Y9*Annahmen!$B$105+Y9*Annahmen!$B$110*Annahmen!$B$111</f>
        <v>4398.4383806865</v>
      </c>
      <c r="Z24" s="66" t="n">
        <f aca="false">Z9*Annahmen!$B$105+Z9*Annahmen!$B$110*Annahmen!$B$111</f>
        <v>4026.10640052255</v>
      </c>
      <c r="AA24" s="66" t="n">
        <f aca="false">AA9*Annahmen!$B$105+AA9*Annahmen!$B$110*Annahmen!$B$111</f>
        <v>5064.16285038677</v>
      </c>
      <c r="AB24" s="66" t="n">
        <f aca="false">AB9*Annahmen!$B$105+AB9*Annahmen!$B$110*Annahmen!$B$111</f>
        <v>5691.88757855717</v>
      </c>
      <c r="AC24" s="66" t="n">
        <f aca="false">AC9*Annahmen!$B$105+AC9*Annahmen!$B$110*Annahmen!$B$111</f>
        <v>6212.94302942604</v>
      </c>
      <c r="AD24" s="66" t="n">
        <f aca="false">AD9*Annahmen!$B$105+AD9*Annahmen!$B$110*Annahmen!$B$111</f>
        <v>6682.32126132921</v>
      </c>
      <c r="AE24" s="66" t="n">
        <f aca="false">AE9*Annahmen!$B$105+AE9*Annahmen!$B$110*Annahmen!$B$111</f>
        <v>7121.79344608494</v>
      </c>
      <c r="AF24" s="66" t="n">
        <f aca="false">AF9*Annahmen!$B$105+AF9*Annahmen!$B$110*Annahmen!$B$111</f>
        <v>7542.30622547404</v>
      </c>
      <c r="AG24" s="66" t="n">
        <f aca="false">AG9*Annahmen!$B$105+AG9*Annahmen!$B$110*Annahmen!$B$111</f>
        <v>7950.14250962346</v>
      </c>
      <c r="AH24" s="66" t="n">
        <f aca="false">AH9*Annahmen!$B$105+AH9*Annahmen!$B$110*Annahmen!$B$111</f>
        <v>8349.23088669544</v>
      </c>
      <c r="AI24" s="66" t="n">
        <f aca="false">AI9*Annahmen!$B$105+AI9*Annahmen!$B$110*Annahmen!$B$111</f>
        <v>8742.18040457125</v>
      </c>
      <c r="AJ24" s="66" t="n">
        <f aca="false">AJ9*Annahmen!$B$105+AJ9*Annahmen!$B$110*Annahmen!$B$111</f>
        <v>9130.80301695734</v>
      </c>
      <c r="AK24" s="66" t="n">
        <f aca="false">AK9*Annahmen!$B$105+AK9*Annahmen!$B$110*Annahmen!$B$111</f>
        <v>9516.40117960401</v>
      </c>
    </row>
    <row r="25" customFormat="false" ht="16.5" hidden="false" customHeight="true" outlineLevel="0" collapsed="false">
      <c r="A25" s="14" t="s">
        <v>325</v>
      </c>
      <c r="B25" s="66" t="n">
        <f aca="false">B9*Annahmen!$D$146*Annahmen!$D$147*Annahmen!$D$148</f>
        <v>0</v>
      </c>
      <c r="C25" s="66" t="n">
        <f aca="false">C9*Annahmen!$D$146*Annahmen!$D$147*Annahmen!$D$148</f>
        <v>27.6492387627029</v>
      </c>
      <c r="D25" s="66" t="n">
        <f aca="false">D9*Annahmen!$D$146*Annahmen!$D$147*Annahmen!$D$148</f>
        <v>43.636701637033</v>
      </c>
      <c r="E25" s="66" t="n">
        <f aca="false">E9*Annahmen!$D$146*Annahmen!$D$147*Annahmen!$D$148</f>
        <v>53.7858213496668</v>
      </c>
      <c r="F25" s="66" t="n">
        <f aca="false">F9*Annahmen!$D$146*Annahmen!$D$147*Annahmen!$D$148</f>
        <v>62.3102587880408</v>
      </c>
      <c r="G25" s="66" t="n">
        <f aca="false">G9*Annahmen!$D$146*Annahmen!$D$147*Annahmen!$D$148</f>
        <v>70.0328254440372</v>
      </c>
      <c r="H25" s="66" t="n">
        <f aca="false">H9*Annahmen!$D$146*Annahmen!$D$147*Annahmen!$D$148</f>
        <v>77.2882166583642</v>
      </c>
      <c r="I25" s="66" t="n">
        <f aca="false">I9*Annahmen!$D$146*Annahmen!$D$147*Annahmen!$D$148</f>
        <v>84.2478385356799</v>
      </c>
      <c r="J25" s="66" t="n">
        <f aca="false">J9*Annahmen!$D$146*Annahmen!$D$147*Annahmen!$D$148</f>
        <v>91.0114453843014</v>
      </c>
      <c r="K25" s="66" t="n">
        <f aca="false">K9*Annahmen!$D$146*Annahmen!$D$147*Annahmen!$D$148</f>
        <v>97.6421023513535</v>
      </c>
      <c r="L25" s="66" t="n">
        <f aca="false">L9*Annahmen!$D$146*Annahmen!$D$147*Annahmen!$D$148</f>
        <v>104.182069744739</v>
      </c>
      <c r="M25" s="66" t="n">
        <f aca="false">M9*Annahmen!$D$146*Annahmen!$D$147*Annahmen!$D$148</f>
        <v>110.660915381698</v>
      </c>
      <c r="N25" s="66" t="n">
        <f aca="false">N9*Annahmen!$D$146*Annahmen!$D$147*Annahmen!$D$148</f>
        <v>130.735201930701</v>
      </c>
      <c r="O25" s="66" t="n">
        <f aca="false">O9*Annahmen!$D$146*Annahmen!$D$147*Annahmen!$D$148</f>
        <v>174.297149791669</v>
      </c>
      <c r="P25" s="66" t="n">
        <f aca="false">P9*Annahmen!$D$146*Annahmen!$D$147*Annahmen!$D$148</f>
        <v>200.639562945768</v>
      </c>
      <c r="Q25" s="66" t="n">
        <f aca="false">Q9*Annahmen!$D$146*Annahmen!$D$147*Annahmen!$D$148</f>
        <v>222.505609234861</v>
      </c>
      <c r="R25" s="66" t="n">
        <f aca="false">R9*Annahmen!$D$146*Annahmen!$D$147*Annahmen!$D$148</f>
        <v>242.203025563148</v>
      </c>
      <c r="S25" s="66" t="n">
        <f aca="false">S9*Annahmen!$D$146*Annahmen!$D$147*Annahmen!$D$148</f>
        <v>260.645437246232</v>
      </c>
      <c r="T25" s="66" t="n">
        <f aca="false">T9*Annahmen!$D$146*Annahmen!$D$147*Annahmen!$D$148</f>
        <v>278.292219146209</v>
      </c>
      <c r="U25" s="66" t="n">
        <f aca="false">U9*Annahmen!$D$146*Annahmen!$D$147*Annahmen!$D$148</f>
        <v>295.407033035427</v>
      </c>
      <c r="V25" s="66" t="n">
        <f aca="false">V9*Annahmen!$D$146*Annahmen!$D$147*Annahmen!$D$148</f>
        <v>312.1547417715</v>
      </c>
      <c r="W25" s="66" t="n">
        <f aca="false">W9*Annahmen!$D$146*Annahmen!$D$147*Annahmen!$D$148</f>
        <v>328.644833819902</v>
      </c>
      <c r="X25" s="66" t="n">
        <f aca="false">X9*Annahmen!$D$146*Annahmen!$D$147*Annahmen!$D$148</f>
        <v>344.953347658982</v>
      </c>
      <c r="Y25" s="66" t="n">
        <f aca="false">Y9*Annahmen!$D$146*Annahmen!$D$147*Annahmen!$D$148</f>
        <v>361.134940730049</v>
      </c>
      <c r="Z25" s="66" t="n">
        <f aca="false">Z9*Annahmen!$D$146*Annahmen!$D$147*Annahmen!$D$148</f>
        <v>330.564525516589</v>
      </c>
      <c r="AA25" s="66" t="n">
        <f aca="false">AA9*Annahmen!$D$146*Annahmen!$D$147*Annahmen!$D$148</f>
        <v>415.79442350544</v>
      </c>
      <c r="AB25" s="66" t="n">
        <f aca="false">AB9*Annahmen!$D$146*Annahmen!$D$147*Annahmen!$D$148</f>
        <v>467.333927502589</v>
      </c>
      <c r="AC25" s="66" t="n">
        <f aca="false">AC9*Annahmen!$D$146*Annahmen!$D$147*Annahmen!$D$148</f>
        <v>510.115322416033</v>
      </c>
      <c r="AD25" s="66" t="n">
        <f aca="false">AD9*Annahmen!$D$146*Annahmen!$D$147*Annahmen!$D$148</f>
        <v>548.65374566703</v>
      </c>
      <c r="AE25" s="66" t="n">
        <f aca="false">AE9*Annahmen!$D$146*Annahmen!$D$147*Annahmen!$D$148</f>
        <v>584.736725046974</v>
      </c>
      <c r="AF25" s="66" t="n">
        <f aca="false">AF9*Annahmen!$D$146*Annahmen!$D$147*Annahmen!$D$148</f>
        <v>619.263037459974</v>
      </c>
      <c r="AG25" s="66" t="n">
        <f aca="false">AG9*Annahmen!$D$146*Annahmen!$D$147*Annahmen!$D$148</f>
        <v>652.7485428954</v>
      </c>
      <c r="AH25" s="66" t="n">
        <f aca="false">AH9*Annahmen!$D$146*Annahmen!$D$147*Annahmen!$D$148</f>
        <v>685.515799118152</v>
      </c>
      <c r="AI25" s="66" t="n">
        <f aca="false">AI9*Annahmen!$D$146*Annahmen!$D$147*Annahmen!$D$148</f>
        <v>717.779022691113</v>
      </c>
      <c r="AJ25" s="66" t="n">
        <f aca="false">AJ9*Annahmen!$D$146*Annahmen!$D$147*Annahmen!$D$148</f>
        <v>749.686984550182</v>
      </c>
      <c r="AK25" s="66" t="n">
        <f aca="false">AK9*Annahmen!$D$146*Annahmen!$D$147*Annahmen!$D$148</f>
        <v>781.346623167487</v>
      </c>
    </row>
    <row r="26" customFormat="false" ht="16.5" hidden="false" customHeight="true" outlineLevel="0" collapsed="false">
      <c r="A26" s="14" t="s">
        <v>326</v>
      </c>
      <c r="B26" s="64" t="n">
        <f aca="false">INDEX(Annahmen!$B$96:$F$96,B$12)+(B$7-INDEX(Annahmen!$B$80:$F$80,B$12))*(INDEX(Annahmen!$B$96:$F$96,B$12+1)-INDEX(Annahmen!$B$96:$F$96,B$12))/(INDEX(Annahmen!$B$80:$F$80,B$12+1)-INDEX(Annahmen!$B$80:$F$80,B$12))</f>
        <v>0</v>
      </c>
      <c r="C26" s="64" t="n">
        <f aca="false">INDEX(Annahmen!$B$96:$F$96,C$12)+(C$7-INDEX(Annahmen!$B$80:$F$80,C$12))*(INDEX(Annahmen!$B$96:$F$96,C$12+1)-INDEX(Annahmen!$B$96:$F$96,C$12))/(INDEX(Annahmen!$B$80:$F$80,C$12+1)-INDEX(Annahmen!$B$80:$F$80,C$12))</f>
        <v>0</v>
      </c>
      <c r="D26" s="64" t="n">
        <f aca="false">INDEX(Annahmen!$B$96:$F$96,D$12)+(D$7-INDEX(Annahmen!$B$80:$F$80,D$12))*(INDEX(Annahmen!$B$96:$F$96,D$12+1)-INDEX(Annahmen!$B$96:$F$96,D$12))/(INDEX(Annahmen!$B$80:$F$80,D$12+1)-INDEX(Annahmen!$B$80:$F$80,D$12))</f>
        <v>0</v>
      </c>
      <c r="E26" s="64" t="n">
        <f aca="false">INDEX(Annahmen!$B$96:$F$96,E$12)+(E$7-INDEX(Annahmen!$B$80:$F$80,E$12))*(INDEX(Annahmen!$B$96:$F$96,E$12+1)-INDEX(Annahmen!$B$96:$F$96,E$12))/(INDEX(Annahmen!$B$80:$F$80,E$12+1)-INDEX(Annahmen!$B$80:$F$80,E$12))</f>
        <v>0</v>
      </c>
      <c r="F26" s="64" t="n">
        <f aca="false">INDEX(Annahmen!$B$96:$F$96,F$12)+(F$7-INDEX(Annahmen!$B$80:$F$80,F$12))*(INDEX(Annahmen!$B$96:$F$96,F$12+1)-INDEX(Annahmen!$B$96:$F$96,F$12))/(INDEX(Annahmen!$B$80:$F$80,F$12+1)-INDEX(Annahmen!$B$80:$F$80,F$12))</f>
        <v>0</v>
      </c>
      <c r="G26" s="64" t="n">
        <f aca="false">INDEX(Annahmen!$B$96:$F$96,G$12)+(G$7-INDEX(Annahmen!$B$80:$F$80,G$12))*(INDEX(Annahmen!$B$96:$F$96,G$12+1)-INDEX(Annahmen!$B$96:$F$96,G$12))/(INDEX(Annahmen!$B$80:$F$80,G$12+1)-INDEX(Annahmen!$B$80:$F$80,G$12))</f>
        <v>0</v>
      </c>
      <c r="H26" s="64" t="n">
        <f aca="false">INDEX(Annahmen!$B$96:$F$96,H$12)+(H$7-INDEX(Annahmen!$B$80:$F$80,H$12))*(INDEX(Annahmen!$B$96:$F$96,H$12+1)-INDEX(Annahmen!$B$96:$F$96,H$12))/(INDEX(Annahmen!$B$80:$F$80,H$12+1)-INDEX(Annahmen!$B$80:$F$80,H$12))</f>
        <v>0</v>
      </c>
      <c r="I26" s="64" t="n">
        <f aca="false">INDEX(Annahmen!$B$96:$F$96,I$12)+(I$7-INDEX(Annahmen!$B$80:$F$80,I$12))*(INDEX(Annahmen!$B$96:$F$96,I$12+1)-INDEX(Annahmen!$B$96:$F$96,I$12))/(INDEX(Annahmen!$B$80:$F$80,I$12+1)-INDEX(Annahmen!$B$80:$F$80,I$12))</f>
        <v>0</v>
      </c>
      <c r="J26" s="64" t="n">
        <f aca="false">INDEX(Annahmen!$B$96:$F$96,J$12)+(J$7-INDEX(Annahmen!$B$80:$F$80,J$12))*(INDEX(Annahmen!$B$96:$F$96,J$12+1)-INDEX(Annahmen!$B$96:$F$96,J$12))/(INDEX(Annahmen!$B$80:$F$80,J$12+1)-INDEX(Annahmen!$B$80:$F$80,J$12))</f>
        <v>0</v>
      </c>
      <c r="K26" s="64" t="n">
        <f aca="false">INDEX(Annahmen!$B$96:$F$96,K$12)+(K$7-INDEX(Annahmen!$B$80:$F$80,K$12))*(INDEX(Annahmen!$B$96:$F$96,K$12+1)-INDEX(Annahmen!$B$96:$F$96,K$12))/(INDEX(Annahmen!$B$80:$F$80,K$12+1)-INDEX(Annahmen!$B$80:$F$80,K$12))</f>
        <v>0</v>
      </c>
      <c r="L26" s="64" t="n">
        <f aca="false">INDEX(Annahmen!$B$96:$F$96,L$12)+(L$7-INDEX(Annahmen!$B$80:$F$80,L$12))*(INDEX(Annahmen!$B$96:$F$96,L$12+1)-INDEX(Annahmen!$B$96:$F$96,L$12))/(INDEX(Annahmen!$B$80:$F$80,L$12+1)-INDEX(Annahmen!$B$80:$F$80,L$12))</f>
        <v>68.3082367818205</v>
      </c>
      <c r="M26" s="64" t="n">
        <f aca="false">INDEX(Annahmen!$B$96:$F$96,M$12)+(M$7-INDEX(Annahmen!$B$80:$F$80,M$12))*(INDEX(Annahmen!$B$96:$F$96,M$12+1)-INDEX(Annahmen!$B$96:$F$96,M$12))/(INDEX(Annahmen!$B$80:$F$80,M$12+1)-INDEX(Annahmen!$B$80:$F$80,M$12))</f>
        <v>425</v>
      </c>
      <c r="N26" s="64" t="n">
        <f aca="false">INDEX(Annahmen!$B$96:$F$96,N$12)+(N$7-INDEX(Annahmen!$B$80:$F$80,N$12))*(INDEX(Annahmen!$B$96:$F$96,N$12+1)-INDEX(Annahmen!$B$96:$F$96,N$12))/(INDEX(Annahmen!$B$80:$F$80,N$12+1)-INDEX(Annahmen!$B$80:$F$80,N$12))</f>
        <v>851.921863114931</v>
      </c>
      <c r="O26" s="64" t="n">
        <f aca="false">INDEX(Annahmen!$B$96:$F$96,O$12)+(O$7-INDEX(Annahmen!$B$80:$F$80,O$12))*(INDEX(Annahmen!$B$96:$F$96,O$12+1)-INDEX(Annahmen!$B$96:$F$96,O$12))/(INDEX(Annahmen!$B$80:$F$80,O$12+1)-INDEX(Annahmen!$B$80:$F$80,O$12))</f>
        <v>1447.45967923273</v>
      </c>
      <c r="P26" s="64" t="n">
        <f aca="false">INDEX(Annahmen!$B$96:$F$96,P$12)+(P$7-INDEX(Annahmen!$B$80:$F$80,P$12))*(INDEX(Annahmen!$B$96:$F$96,P$12+1)-INDEX(Annahmen!$B$96:$F$96,P$12))/(INDEX(Annahmen!$B$80:$F$80,P$12+1)-INDEX(Annahmen!$B$80:$F$80,P$12))</f>
        <v>1814.45397795251</v>
      </c>
      <c r="Q26" s="64" t="n">
        <f aca="false">INDEX(Annahmen!$B$96:$F$96,Q$12)+(Q$7-INDEX(Annahmen!$B$80:$F$80,Q$12))*(INDEX(Annahmen!$B$96:$F$96,Q$12+1)-INDEX(Annahmen!$B$96:$F$96,Q$12))/(INDEX(Annahmen!$B$80:$F$80,Q$12+1)-INDEX(Annahmen!$B$80:$F$80,Q$12))</f>
        <v>2012.99930251344</v>
      </c>
      <c r="R26" s="64" t="n">
        <f aca="false">INDEX(Annahmen!$B$96:$F$96,R$12)+(R$7-INDEX(Annahmen!$B$80:$F$80,R$12))*(INDEX(Annahmen!$B$96:$F$96,R$12+1)-INDEX(Annahmen!$B$96:$F$96,R$12))/(INDEX(Annahmen!$B$80:$F$80,R$12+1)-INDEX(Annahmen!$B$80:$F$80,R$12))</f>
        <v>2225.00642599941</v>
      </c>
      <c r="S26" s="64" t="n">
        <f aca="false">INDEX(Annahmen!$B$96:$F$96,S$12)+(S$7-INDEX(Annahmen!$B$80:$F$80,S$12))*(INDEX(Annahmen!$B$96:$F$96,S$12+1)-INDEX(Annahmen!$B$96:$F$96,S$12))/(INDEX(Annahmen!$B$80:$F$80,S$12+1)-INDEX(Annahmen!$B$80:$F$80,S$12))</f>
        <v>2448.39792165498</v>
      </c>
      <c r="T26" s="64" t="n">
        <f aca="false">INDEX(Annahmen!$B$96:$F$96,T$12)+(T$7-INDEX(Annahmen!$B$80:$F$80,T$12))*(INDEX(Annahmen!$B$96:$F$96,T$12+1)-INDEX(Annahmen!$B$96:$F$96,T$12))/(INDEX(Annahmen!$B$80:$F$80,T$12+1)-INDEX(Annahmen!$B$80:$F$80,T$12))</f>
        <v>2681.72364302466</v>
      </c>
      <c r="U26" s="64" t="n">
        <f aca="false">INDEX(Annahmen!$B$96:$F$96,U$12)+(U$7-INDEX(Annahmen!$B$80:$F$80,U$12))*(INDEX(Annahmen!$B$96:$F$96,U$12+1)-INDEX(Annahmen!$B$96:$F$96,U$12))/(INDEX(Annahmen!$B$80:$F$80,U$12+1)-INDEX(Annahmen!$B$80:$F$80,U$12))</f>
        <v>2923.90551778172</v>
      </c>
      <c r="V26" s="64" t="n">
        <f aca="false">INDEX(Annahmen!$B$96:$F$96,V$12)+(V$7-INDEX(Annahmen!$B$80:$F$80,V$12))*(INDEX(Annahmen!$B$96:$F$96,V$12+1)-INDEX(Annahmen!$B$96:$F$96,V$12))/(INDEX(Annahmen!$B$80:$F$80,V$12+1)-INDEX(Annahmen!$B$80:$F$80,V$12))</f>
        <v>3174.10612737751</v>
      </c>
      <c r="W26" s="64" t="n">
        <f aca="false">INDEX(Annahmen!$B$96:$F$96,W$12)+(W$7-INDEX(Annahmen!$B$80:$F$80,W$12))*(INDEX(Annahmen!$B$96:$F$96,W$12+1)-INDEX(Annahmen!$B$96:$F$96,W$12))/(INDEX(Annahmen!$B$80:$F$80,W$12+1)-INDEX(Annahmen!$B$80:$F$80,W$12))</f>
        <v>3431.65354898564</v>
      </c>
      <c r="X26" s="64" t="n">
        <f aca="false">INDEX(Annahmen!$B$96:$F$96,X$12)+(X$7-INDEX(Annahmen!$B$80:$F$80,X$12))*(INDEX(Annahmen!$B$96:$F$96,X$12+1)-INDEX(Annahmen!$B$96:$F$96,X$12))/(INDEX(Annahmen!$B$80:$F$80,X$12+1)-INDEX(Annahmen!$B$80:$F$80,X$12))</f>
        <v>3695.99501478555</v>
      </c>
      <c r="Y26" s="64" t="n">
        <f aca="false">INDEX(Annahmen!$B$96:$F$96,Y$12)+(Y$7-INDEX(Annahmen!$B$80:$F$80,Y$12))*(INDEX(Annahmen!$B$96:$F$96,Y$12+1)-INDEX(Annahmen!$B$96:$F$96,Y$12))/(INDEX(Annahmen!$B$80:$F$80,Y$12+1)-INDEX(Annahmen!$B$80:$F$80,Y$12))</f>
        <v>3966.66666666667</v>
      </c>
      <c r="Z26" s="64" t="n">
        <f aca="false">INDEX(Annahmen!$B$96:$F$96,Z$12)+(Z$7-INDEX(Annahmen!$B$80:$F$80,Z$12))*(INDEX(Annahmen!$B$96:$F$96,Z$12+1)-INDEX(Annahmen!$B$96:$F$96,Z$12))/(INDEX(Annahmen!$B$80:$F$80,Z$12+1)-INDEX(Annahmen!$B$80:$F$80,Z$12))</f>
        <v>4189.40850829185</v>
      </c>
      <c r="AA26" s="64" t="n">
        <f aca="false">INDEX(Annahmen!$B$96:$F$96,AA$12)+(AA$7-INDEX(Annahmen!$B$80:$F$80,AA$12))*(INDEX(Annahmen!$B$96:$F$96,AA$12+1)-INDEX(Annahmen!$B$96:$F$96,AA$12))/(INDEX(Annahmen!$B$80:$F$80,AA$12+1)-INDEX(Annahmen!$B$80:$F$80,AA$12))</f>
        <v>4500.12389061418</v>
      </c>
      <c r="AB26" s="64" t="n">
        <f aca="false">INDEX(Annahmen!$B$96:$F$96,AB$12)+(AB$7-INDEX(Annahmen!$B$80:$F$80,AB$12))*(INDEX(Annahmen!$B$96:$F$96,AB$12+1)-INDEX(Annahmen!$B$96:$F$96,AB$12))/(INDEX(Annahmen!$B$80:$F$80,AB$12+1)-INDEX(Annahmen!$B$80:$F$80,AB$12))</f>
        <v>4855.81575396505</v>
      </c>
      <c r="AC26" s="64" t="n">
        <f aca="false">INDEX(Annahmen!$B$96:$F$96,AC$12)+(AC$7-INDEX(Annahmen!$B$80:$F$80,AC$12))*(INDEX(Annahmen!$B$96:$F$96,AC$12+1)-INDEX(Annahmen!$B$96:$F$96,AC$12))/(INDEX(Annahmen!$B$80:$F$80,AC$12+1)-INDEX(Annahmen!$B$80:$F$80,AC$12))</f>
        <v>5244.27399767122</v>
      </c>
      <c r="AD26" s="64" t="n">
        <f aca="false">INDEX(Annahmen!$B$96:$F$96,AD$12)+(AD$7-INDEX(Annahmen!$B$80:$F$80,AD$12))*(INDEX(Annahmen!$B$96:$F$96,AD$12+1)-INDEX(Annahmen!$B$96:$F$96,AD$12))/(INDEX(Annahmen!$B$80:$F$80,AD$12+1)-INDEX(Annahmen!$B$80:$F$80,AD$12))</f>
        <v>5659.07054362203</v>
      </c>
      <c r="AE26" s="64" t="n">
        <f aca="false">INDEX(Annahmen!$B$96:$F$96,AE$12)+(AE$7-INDEX(Annahmen!$B$80:$F$80,AE$12))*(INDEX(Annahmen!$B$96:$F$96,AE$12+1)-INDEX(Annahmen!$B$96:$F$96,AE$12))/(INDEX(Annahmen!$B$80:$F$80,AE$12+1)-INDEX(Annahmen!$B$80:$F$80,AE$12))</f>
        <v>6096.14086120901</v>
      </c>
      <c r="AF26" s="64" t="n">
        <f aca="false">INDEX(Annahmen!$B$96:$F$96,AF$12)+(AF$7-INDEX(Annahmen!$B$80:$F$80,AF$12))*(INDEX(Annahmen!$B$96:$F$96,AF$12+1)-INDEX(Annahmen!$B$96:$F$96,AF$12))/(INDEX(Annahmen!$B$80:$F$80,AF$12+1)-INDEX(Annahmen!$B$80:$F$80,AF$12))</f>
        <v>6552.64770736708</v>
      </c>
      <c r="AG26" s="64" t="n">
        <f aca="false">INDEX(Annahmen!$B$96:$F$96,AG$12)+(AG$7-INDEX(Annahmen!$B$80:$F$80,AG$12))*(INDEX(Annahmen!$B$96:$F$96,AG$12+1)-INDEX(Annahmen!$B$96:$F$96,AG$12))/(INDEX(Annahmen!$B$80:$F$80,AG$12+1)-INDEX(Annahmen!$B$80:$F$80,AG$12))</f>
        <v>7026.48181015263</v>
      </c>
      <c r="AH26" s="64" t="n">
        <f aca="false">INDEX(Annahmen!$B$96:$F$96,AH$12)+(AH$7-INDEX(Annahmen!$B$80:$F$80,AH$12))*(INDEX(Annahmen!$B$96:$F$96,AH$12+1)-INDEX(Annahmen!$B$96:$F$96,AH$12))/(INDEX(Annahmen!$B$80:$F$80,AH$12+1)-INDEX(Annahmen!$B$80:$F$80,AH$12))</f>
        <v>7516.00474197048</v>
      </c>
      <c r="AI26" s="64" t="n">
        <f aca="false">INDEX(Annahmen!$B$96:$F$96,AI$12)+(AI$7-INDEX(Annahmen!$B$80:$F$80,AI$12))*(INDEX(Annahmen!$B$96:$F$96,AI$12+1)-INDEX(Annahmen!$B$96:$F$96,AI$12))/(INDEX(Annahmen!$B$80:$F$80,AI$12+1)-INDEX(Annahmen!$B$80:$F$80,AI$12))</f>
        <v>8019.90187120378</v>
      </c>
      <c r="AJ26" s="64" t="n">
        <f aca="false">INDEX(Annahmen!$B$96:$F$96,AJ$12)+(AJ$7-INDEX(Annahmen!$B$80:$F$80,AJ$12))*(INDEX(Annahmen!$B$96:$F$96,AJ$12+1)-INDEX(Annahmen!$B$96:$F$96,AJ$12))/(INDEX(Annahmen!$B$80:$F$80,AJ$12+1)-INDEX(Annahmen!$B$80:$F$80,AJ$12))</f>
        <v>8537.09169559492</v>
      </c>
      <c r="AK26" s="64" t="n">
        <f aca="false">INDEX(Annahmen!$B$96:$F$96,AK$12)+(AK$7-INDEX(Annahmen!$B$80:$F$80,AK$12))*(INDEX(Annahmen!$B$96:$F$96,AK$12+1)-INDEX(Annahmen!$B$96:$F$96,AK$12))/(INDEX(Annahmen!$B$80:$F$80,AK$12+1)-INDEX(Annahmen!$B$80:$F$80,AK$12))</f>
        <v>9066.66666666667</v>
      </c>
    </row>
    <row r="27" customFormat="false" ht="16.5" hidden="false" customHeight="true" outlineLevel="0" collapsed="false">
      <c r="A27" s="14" t="s">
        <v>327</v>
      </c>
      <c r="B27" s="64" t="n">
        <f aca="false">INDEX(Annahmen!$B$97:$F$97,B$12)+(B$7-INDEX(Annahmen!$B$80:$F$80,B$12))*(INDEX(Annahmen!$B$97:$F$97,B$12+1)-INDEX(Annahmen!$B$97:$F$97,B$12))/(INDEX(Annahmen!$B$80:$F$80,B$12+1)-INDEX(Annahmen!$B$80:$F$80,B$12))</f>
        <v>150</v>
      </c>
      <c r="C27" s="64" t="n">
        <f aca="false">INDEX(Annahmen!$B$97:$F$97,C$12)+(C$7-INDEX(Annahmen!$B$80:$F$80,C$12))*(INDEX(Annahmen!$B$97:$F$97,C$12+1)-INDEX(Annahmen!$B$97:$F$97,C$12))/(INDEX(Annahmen!$B$80:$F$80,C$12+1)-INDEX(Annahmen!$B$80:$F$80,C$12))</f>
        <v>161.263979028747</v>
      </c>
      <c r="D27" s="64" t="n">
        <f aca="false">INDEX(Annahmen!$B$97:$F$97,D$12)+(D$7-INDEX(Annahmen!$B$80:$F$80,D$12))*(INDEX(Annahmen!$B$97:$F$97,D$12+1)-INDEX(Annahmen!$B$97:$F$97,D$12))/(INDEX(Annahmen!$B$80:$F$80,D$12+1)-INDEX(Annahmen!$B$80:$F$80,D$12))</f>
        <v>178.514911459958</v>
      </c>
      <c r="E27" s="64" t="n">
        <f aca="false">INDEX(Annahmen!$B$97:$F$97,E$12)+(E$7-INDEX(Annahmen!$B$80:$F$80,E$12))*(INDEX(Annahmen!$B$97:$F$97,E$12+1)-INDEX(Annahmen!$B$97:$F$97,E$12))/(INDEX(Annahmen!$B$80:$F$80,E$12+1)-INDEX(Annahmen!$B$80:$F$80,E$12))</f>
        <v>199.094666538734</v>
      </c>
      <c r="F27" s="64" t="n">
        <f aca="false">INDEX(Annahmen!$B$97:$F$97,F$12)+(F$7-INDEX(Annahmen!$B$80:$F$80,F$12))*(INDEX(Annahmen!$B$97:$F$97,F$12+1)-INDEX(Annahmen!$B$97:$F$97,F$12))/(INDEX(Annahmen!$B$80:$F$80,F$12+1)-INDEX(Annahmen!$B$80:$F$80,F$12))</f>
        <v>222.18587441384</v>
      </c>
      <c r="G27" s="64" t="n">
        <f aca="false">INDEX(Annahmen!$B$97:$F$97,G$12)+(G$7-INDEX(Annahmen!$B$80:$F$80,G$12))*(INDEX(Annahmen!$B$97:$F$97,G$12+1)-INDEX(Annahmen!$B$97:$F$97,G$12))/(INDEX(Annahmen!$B$80:$F$80,G$12+1)-INDEX(Annahmen!$B$80:$F$80,G$12))</f>
        <v>247.344549376461</v>
      </c>
      <c r="H27" s="64" t="n">
        <f aca="false">INDEX(Annahmen!$B$97:$F$97,H$12)+(H$7-INDEX(Annahmen!$B$80:$F$80,H$12))*(INDEX(Annahmen!$B$97:$F$97,H$12+1)-INDEX(Annahmen!$B$97:$F$97,H$12))/(INDEX(Annahmen!$B$80:$F$80,H$12+1)-INDEX(Annahmen!$B$80:$F$80,H$12))</f>
        <v>276.01835264323</v>
      </c>
      <c r="I27" s="64" t="n">
        <f aca="false">INDEX(Annahmen!$B$97:$F$97,I$12)+(I$7-INDEX(Annahmen!$B$80:$F$80,I$12))*(INDEX(Annahmen!$B$97:$F$97,I$12+1)-INDEX(Annahmen!$B$97:$F$97,I$12))/(INDEX(Annahmen!$B$80:$F$80,I$12+1)-INDEX(Annahmen!$B$80:$F$80,I$12))</f>
        <v>306.571373010269</v>
      </c>
      <c r="J27" s="64" t="n">
        <f aca="false">INDEX(Annahmen!$B$97:$F$97,J$12)+(J$7-INDEX(Annahmen!$B$80:$F$80,J$12))*(INDEX(Annahmen!$B$97:$F$97,J$12+1)-INDEX(Annahmen!$B$97:$F$97,J$12))/(INDEX(Annahmen!$B$80:$F$80,J$12+1)-INDEX(Annahmen!$B$80:$F$80,J$12))</f>
        <v>338.649456851776</v>
      </c>
      <c r="K27" s="64" t="n">
        <f aca="false">INDEX(Annahmen!$B$97:$F$97,K$12)+(K$7-INDEX(Annahmen!$B$80:$F$80,K$12))*(INDEX(Annahmen!$B$97:$F$97,K$12+1)-INDEX(Annahmen!$B$97:$F$97,K$12))/(INDEX(Annahmen!$B$80:$F$80,K$12+1)-INDEX(Annahmen!$B$80:$F$80,K$12))</f>
        <v>372.123335723379</v>
      </c>
      <c r="L27" s="64" t="n">
        <f aca="false">INDEX(Annahmen!$B$97:$F$97,L$12)+(L$7-INDEX(Annahmen!$B$80:$F$80,L$12))*(INDEX(Annahmen!$B$97:$F$97,L$12+1)-INDEX(Annahmen!$B$97:$F$97,L$12))/(INDEX(Annahmen!$B$80:$F$80,L$12+1)-INDEX(Annahmen!$B$80:$F$80,L$12))</f>
        <v>408.036263150802</v>
      </c>
      <c r="M27" s="64" t="n">
        <f aca="false">INDEX(Annahmen!$B$97:$F$97,M$12)+(M$7-INDEX(Annahmen!$B$80:$F$80,M$12))*(INDEX(Annahmen!$B$97:$F$97,M$12+1)-INDEX(Annahmen!$B$97:$F$97,M$12))/(INDEX(Annahmen!$B$80:$F$80,M$12+1)-INDEX(Annahmen!$B$80:$F$80,M$12))</f>
        <v>450</v>
      </c>
      <c r="N27" s="64" t="n">
        <f aca="false">INDEX(Annahmen!$B$97:$F$97,N$12)+(N$7-INDEX(Annahmen!$B$80:$F$80,N$12))*(INDEX(Annahmen!$B$97:$F$97,N$12+1)-INDEX(Annahmen!$B$97:$F$97,N$12))/(INDEX(Annahmen!$B$80:$F$80,N$12+1)-INDEX(Annahmen!$B$80:$F$80,N$12))</f>
        <v>500.226101542933</v>
      </c>
      <c r="O27" s="64" t="n">
        <f aca="false">INDEX(Annahmen!$B$97:$F$97,O$12)+(O$7-INDEX(Annahmen!$B$80:$F$80,O$12))*(INDEX(Annahmen!$B$97:$F$97,O$12+1)-INDEX(Annahmen!$B$97:$F$97,O$12))/(INDEX(Annahmen!$B$80:$F$80,O$12+1)-INDEX(Annahmen!$B$80:$F$80,O$12))</f>
        <v>570.289374027381</v>
      </c>
      <c r="P27" s="64" t="n">
        <f aca="false">INDEX(Annahmen!$B$97:$F$97,P$12)+(P$7-INDEX(Annahmen!$B$80:$F$80,P$12))*(INDEX(Annahmen!$B$97:$F$97,P$12+1)-INDEX(Annahmen!$B$97:$F$97,P$12))/(INDEX(Annahmen!$B$80:$F$80,P$12+1)-INDEX(Annahmen!$B$80:$F$80,P$12))</f>
        <v>640.395521630297</v>
      </c>
      <c r="Q27" s="64" t="n">
        <f aca="false">INDEX(Annahmen!$B$97:$F$97,Q$12)+(Q$7-INDEX(Annahmen!$B$80:$F$80,Q$12))*(INDEX(Annahmen!$B$97:$F$97,Q$12+1)-INDEX(Annahmen!$B$97:$F$97,Q$12))/(INDEX(Annahmen!$B$80:$F$80,Q$12+1)-INDEX(Annahmen!$B$80:$F$80,Q$12))</f>
        <v>710.470342063567</v>
      </c>
      <c r="R27" s="64" t="n">
        <f aca="false">INDEX(Annahmen!$B$97:$F$97,R$12)+(R$7-INDEX(Annahmen!$B$80:$F$80,R$12))*(INDEX(Annahmen!$B$97:$F$97,R$12+1)-INDEX(Annahmen!$B$97:$F$97,R$12))/(INDEX(Annahmen!$B$80:$F$80,R$12+1)-INDEX(Annahmen!$B$80:$F$80,R$12))</f>
        <v>785.296385646849</v>
      </c>
      <c r="S27" s="64" t="n">
        <f aca="false">INDEX(Annahmen!$B$97:$F$97,S$12)+(S$7-INDEX(Annahmen!$B$80:$F$80,S$12))*(INDEX(Annahmen!$B$97:$F$97,S$12+1)-INDEX(Annahmen!$B$97:$F$97,S$12))/(INDEX(Annahmen!$B$80:$F$80,S$12+1)-INDEX(Annahmen!$B$80:$F$80,S$12))</f>
        <v>864.14044293705</v>
      </c>
      <c r="T27" s="64" t="n">
        <f aca="false">INDEX(Annahmen!$B$97:$F$97,T$12)+(T$7-INDEX(Annahmen!$B$80:$F$80,T$12))*(INDEX(Annahmen!$B$97:$F$97,T$12+1)-INDEX(Annahmen!$B$97:$F$97,T$12))/(INDEX(Annahmen!$B$80:$F$80,T$12+1)-INDEX(Annahmen!$B$80:$F$80,T$12))</f>
        <v>946.490697538113</v>
      </c>
      <c r="U27" s="64" t="n">
        <f aca="false">INDEX(Annahmen!$B$97:$F$97,U$12)+(U$7-INDEX(Annahmen!$B$80:$F$80,U$12))*(INDEX(Annahmen!$B$97:$F$97,U$12+1)-INDEX(Annahmen!$B$97:$F$97,U$12))/(INDEX(Annahmen!$B$80:$F$80,U$12+1)-INDEX(Annahmen!$B$80:$F$80,U$12))</f>
        <v>1031.96665333472</v>
      </c>
      <c r="V27" s="64" t="n">
        <f aca="false">INDEX(Annahmen!$B$97:$F$97,V$12)+(V$7-INDEX(Annahmen!$B$80:$F$80,V$12))*(INDEX(Annahmen!$B$97:$F$97,V$12+1)-INDEX(Annahmen!$B$97:$F$97,V$12))/(INDEX(Annahmen!$B$80:$F$80,V$12+1)-INDEX(Annahmen!$B$80:$F$80,V$12))</f>
        <v>1120.27275083912</v>
      </c>
      <c r="W27" s="64" t="n">
        <f aca="false">INDEX(Annahmen!$B$97:$F$97,W$12)+(W$7-INDEX(Annahmen!$B$80:$F$80,W$12))*(INDEX(Annahmen!$B$97:$F$97,W$12+1)-INDEX(Annahmen!$B$97:$F$97,W$12))/(INDEX(Annahmen!$B$80:$F$80,W$12+1)-INDEX(Annahmen!$B$80:$F$80,W$12))</f>
        <v>1211.17184081846</v>
      </c>
      <c r="X27" s="64" t="n">
        <f aca="false">INDEX(Annahmen!$B$97:$F$97,X$12)+(X$7-INDEX(Annahmen!$B$80:$F$80,X$12))*(INDEX(Annahmen!$B$97:$F$97,X$12+1)-INDEX(Annahmen!$B$97:$F$97,X$12))/(INDEX(Annahmen!$B$80:$F$80,X$12+1)-INDEX(Annahmen!$B$80:$F$80,X$12))</f>
        <v>1304.46882874784</v>
      </c>
      <c r="Y27" s="64" t="n">
        <f aca="false">INDEX(Annahmen!$B$97:$F$97,Y$12)+(Y$7-INDEX(Annahmen!$B$80:$F$80,Y$12))*(INDEX(Annahmen!$B$97:$F$97,Y$12+1)-INDEX(Annahmen!$B$97:$F$97,Y$12))/(INDEX(Annahmen!$B$80:$F$80,Y$12+1)-INDEX(Annahmen!$B$80:$F$80,Y$12))</f>
        <v>1400</v>
      </c>
      <c r="Z27" s="64" t="n">
        <f aca="false">INDEX(Annahmen!$B$97:$F$97,Z$12)+(Z$7-INDEX(Annahmen!$B$80:$F$80,Z$12))*(INDEX(Annahmen!$B$97:$F$97,Z$12+1)-INDEX(Annahmen!$B$97:$F$97,Z$12))/(INDEX(Annahmen!$B$80:$F$80,Z$12+1)-INDEX(Annahmen!$B$80:$F$80,Z$12))</f>
        <v>1478.61476763242</v>
      </c>
      <c r="AA27" s="64" t="n">
        <f aca="false">INDEX(Annahmen!$B$97:$F$97,AA$12)+(AA$7-INDEX(Annahmen!$B$80:$F$80,AA$12))*(INDEX(Annahmen!$B$97:$F$97,AA$12+1)-INDEX(Annahmen!$B$97:$F$97,AA$12))/(INDEX(Annahmen!$B$80:$F$80,AA$12+1)-INDEX(Annahmen!$B$80:$F$80,AA$12))</f>
        <v>1588.27902021677</v>
      </c>
      <c r="AB27" s="64" t="n">
        <f aca="false">INDEX(Annahmen!$B$97:$F$97,AB$12)+(AB$7-INDEX(Annahmen!$B$80:$F$80,AB$12))*(INDEX(Annahmen!$B$97:$F$97,AB$12+1)-INDEX(Annahmen!$B$97:$F$97,AB$12))/(INDEX(Annahmen!$B$80:$F$80,AB$12+1)-INDEX(Annahmen!$B$80:$F$80,AB$12))</f>
        <v>1713.81732492884</v>
      </c>
      <c r="AC27" s="64" t="n">
        <f aca="false">INDEX(Annahmen!$B$97:$F$97,AC$12)+(AC$7-INDEX(Annahmen!$B$80:$F$80,AC$12))*(INDEX(Annahmen!$B$97:$F$97,AC$12+1)-INDEX(Annahmen!$B$97:$F$97,AC$12))/(INDEX(Annahmen!$B$80:$F$80,AC$12+1)-INDEX(Annahmen!$B$80:$F$80,AC$12))</f>
        <v>1850.9202344722</v>
      </c>
      <c r="AD27" s="64" t="n">
        <f aca="false">INDEX(Annahmen!$B$97:$F$97,AD$12)+(AD$7-INDEX(Annahmen!$B$80:$F$80,AD$12))*(INDEX(Annahmen!$B$97:$F$97,AD$12+1)-INDEX(Annahmen!$B$97:$F$97,AD$12))/(INDEX(Annahmen!$B$80:$F$80,AD$12+1)-INDEX(Annahmen!$B$80:$F$80,AD$12))</f>
        <v>1997.31901539601</v>
      </c>
      <c r="AE27" s="64" t="n">
        <f aca="false">INDEX(Annahmen!$B$97:$F$97,AE$12)+(AE$7-INDEX(Annahmen!$B$80:$F$80,AE$12))*(INDEX(Annahmen!$B$97:$F$97,AE$12+1)-INDEX(Annahmen!$B$97:$F$97,AE$12))/(INDEX(Annahmen!$B$80:$F$80,AE$12+1)-INDEX(Annahmen!$B$80:$F$80,AE$12))</f>
        <v>2151.57912748553</v>
      </c>
      <c r="AF27" s="64" t="n">
        <f aca="false">INDEX(Annahmen!$B$97:$F$97,AF$12)+(AF$7-INDEX(Annahmen!$B$80:$F$80,AF$12))*(INDEX(Annahmen!$B$97:$F$97,AF$12+1)-INDEX(Annahmen!$B$97:$F$97,AF$12))/(INDEX(Annahmen!$B$80:$F$80,AF$12+1)-INDEX(Annahmen!$B$80:$F$80,AF$12))</f>
        <v>2312.69919083544</v>
      </c>
      <c r="AG27" s="64" t="n">
        <f aca="false">INDEX(Annahmen!$B$97:$F$97,AG$12)+(AG$7-INDEX(Annahmen!$B$80:$F$80,AG$12))*(INDEX(Annahmen!$B$97:$F$97,AG$12+1)-INDEX(Annahmen!$B$97:$F$97,AG$12))/(INDEX(Annahmen!$B$80:$F$80,AG$12+1)-INDEX(Annahmen!$B$80:$F$80,AG$12))</f>
        <v>2479.93475652446</v>
      </c>
      <c r="AH27" s="64" t="n">
        <f aca="false">INDEX(Annahmen!$B$97:$F$97,AH$12)+(AH$7-INDEX(Annahmen!$B$80:$F$80,AH$12))*(INDEX(Annahmen!$B$97:$F$97,AH$12+1)-INDEX(Annahmen!$B$97:$F$97,AH$12))/(INDEX(Annahmen!$B$80:$F$80,AH$12+1)-INDEX(Annahmen!$B$80:$F$80,AH$12))</f>
        <v>2652.70755598958</v>
      </c>
      <c r="AI27" s="64" t="n">
        <f aca="false">INDEX(Annahmen!$B$97:$F$97,AI$12)+(AI$7-INDEX(Annahmen!$B$80:$F$80,AI$12))*(INDEX(Annahmen!$B$97:$F$97,AI$12+1)-INDEX(Annahmen!$B$97:$F$97,AI$12))/(INDEX(Annahmen!$B$80:$F$80,AI$12+1)-INDEX(Annahmen!$B$80:$F$80,AI$12))</f>
        <v>2830.55360160134</v>
      </c>
      <c r="AJ27" s="64" t="n">
        <f aca="false">INDEX(Annahmen!$B$97:$F$97,AJ$12)+(AJ$7-INDEX(Annahmen!$B$80:$F$80,AJ$12))*(INDEX(Annahmen!$B$97:$F$97,AJ$12+1)-INDEX(Annahmen!$B$97:$F$97,AJ$12))/(INDEX(Annahmen!$B$80:$F$80,AJ$12+1)-INDEX(Annahmen!$B$80:$F$80,AJ$12))</f>
        <v>3013.09118668056</v>
      </c>
      <c r="AK27" s="64" t="n">
        <f aca="false">INDEX(Annahmen!$B$97:$F$97,AK$12)+(AK$7-INDEX(Annahmen!$B$80:$F$80,AK$12))*(INDEX(Annahmen!$B$97:$F$97,AK$12+1)-INDEX(Annahmen!$B$97:$F$97,AK$12))/(INDEX(Annahmen!$B$80:$F$80,AK$12+1)-INDEX(Annahmen!$B$80:$F$80,AK$12))</f>
        <v>3200</v>
      </c>
    </row>
    <row r="28" customFormat="false" ht="16.5" hidden="false" customHeight="true" outlineLevel="0" collapsed="false">
      <c r="A28" s="14" t="s">
        <v>328</v>
      </c>
      <c r="B28" s="64" t="n">
        <f aca="false">IF(B5&gt;=Annahmen!$D$145,B8*Annahmen!$D$144/12,0)</f>
        <v>166.666666666667</v>
      </c>
      <c r="C28" s="64" t="n">
        <f aca="false">IF(C5&gt;=Annahmen!$D$145,C8*Annahmen!$D$144/12,0)</f>
        <v>166.666666666667</v>
      </c>
      <c r="D28" s="64" t="n">
        <f aca="false">IF(D5&gt;=Annahmen!$D$145,D8*Annahmen!$D$144/12,0)</f>
        <v>166.666666666667</v>
      </c>
      <c r="E28" s="64" t="n">
        <f aca="false">IF(E5&gt;=Annahmen!$D$145,E8*Annahmen!$D$144/12,0)</f>
        <v>166.666666666667</v>
      </c>
      <c r="F28" s="64" t="n">
        <f aca="false">IF(F5&gt;=Annahmen!$D$145,F8*Annahmen!$D$144/12,0)</f>
        <v>166.666666666667</v>
      </c>
      <c r="G28" s="64" t="n">
        <f aca="false">IF(G5&gt;=Annahmen!$D$145,G8*Annahmen!$D$144/12,0)</f>
        <v>166.666666666667</v>
      </c>
      <c r="H28" s="64" t="n">
        <f aca="false">IF(H5&gt;=Annahmen!$D$145,H8*Annahmen!$D$144/12,0)</f>
        <v>166.666666666667</v>
      </c>
      <c r="I28" s="64" t="n">
        <f aca="false">IF(I5&gt;=Annahmen!$D$145,I8*Annahmen!$D$144/12,0)</f>
        <v>166.666666666667</v>
      </c>
      <c r="J28" s="64" t="n">
        <f aca="false">IF(J5&gt;=Annahmen!$D$145,J8*Annahmen!$D$144/12,0)</f>
        <v>166.666666666667</v>
      </c>
      <c r="K28" s="64" t="n">
        <f aca="false">IF(K5&gt;=Annahmen!$D$145,K8*Annahmen!$D$144/12,0)</f>
        <v>166.666666666667</v>
      </c>
      <c r="L28" s="64" t="n">
        <f aca="false">IF(L5&gt;=Annahmen!$D$145,L8*Annahmen!$D$144/12,0)</f>
        <v>166.666666666667</v>
      </c>
      <c r="M28" s="64" t="n">
        <f aca="false">IF(M5&gt;=Annahmen!$D$145,M8*Annahmen!$D$144/12,0)</f>
        <v>166.666666666667</v>
      </c>
      <c r="N28" s="64" t="n">
        <f aca="false">IF(N5&gt;=Annahmen!$D$145,N8*Annahmen!$D$144/12,0)</f>
        <v>500</v>
      </c>
      <c r="O28" s="64" t="n">
        <f aca="false">IF(O5&gt;=Annahmen!$D$145,O8*Annahmen!$D$144/12,0)</f>
        <v>500</v>
      </c>
      <c r="P28" s="64" t="n">
        <f aca="false">IF(P5&gt;=Annahmen!$D$145,P8*Annahmen!$D$144/12,0)</f>
        <v>500</v>
      </c>
      <c r="Q28" s="64" t="n">
        <f aca="false">IF(Q5&gt;=Annahmen!$D$145,Q8*Annahmen!$D$144/12,0)</f>
        <v>500</v>
      </c>
      <c r="R28" s="64" t="n">
        <f aca="false">IF(R5&gt;=Annahmen!$D$145,R8*Annahmen!$D$144/12,0)</f>
        <v>500</v>
      </c>
      <c r="S28" s="64" t="n">
        <f aca="false">IF(S5&gt;=Annahmen!$D$145,S8*Annahmen!$D$144/12,0)</f>
        <v>500</v>
      </c>
      <c r="T28" s="64" t="n">
        <f aca="false">IF(T5&gt;=Annahmen!$D$145,T8*Annahmen!$D$144/12,0)</f>
        <v>500</v>
      </c>
      <c r="U28" s="64" t="n">
        <f aca="false">IF(U5&gt;=Annahmen!$D$145,U8*Annahmen!$D$144/12,0)</f>
        <v>500</v>
      </c>
      <c r="V28" s="64" t="n">
        <f aca="false">IF(V5&gt;=Annahmen!$D$145,V8*Annahmen!$D$144/12,0)</f>
        <v>500</v>
      </c>
      <c r="W28" s="64" t="n">
        <f aca="false">IF(W5&gt;=Annahmen!$D$145,W8*Annahmen!$D$144/12,0)</f>
        <v>500</v>
      </c>
      <c r="X28" s="64" t="n">
        <f aca="false">IF(X5&gt;=Annahmen!$D$145,X8*Annahmen!$D$144/12,0)</f>
        <v>500</v>
      </c>
      <c r="Y28" s="64" t="n">
        <f aca="false">IF(Y5&gt;=Annahmen!$D$145,Y8*Annahmen!$D$144/12,0)</f>
        <v>500</v>
      </c>
      <c r="Z28" s="64" t="n">
        <f aca="false">IF(Z5&gt;=Annahmen!$D$145,Z8*Annahmen!$D$144/12,0)</f>
        <v>1000</v>
      </c>
      <c r="AA28" s="64" t="n">
        <f aca="false">IF(AA5&gt;=Annahmen!$D$145,AA8*Annahmen!$D$144/12,0)</f>
        <v>1000</v>
      </c>
      <c r="AB28" s="64" t="n">
        <f aca="false">IF(AB5&gt;=Annahmen!$D$145,AB8*Annahmen!$D$144/12,0)</f>
        <v>1000</v>
      </c>
      <c r="AC28" s="64" t="n">
        <f aca="false">IF(AC5&gt;=Annahmen!$D$145,AC8*Annahmen!$D$144/12,0)</f>
        <v>1000</v>
      </c>
      <c r="AD28" s="64" t="n">
        <f aca="false">IF(AD5&gt;=Annahmen!$D$145,AD8*Annahmen!$D$144/12,0)</f>
        <v>1000</v>
      </c>
      <c r="AE28" s="64" t="n">
        <f aca="false">IF(AE5&gt;=Annahmen!$D$145,AE8*Annahmen!$D$144/12,0)</f>
        <v>1000</v>
      </c>
      <c r="AF28" s="64" t="n">
        <f aca="false">IF(AF5&gt;=Annahmen!$D$145,AF8*Annahmen!$D$144/12,0)</f>
        <v>1000</v>
      </c>
      <c r="AG28" s="64" t="n">
        <f aca="false">IF(AG5&gt;=Annahmen!$D$145,AG8*Annahmen!$D$144/12,0)</f>
        <v>1000</v>
      </c>
      <c r="AH28" s="64" t="n">
        <f aca="false">IF(AH5&gt;=Annahmen!$D$145,AH8*Annahmen!$D$144/12,0)</f>
        <v>1000</v>
      </c>
      <c r="AI28" s="64" t="n">
        <f aca="false">IF(AI5&gt;=Annahmen!$D$145,AI8*Annahmen!$D$144/12,0)</f>
        <v>1000</v>
      </c>
      <c r="AJ28" s="64" t="n">
        <f aca="false">IF(AJ5&gt;=Annahmen!$D$145,AJ8*Annahmen!$D$144/12,0)</f>
        <v>1000</v>
      </c>
      <c r="AK28" s="64" t="n">
        <f aca="false">IF(AK5&gt;=Annahmen!$D$145,AK8*Annahmen!$D$144/12,0)</f>
        <v>1000</v>
      </c>
    </row>
    <row r="29" customFormat="false" ht="16.5" hidden="false" customHeight="true" outlineLevel="0" collapsed="false">
      <c r="A29" s="14" t="s">
        <v>329</v>
      </c>
      <c r="B29" s="64" t="n">
        <f aca="false">IF(B5=Annahmen!$D$136,Annahmen!$D$135,0)+IF(B5=Annahmen!$D$138,Annahmen!$D$137,0)+IF(B5=Annahmen!$D$140,Annahmen!$D$139,0)</f>
        <v>3500</v>
      </c>
      <c r="C29" s="64" t="n">
        <f aca="false">IF(C5=Annahmen!$D$136,Annahmen!$D$135,0)+IF(C5=Annahmen!$D$138,Annahmen!$D$137,0)+IF(C5=Annahmen!$D$140,Annahmen!$D$139,0)</f>
        <v>0</v>
      </c>
      <c r="D29" s="64" t="n">
        <f aca="false">IF(D5=Annahmen!$D$136,Annahmen!$D$135,0)+IF(D5=Annahmen!$D$138,Annahmen!$D$137,0)+IF(D5=Annahmen!$D$140,Annahmen!$D$139,0)</f>
        <v>0</v>
      </c>
      <c r="E29" s="64" t="n">
        <f aca="false">IF(E5=Annahmen!$D$136,Annahmen!$D$135,0)+IF(E5=Annahmen!$D$138,Annahmen!$D$137,0)+IF(E5=Annahmen!$D$140,Annahmen!$D$139,0)</f>
        <v>0</v>
      </c>
      <c r="F29" s="64" t="n">
        <f aca="false">IF(F5=Annahmen!$D$136,Annahmen!$D$135,0)+IF(F5=Annahmen!$D$138,Annahmen!$D$137,0)+IF(F5=Annahmen!$D$140,Annahmen!$D$139,0)</f>
        <v>0</v>
      </c>
      <c r="G29" s="64" t="n">
        <f aca="false">IF(G5=Annahmen!$D$136,Annahmen!$D$135,0)+IF(G5=Annahmen!$D$138,Annahmen!$D$137,0)+IF(G5=Annahmen!$D$140,Annahmen!$D$139,0)</f>
        <v>0</v>
      </c>
      <c r="H29" s="64" t="n">
        <f aca="false">IF(H5=Annahmen!$D$136,Annahmen!$D$135,0)+IF(H5=Annahmen!$D$138,Annahmen!$D$137,0)+IF(H5=Annahmen!$D$140,Annahmen!$D$139,0)</f>
        <v>0</v>
      </c>
      <c r="I29" s="64" t="n">
        <f aca="false">IF(I5=Annahmen!$D$136,Annahmen!$D$135,0)+IF(I5=Annahmen!$D$138,Annahmen!$D$137,0)+IF(I5=Annahmen!$D$140,Annahmen!$D$139,0)</f>
        <v>0</v>
      </c>
      <c r="J29" s="64" t="n">
        <f aca="false">IF(J5=Annahmen!$D$136,Annahmen!$D$135,0)+IF(J5=Annahmen!$D$138,Annahmen!$D$137,0)+IF(J5=Annahmen!$D$140,Annahmen!$D$139,0)</f>
        <v>0</v>
      </c>
      <c r="K29" s="64" t="n">
        <f aca="false">IF(K5=Annahmen!$D$136,Annahmen!$D$135,0)+IF(K5=Annahmen!$D$138,Annahmen!$D$137,0)+IF(K5=Annahmen!$D$140,Annahmen!$D$139,0)</f>
        <v>0</v>
      </c>
      <c r="L29" s="64" t="n">
        <f aca="false">IF(L5=Annahmen!$D$136,Annahmen!$D$135,0)+IF(L5=Annahmen!$D$138,Annahmen!$D$137,0)+IF(L5=Annahmen!$D$140,Annahmen!$D$139,0)</f>
        <v>0</v>
      </c>
      <c r="M29" s="64" t="n">
        <f aca="false">IF(M5=Annahmen!$D$136,Annahmen!$D$135,0)+IF(M5=Annahmen!$D$138,Annahmen!$D$137,0)+IF(M5=Annahmen!$D$140,Annahmen!$D$139,0)</f>
        <v>0</v>
      </c>
      <c r="N29" s="64" t="n">
        <f aca="false">IF(N5=Annahmen!$D$136,Annahmen!$D$135,0)+IF(N5=Annahmen!$D$138,Annahmen!$D$137,0)+IF(N5=Annahmen!$D$140,Annahmen!$D$139,0)</f>
        <v>4000</v>
      </c>
      <c r="O29" s="64" t="n">
        <f aca="false">IF(O5=Annahmen!$D$136,Annahmen!$D$135,0)+IF(O5=Annahmen!$D$138,Annahmen!$D$137,0)+IF(O5=Annahmen!$D$140,Annahmen!$D$139,0)</f>
        <v>0</v>
      </c>
      <c r="P29" s="64" t="n">
        <f aca="false">IF(P5=Annahmen!$D$136,Annahmen!$D$135,0)+IF(P5=Annahmen!$D$138,Annahmen!$D$137,0)+IF(P5=Annahmen!$D$140,Annahmen!$D$139,0)</f>
        <v>0</v>
      </c>
      <c r="Q29" s="64" t="n">
        <f aca="false">IF(Q5=Annahmen!$D$136,Annahmen!$D$135,0)+IF(Q5=Annahmen!$D$138,Annahmen!$D$137,0)+IF(Q5=Annahmen!$D$140,Annahmen!$D$139,0)</f>
        <v>0</v>
      </c>
      <c r="R29" s="64" t="n">
        <f aca="false">IF(R5=Annahmen!$D$136,Annahmen!$D$135,0)+IF(R5=Annahmen!$D$138,Annahmen!$D$137,0)+IF(R5=Annahmen!$D$140,Annahmen!$D$139,0)</f>
        <v>0</v>
      </c>
      <c r="S29" s="64" t="n">
        <f aca="false">IF(S5=Annahmen!$D$136,Annahmen!$D$135,0)+IF(S5=Annahmen!$D$138,Annahmen!$D$137,0)+IF(S5=Annahmen!$D$140,Annahmen!$D$139,0)</f>
        <v>0</v>
      </c>
      <c r="T29" s="64" t="n">
        <f aca="false">IF(T5=Annahmen!$D$136,Annahmen!$D$135,0)+IF(T5=Annahmen!$D$138,Annahmen!$D$137,0)+IF(T5=Annahmen!$D$140,Annahmen!$D$139,0)</f>
        <v>0</v>
      </c>
      <c r="U29" s="64" t="n">
        <f aca="false">IF(U5=Annahmen!$D$136,Annahmen!$D$135,0)+IF(U5=Annahmen!$D$138,Annahmen!$D$137,0)+IF(U5=Annahmen!$D$140,Annahmen!$D$139,0)</f>
        <v>0</v>
      </c>
      <c r="V29" s="64" t="n">
        <f aca="false">IF(V5=Annahmen!$D$136,Annahmen!$D$135,0)+IF(V5=Annahmen!$D$138,Annahmen!$D$137,0)+IF(V5=Annahmen!$D$140,Annahmen!$D$139,0)</f>
        <v>0</v>
      </c>
      <c r="W29" s="64" t="n">
        <f aca="false">IF(W5=Annahmen!$D$136,Annahmen!$D$135,0)+IF(W5=Annahmen!$D$138,Annahmen!$D$137,0)+IF(W5=Annahmen!$D$140,Annahmen!$D$139,0)</f>
        <v>0</v>
      </c>
      <c r="X29" s="64" t="n">
        <f aca="false">IF(X5=Annahmen!$D$136,Annahmen!$D$135,0)+IF(X5=Annahmen!$D$138,Annahmen!$D$137,0)+IF(X5=Annahmen!$D$140,Annahmen!$D$139,0)</f>
        <v>0</v>
      </c>
      <c r="Y29" s="64" t="n">
        <f aca="false">IF(Y5=Annahmen!$D$136,Annahmen!$D$135,0)+IF(Y5=Annahmen!$D$138,Annahmen!$D$137,0)+IF(Y5=Annahmen!$D$140,Annahmen!$D$139,0)</f>
        <v>0</v>
      </c>
      <c r="Z29" s="64" t="n">
        <f aca="false">IF(Z5=Annahmen!$D$136,Annahmen!$D$135,0)+IF(Z5=Annahmen!$D$138,Annahmen!$D$137,0)+IF(Z5=Annahmen!$D$140,Annahmen!$D$139,0)</f>
        <v>8000</v>
      </c>
      <c r="AA29" s="64" t="n">
        <f aca="false">IF(AA5=Annahmen!$D$136,Annahmen!$D$135,0)+IF(AA5=Annahmen!$D$138,Annahmen!$D$137,0)+IF(AA5=Annahmen!$D$140,Annahmen!$D$139,0)</f>
        <v>0</v>
      </c>
      <c r="AB29" s="64" t="n">
        <f aca="false">IF(AB5=Annahmen!$D$136,Annahmen!$D$135,0)+IF(AB5=Annahmen!$D$138,Annahmen!$D$137,0)+IF(AB5=Annahmen!$D$140,Annahmen!$D$139,0)</f>
        <v>0</v>
      </c>
      <c r="AC29" s="64" t="n">
        <f aca="false">IF(AC5=Annahmen!$D$136,Annahmen!$D$135,0)+IF(AC5=Annahmen!$D$138,Annahmen!$D$137,0)+IF(AC5=Annahmen!$D$140,Annahmen!$D$139,0)</f>
        <v>0</v>
      </c>
      <c r="AD29" s="64" t="n">
        <f aca="false">IF(AD5=Annahmen!$D$136,Annahmen!$D$135,0)+IF(AD5=Annahmen!$D$138,Annahmen!$D$137,0)+IF(AD5=Annahmen!$D$140,Annahmen!$D$139,0)</f>
        <v>0</v>
      </c>
      <c r="AE29" s="64" t="n">
        <f aca="false">IF(AE5=Annahmen!$D$136,Annahmen!$D$135,0)+IF(AE5=Annahmen!$D$138,Annahmen!$D$137,0)+IF(AE5=Annahmen!$D$140,Annahmen!$D$139,0)</f>
        <v>0</v>
      </c>
      <c r="AF29" s="64" t="n">
        <f aca="false">IF(AF5=Annahmen!$D$136,Annahmen!$D$135,0)+IF(AF5=Annahmen!$D$138,Annahmen!$D$137,0)+IF(AF5=Annahmen!$D$140,Annahmen!$D$139,0)</f>
        <v>0</v>
      </c>
      <c r="AG29" s="64" t="n">
        <f aca="false">IF(AG5=Annahmen!$D$136,Annahmen!$D$135,0)+IF(AG5=Annahmen!$D$138,Annahmen!$D$137,0)+IF(AG5=Annahmen!$D$140,Annahmen!$D$139,0)</f>
        <v>0</v>
      </c>
      <c r="AH29" s="64" t="n">
        <f aca="false">IF(AH5=Annahmen!$D$136,Annahmen!$D$135,0)+IF(AH5=Annahmen!$D$138,Annahmen!$D$137,0)+IF(AH5=Annahmen!$D$140,Annahmen!$D$139,0)</f>
        <v>0</v>
      </c>
      <c r="AI29" s="64" t="n">
        <f aca="false">IF(AI5=Annahmen!$D$136,Annahmen!$D$135,0)+IF(AI5=Annahmen!$D$138,Annahmen!$D$137,0)+IF(AI5=Annahmen!$D$140,Annahmen!$D$139,0)</f>
        <v>0</v>
      </c>
      <c r="AJ29" s="64" t="n">
        <f aca="false">IF(AJ5=Annahmen!$D$136,Annahmen!$D$135,0)+IF(AJ5=Annahmen!$D$138,Annahmen!$D$137,0)+IF(AJ5=Annahmen!$D$140,Annahmen!$D$139,0)</f>
        <v>0</v>
      </c>
      <c r="AK29" s="64" t="n">
        <f aca="false">IF(AK5=Annahmen!$D$136,Annahmen!$D$135,0)+IF(AK5=Annahmen!$D$138,Annahmen!$D$137,0)+IF(AK5=Annahmen!$D$140,Annahmen!$D$139,0)</f>
        <v>0</v>
      </c>
    </row>
    <row r="30" customFormat="false" ht="16.5" hidden="false" customHeight="true" outlineLevel="0" collapsed="false">
      <c r="A30" s="14" t="s">
        <v>330</v>
      </c>
      <c r="B30" s="64" t="n">
        <f aca="false">SUMIF(Annahmen!$C$116:$C$129,B5,Annahmen!$B$116:$B$129)</f>
        <v>26700</v>
      </c>
      <c r="C30" s="64" t="n">
        <f aca="false">SUMIF(Annahmen!$C$116:$C$129,C5,Annahmen!$B$116:$B$129)</f>
        <v>2700</v>
      </c>
      <c r="D30" s="64" t="n">
        <f aca="false">SUMIF(Annahmen!$C$116:$C$129,D5,Annahmen!$B$116:$B$129)</f>
        <v>11500</v>
      </c>
      <c r="E30" s="64" t="n">
        <f aca="false">SUMIF(Annahmen!$C$116:$C$129,E5,Annahmen!$B$116:$B$129)</f>
        <v>4500</v>
      </c>
      <c r="F30" s="64" t="n">
        <f aca="false">SUMIF(Annahmen!$C$116:$C$129,F5,Annahmen!$B$116:$B$129)</f>
        <v>3000</v>
      </c>
      <c r="G30" s="64" t="n">
        <f aca="false">SUMIF(Annahmen!$C$116:$C$129,G5,Annahmen!$B$116:$B$129)</f>
        <v>2000</v>
      </c>
      <c r="H30" s="64" t="n">
        <f aca="false">SUMIF(Annahmen!$C$116:$C$129,H5,Annahmen!$B$116:$B$129)</f>
        <v>0</v>
      </c>
      <c r="I30" s="64" t="n">
        <f aca="false">SUMIF(Annahmen!$C$116:$C$129,I5,Annahmen!$B$116:$B$129)</f>
        <v>5500</v>
      </c>
      <c r="J30" s="64" t="n">
        <f aca="false">SUMIF(Annahmen!$C$116:$C$129,J5,Annahmen!$B$116:$B$129)</f>
        <v>0</v>
      </c>
      <c r="K30" s="64" t="n">
        <f aca="false">SUMIF(Annahmen!$C$116:$C$129,K5,Annahmen!$B$116:$B$129)</f>
        <v>0</v>
      </c>
      <c r="L30" s="64" t="n">
        <f aca="false">SUMIF(Annahmen!$C$116:$C$129,L5,Annahmen!$B$116:$B$129)</f>
        <v>0</v>
      </c>
      <c r="M30" s="64" t="n">
        <f aca="false">SUMIF(Annahmen!$C$116:$C$129,M5,Annahmen!$B$116:$B$129)</f>
        <v>0</v>
      </c>
      <c r="N30" s="64" t="n">
        <f aca="false">SUMIF(Annahmen!$C$116:$C$129,N5,Annahmen!$B$116:$B$129)</f>
        <v>0</v>
      </c>
      <c r="O30" s="64" t="n">
        <f aca="false">SUMIF(Annahmen!$C$116:$C$129,O5,Annahmen!$B$116:$B$129)</f>
        <v>0</v>
      </c>
      <c r="P30" s="64" t="n">
        <f aca="false">SUMIF(Annahmen!$C$116:$C$129,P5,Annahmen!$B$116:$B$129)</f>
        <v>0</v>
      </c>
      <c r="Q30" s="64" t="n">
        <f aca="false">SUMIF(Annahmen!$C$116:$C$129,Q5,Annahmen!$B$116:$B$129)</f>
        <v>0</v>
      </c>
      <c r="R30" s="64" t="n">
        <f aca="false">SUMIF(Annahmen!$C$116:$C$129,R5,Annahmen!$B$116:$B$129)</f>
        <v>0</v>
      </c>
      <c r="S30" s="64" t="n">
        <f aca="false">SUMIF(Annahmen!$C$116:$C$129,S5,Annahmen!$B$116:$B$129)</f>
        <v>0</v>
      </c>
      <c r="T30" s="64" t="n">
        <f aca="false">SUMIF(Annahmen!$C$116:$C$129,T5,Annahmen!$B$116:$B$129)</f>
        <v>0</v>
      </c>
      <c r="U30" s="64" t="n">
        <f aca="false">SUMIF(Annahmen!$C$116:$C$129,U5,Annahmen!$B$116:$B$129)</f>
        <v>0</v>
      </c>
      <c r="V30" s="64" t="n">
        <f aca="false">SUMIF(Annahmen!$C$116:$C$129,V5,Annahmen!$B$116:$B$129)</f>
        <v>0</v>
      </c>
      <c r="W30" s="64" t="n">
        <f aca="false">SUMIF(Annahmen!$C$116:$C$129,W5,Annahmen!$B$116:$B$129)</f>
        <v>0</v>
      </c>
      <c r="X30" s="64" t="n">
        <f aca="false">SUMIF(Annahmen!$C$116:$C$129,X5,Annahmen!$B$116:$B$129)</f>
        <v>0</v>
      </c>
      <c r="Y30" s="64" t="n">
        <f aca="false">SUMIF(Annahmen!$C$116:$C$129,Y5,Annahmen!$B$116:$B$129)</f>
        <v>0</v>
      </c>
      <c r="Z30" s="64" t="n">
        <f aca="false">SUMIF(Annahmen!$C$116:$C$129,Z5,Annahmen!$B$116:$B$129)</f>
        <v>0</v>
      </c>
      <c r="AA30" s="64" t="n">
        <f aca="false">SUMIF(Annahmen!$C$116:$C$129,AA5,Annahmen!$B$116:$B$129)</f>
        <v>0</v>
      </c>
      <c r="AB30" s="64" t="n">
        <f aca="false">SUMIF(Annahmen!$C$116:$C$129,AB5,Annahmen!$B$116:$B$129)</f>
        <v>0</v>
      </c>
      <c r="AC30" s="64" t="n">
        <f aca="false">SUMIF(Annahmen!$C$116:$C$129,AC5,Annahmen!$B$116:$B$129)</f>
        <v>0</v>
      </c>
      <c r="AD30" s="64" t="n">
        <f aca="false">SUMIF(Annahmen!$C$116:$C$129,AD5,Annahmen!$B$116:$B$129)</f>
        <v>0</v>
      </c>
      <c r="AE30" s="64" t="n">
        <f aca="false">SUMIF(Annahmen!$C$116:$C$129,AE5,Annahmen!$B$116:$B$129)</f>
        <v>0</v>
      </c>
      <c r="AF30" s="64" t="n">
        <f aca="false">SUMIF(Annahmen!$C$116:$C$129,AF5,Annahmen!$B$116:$B$129)</f>
        <v>0</v>
      </c>
      <c r="AG30" s="64" t="n">
        <f aca="false">SUMIF(Annahmen!$C$116:$C$129,AG5,Annahmen!$B$116:$B$129)</f>
        <v>0</v>
      </c>
      <c r="AH30" s="64" t="n">
        <f aca="false">SUMIF(Annahmen!$C$116:$C$129,AH5,Annahmen!$B$116:$B$129)</f>
        <v>0</v>
      </c>
      <c r="AI30" s="64" t="n">
        <f aca="false">SUMIF(Annahmen!$C$116:$C$129,AI5,Annahmen!$B$116:$B$129)</f>
        <v>0</v>
      </c>
      <c r="AJ30" s="64" t="n">
        <f aca="false">SUMIF(Annahmen!$C$116:$C$129,AJ5,Annahmen!$B$116:$B$129)</f>
        <v>0</v>
      </c>
      <c r="AK30" s="64" t="n">
        <f aca="false">SUMIF(Annahmen!$C$116:$C$129,AK5,Annahmen!$B$116:$B$129)</f>
        <v>0</v>
      </c>
    </row>
    <row r="31" customFormat="false" ht="16.5" hidden="false" customHeight="true" outlineLevel="0" collapsed="false">
      <c r="A31" s="27" t="s">
        <v>331</v>
      </c>
      <c r="B31" s="65" t="n">
        <f aca="false">SUM(B22:B30)</f>
        <v>31786.6666666667</v>
      </c>
      <c r="C31" s="65" t="n">
        <f aca="false">SUM(C22:C30)</f>
        <v>4711.89494121752</v>
      </c>
      <c r="D31" s="65" t="n">
        <f aca="false">SUM(D22:D30)</f>
        <v>13815.7565383308</v>
      </c>
      <c r="E31" s="65" t="n">
        <f aca="false">SUM(E22:E30)</f>
        <v>7060.64740889195</v>
      </c>
      <c r="F31" s="65" t="n">
        <f aca="false">SUM(F22:F30)</f>
        <v>5797.68764534892</v>
      </c>
      <c r="G31" s="65" t="n">
        <f aca="false">SUM(G22:G30)</f>
        <v>5035.32395838251</v>
      </c>
      <c r="H31" s="65" t="n">
        <f aca="false">SUM(H22:H30)</f>
        <v>3252.82825149969</v>
      </c>
      <c r="I31" s="65" t="n">
        <f aca="false">SUM(I22:I30)</f>
        <v>8970.83831632295</v>
      </c>
      <c r="J31" s="65" t="n">
        <f aca="false">SUM(J22:J30)</f>
        <v>3692.56859928301</v>
      </c>
      <c r="K31" s="65" t="n">
        <f aca="false">SUM(K22:K30)</f>
        <v>3918.31595710781</v>
      </c>
      <c r="L31" s="65" t="n">
        <f aca="false">SUM(L22:L30)</f>
        <v>4217.77532963968</v>
      </c>
      <c r="M31" s="65" t="n">
        <f aca="false">SUM(M22:M30)</f>
        <v>4815.12078221007</v>
      </c>
      <c r="N31" s="65" t="n">
        <f aca="false">SUM(N22:N30)</f>
        <v>10025.7813565771</v>
      </c>
      <c r="O31" s="65" t="n">
        <f aca="false">SUM(O22:O30)</f>
        <v>7454.6774142345</v>
      </c>
      <c r="P31" s="65" t="n">
        <f aca="false">SUM(P22:P30)</f>
        <v>8442.38238809687</v>
      </c>
      <c r="Q31" s="65" t="n">
        <f aca="false">SUM(Q22:Q30)</f>
        <v>9212.91401214573</v>
      </c>
      <c r="R31" s="65" t="n">
        <f aca="false">SUM(R22:R30)</f>
        <v>9987.56845811167</v>
      </c>
      <c r="S31" s="65" t="n">
        <f aca="false">SUM(S22:S30)</f>
        <v>10773.3399141286</v>
      </c>
      <c r="T31" s="65" t="n">
        <f aca="false">SUM(T22:T30)</f>
        <v>11572.7597024425</v>
      </c>
      <c r="U31" s="65" t="n">
        <f aca="false">SUM(U22:U30)</f>
        <v>12386.6836684081</v>
      </c>
      <c r="V31" s="65" t="n">
        <f aca="false">SUM(V22:V30)</f>
        <v>13215.2501854696</v>
      </c>
      <c r="W31" s="65" t="n">
        <f aca="false">SUM(W22:W30)</f>
        <v>14058.2698782345</v>
      </c>
      <c r="X31" s="65" t="n">
        <f aca="false">SUM(X22:X30)</f>
        <v>14915.401994207</v>
      </c>
      <c r="Y31" s="65" t="n">
        <f aca="false">SUM(Y22:Y30)</f>
        <v>15786.2399880832</v>
      </c>
      <c r="Z31" s="65" t="n">
        <f aca="false">SUM(Z22:Z30)</f>
        <v>24424.4692432423</v>
      </c>
      <c r="AA31" s="65" t="n">
        <f aca="false">SUM(AA22:AA30)</f>
        <v>18302.6111963843</v>
      </c>
      <c r="AB31" s="65" t="n">
        <f aca="false">SUM(AB22:AB30)</f>
        <v>19845.9974259866</v>
      </c>
      <c r="AC31" s="65" t="n">
        <f aca="false">SUM(AC22:AC30)</f>
        <v>21353.5592991257</v>
      </c>
      <c r="AD31" s="65" t="n">
        <f aca="false">SUM(AD22:AD30)</f>
        <v>22869.1875629721</v>
      </c>
      <c r="AE31" s="65" t="n">
        <f aca="false">SUM(AE22:AE30)</f>
        <v>24406.5664986573</v>
      </c>
      <c r="AF31" s="65" t="n">
        <f aca="false">SUM(AF22:AF30)</f>
        <v>25970.6486931846</v>
      </c>
      <c r="AG31" s="65" t="n">
        <f aca="false">SUM(AG22:AG30)</f>
        <v>27563.1086265955</v>
      </c>
      <c r="AH31" s="65" t="n">
        <f aca="false">SUM(AH22:AH30)</f>
        <v>29184.2170295419</v>
      </c>
      <c r="AI31" s="65" t="n">
        <f aca="false">SUM(AI22:AI30)</f>
        <v>30833.6033849516</v>
      </c>
      <c r="AJ31" s="65" t="n">
        <f aca="false">SUM(AJ22:AJ30)</f>
        <v>32510.6010031587</v>
      </c>
      <c r="AK31" s="65" t="n">
        <f aca="false">SUM(AK22:AK30)</f>
        <v>34214.4144694382</v>
      </c>
    </row>
    <row r="33" customFormat="false" ht="16.5" hidden="false" customHeight="true" outlineLevel="0" collapsed="false">
      <c r="A33" s="27" t="s">
        <v>332</v>
      </c>
      <c r="B33" s="67" t="n">
        <f aca="false">B19-B31</f>
        <v>-31786.6666666667</v>
      </c>
      <c r="C33" s="67" t="n">
        <f aca="false">C19-C31</f>
        <v>-4711.89494121752</v>
      </c>
      <c r="D33" s="67" t="n">
        <f aca="false">D19-D31</f>
        <v>-13815.7565383308</v>
      </c>
      <c r="E33" s="67" t="n">
        <f aca="false">E19-E31</f>
        <v>-7060.64740889195</v>
      </c>
      <c r="F33" s="67" t="n">
        <f aca="false">F19-F31</f>
        <v>-5797.68764534892</v>
      </c>
      <c r="G33" s="67" t="n">
        <f aca="false">G19-G31</f>
        <v>-5035.32395838251</v>
      </c>
      <c r="H33" s="67" t="n">
        <f aca="false">H19-H31</f>
        <v>-3252.82825149969</v>
      </c>
      <c r="I33" s="67" t="n">
        <f aca="false">I19-I31</f>
        <v>-8970.83831632295</v>
      </c>
      <c r="J33" s="67" t="n">
        <f aca="false">J19-J31</f>
        <v>-3692.56859928301</v>
      </c>
      <c r="K33" s="67" t="n">
        <f aca="false">K19-K31</f>
        <v>-3918.31595710781</v>
      </c>
      <c r="L33" s="67" t="n">
        <f aca="false">L19-L31</f>
        <v>-2098.19078701428</v>
      </c>
      <c r="M33" s="67" t="n">
        <f aca="false">M19-M31</f>
        <v>-2309.80559231488</v>
      </c>
      <c r="N33" s="67" t="n">
        <f aca="false">N19-N31</f>
        <v>-6615.0486821868</v>
      </c>
      <c r="O33" s="67" t="n">
        <f aca="false">O19-O31</f>
        <v>-3110.53125948969</v>
      </c>
      <c r="P33" s="67" t="n">
        <f aca="false">P19-P31</f>
        <v>-2587.82079173405</v>
      </c>
      <c r="Q33" s="67" t="n">
        <f aca="false">Q19-Q31</f>
        <v>-2429.18039727203</v>
      </c>
      <c r="R33" s="67" t="n">
        <f aca="false">R19-R31</f>
        <v>-2171.81768438152</v>
      </c>
      <c r="S33" s="67" t="n">
        <f aca="false">S19-S31</f>
        <v>-1826.42403530005</v>
      </c>
      <c r="T33" s="67" t="n">
        <f aca="false">T19-T31</f>
        <v>-1397.56003687959</v>
      </c>
      <c r="U33" s="67" t="n">
        <f aca="false">U19-U31</f>
        <v>-86.1825286511466</v>
      </c>
      <c r="V33" s="67" t="n">
        <f aca="false">V19-V31</f>
        <v>505.03041495218</v>
      </c>
      <c r="W33" s="67" t="n">
        <f aca="false">W19-W31</f>
        <v>1177.08773660295</v>
      </c>
      <c r="X33" s="67" t="n">
        <f aca="false">X19-X31</f>
        <v>1930.38925609866</v>
      </c>
      <c r="Y33" s="67" t="n">
        <f aca="false">Y19-Y31</f>
        <v>2765.56502867828</v>
      </c>
      <c r="Z33" s="67" t="n">
        <f aca="false">Z19-Z31</f>
        <v>-2413.49091281531</v>
      </c>
      <c r="AA33" s="67" t="n">
        <f aca="false">AA19-AA31</f>
        <v>5746.46091674347</v>
      </c>
      <c r="AB33" s="67" t="n">
        <f aca="false">AB19-AB31</f>
        <v>6553.54522262538</v>
      </c>
      <c r="AC33" s="67" t="n">
        <f aca="false">AC19-AC31</f>
        <v>7659.65209154085</v>
      </c>
      <c r="AD33" s="67" t="n">
        <f aca="false">AD19-AD31</f>
        <v>8997.54759724506</v>
      </c>
      <c r="AE33" s="67" t="n">
        <f aca="false">AE19-AE31</f>
        <v>10540.3514624824</v>
      </c>
      <c r="AF33" s="67" t="n">
        <f aca="false">AF19-AF31</f>
        <v>12274.978781392</v>
      </c>
      <c r="AG33" s="67" t="n">
        <f aca="false">AG19-AG31</f>
        <v>14194.5068142988</v>
      </c>
      <c r="AH33" s="67" t="n">
        <f aca="false">AH19-AH31</f>
        <v>15445.693165276</v>
      </c>
      <c r="AI33" s="67" t="n">
        <f aca="false">AI19-AI31</f>
        <v>16752.9427236103</v>
      </c>
      <c r="AJ33" s="67" t="n">
        <f aca="false">AJ19-AJ31</f>
        <v>18110.5764226017</v>
      </c>
      <c r="AK33" s="67" t="n">
        <f aca="false">AK19-AK31</f>
        <v>19514.0646011501</v>
      </c>
    </row>
    <row r="34" customFormat="false" ht="16.5" hidden="false" customHeight="true" outlineLevel="0" collapsed="false">
      <c r="A34" s="27" t="s">
        <v>333</v>
      </c>
      <c r="B34" s="68" t="n">
        <f aca="false">B33</f>
        <v>-31786.6666666667</v>
      </c>
      <c r="C34" s="68" t="n">
        <f aca="false">B34+C33</f>
        <v>-36498.5616078842</v>
      </c>
      <c r="D34" s="68" t="n">
        <f aca="false">C34+D33</f>
        <v>-50314.318146215</v>
      </c>
      <c r="E34" s="68" t="n">
        <f aca="false">D34+E33</f>
        <v>-57374.965555107</v>
      </c>
      <c r="F34" s="68" t="n">
        <f aca="false">E34+F33</f>
        <v>-63172.6532004559</v>
      </c>
      <c r="G34" s="68" t="n">
        <f aca="false">F34+G33</f>
        <v>-68207.9771588384</v>
      </c>
      <c r="H34" s="68" t="n">
        <f aca="false">G34+H33</f>
        <v>-71460.8054103381</v>
      </c>
      <c r="I34" s="68" t="n">
        <f aca="false">H34+I33</f>
        <v>-80431.643726661</v>
      </c>
      <c r="J34" s="68" t="n">
        <f aca="false">I34+J33</f>
        <v>-84124.212325944</v>
      </c>
      <c r="K34" s="68" t="n">
        <f aca="false">J34+K33</f>
        <v>-88042.5282830518</v>
      </c>
      <c r="L34" s="68" t="n">
        <f aca="false">K34+L33</f>
        <v>-90140.7190700661</v>
      </c>
      <c r="M34" s="68" t="n">
        <f aca="false">L34+M33</f>
        <v>-92450.524662381</v>
      </c>
      <c r="N34" s="68" t="n">
        <f aca="false">M34+N33</f>
        <v>-99065.5733445678</v>
      </c>
      <c r="O34" s="68" t="n">
        <f aca="false">N34+O33</f>
        <v>-102176.104604057</v>
      </c>
      <c r="P34" s="68" t="n">
        <f aca="false">O34+P33</f>
        <v>-104763.925395792</v>
      </c>
      <c r="Q34" s="68" t="n">
        <f aca="false">P34+Q33</f>
        <v>-107193.105793064</v>
      </c>
      <c r="R34" s="68" t="n">
        <f aca="false">Q34+R33</f>
        <v>-109364.923477445</v>
      </c>
      <c r="S34" s="68" t="n">
        <f aca="false">R34+S33</f>
        <v>-111191.347512745</v>
      </c>
      <c r="T34" s="68" t="n">
        <f aca="false">S34+T33</f>
        <v>-112588.907549625</v>
      </c>
      <c r="U34" s="68" t="n">
        <f aca="false">T34+U33</f>
        <v>-112675.090078276</v>
      </c>
      <c r="V34" s="68" t="n">
        <f aca="false">U34+V33</f>
        <v>-112170.059663324</v>
      </c>
      <c r="W34" s="68" t="n">
        <f aca="false">V34+W33</f>
        <v>-110992.971926721</v>
      </c>
      <c r="X34" s="68" t="n">
        <f aca="false">W34+X33</f>
        <v>-109062.582670622</v>
      </c>
      <c r="Y34" s="68" t="n">
        <f aca="false">X34+Y33</f>
        <v>-106297.017641944</v>
      </c>
      <c r="Z34" s="68" t="n">
        <f aca="false">Y34+Z33</f>
        <v>-108710.508554759</v>
      </c>
      <c r="AA34" s="68" t="n">
        <f aca="false">Z34+AA33</f>
        <v>-102964.047638016</v>
      </c>
      <c r="AB34" s="68" t="n">
        <f aca="false">AA34+AB33</f>
        <v>-96410.5024153902</v>
      </c>
      <c r="AC34" s="68" t="n">
        <f aca="false">AB34+AC33</f>
        <v>-88750.8503238494</v>
      </c>
      <c r="AD34" s="68" t="n">
        <f aca="false">AC34+AD33</f>
        <v>-79753.3027266043</v>
      </c>
      <c r="AE34" s="68" t="n">
        <f aca="false">AD34+AE33</f>
        <v>-69212.9512641219</v>
      </c>
      <c r="AF34" s="68" t="n">
        <f aca="false">AE34+AF33</f>
        <v>-56937.97248273</v>
      </c>
      <c r="AG34" s="68" t="n">
        <f aca="false">AF34+AG33</f>
        <v>-42743.4656684311</v>
      </c>
      <c r="AH34" s="68" t="n">
        <f aca="false">AG34+AH33</f>
        <v>-27297.7725031551</v>
      </c>
      <c r="AI34" s="68" t="n">
        <f aca="false">AH34+AI33</f>
        <v>-10544.8297795448</v>
      </c>
      <c r="AJ34" s="68" t="n">
        <f aca="false">AI34+AJ33</f>
        <v>7565.74664305689</v>
      </c>
      <c r="AK34" s="68" t="n">
        <f aca="false">AJ34+AK33</f>
        <v>27079.811244207</v>
      </c>
    </row>
    <row r="36" customFormat="false" ht="16.5" hidden="false" customHeight="true" outlineLevel="0" collapsed="false">
      <c r="A36" s="14" t="s">
        <v>334</v>
      </c>
      <c r="B36" s="64" t="n">
        <f aca="false">Annahmen!$B$154*Annahmen!$B$155</f>
        <v>400</v>
      </c>
      <c r="C36" s="64" t="n">
        <f aca="false">B36+Annahmen!$B$154*Annahmen!$B$155</f>
        <v>800</v>
      </c>
      <c r="D36" s="64" t="n">
        <f aca="false">C36+Annahmen!$B$154*Annahmen!$B$155</f>
        <v>1200</v>
      </c>
      <c r="E36" s="64" t="n">
        <f aca="false">D36+Annahmen!$B$154*Annahmen!$B$155</f>
        <v>1600</v>
      </c>
      <c r="F36" s="64" t="n">
        <f aca="false">E36+Annahmen!$B$154*Annahmen!$B$155</f>
        <v>2000</v>
      </c>
      <c r="G36" s="64" t="n">
        <f aca="false">F36+Annahmen!$B$154*Annahmen!$B$155</f>
        <v>2400</v>
      </c>
      <c r="H36" s="64" t="n">
        <f aca="false">G36+Annahmen!$B$154*Annahmen!$B$155</f>
        <v>2800</v>
      </c>
      <c r="I36" s="64" t="n">
        <f aca="false">H36+Annahmen!$B$154*Annahmen!$B$155</f>
        <v>3200</v>
      </c>
      <c r="J36" s="64" t="n">
        <f aca="false">I36+Annahmen!$B$154*Annahmen!$B$155</f>
        <v>3600</v>
      </c>
      <c r="K36" s="64" t="n">
        <f aca="false">J36+Annahmen!$B$154*Annahmen!$B$155</f>
        <v>4000</v>
      </c>
      <c r="L36" s="64" t="n">
        <f aca="false">K36+Annahmen!$B$154*Annahmen!$B$155</f>
        <v>4400</v>
      </c>
      <c r="M36" s="64" t="n">
        <f aca="false">L36+Annahmen!$B$154*Annahmen!$B$155</f>
        <v>4800</v>
      </c>
      <c r="N36" s="64" t="n">
        <f aca="false">M36+Annahmen!$B$154*Annahmen!$B$155</f>
        <v>5200</v>
      </c>
      <c r="O36" s="64" t="n">
        <f aca="false">N36+Annahmen!$B$154*Annahmen!$B$155</f>
        <v>5600</v>
      </c>
      <c r="P36" s="64" t="n">
        <f aca="false">O36+Annahmen!$B$154*Annahmen!$B$155</f>
        <v>6000</v>
      </c>
      <c r="Q36" s="64" t="n">
        <f aca="false">P36+Annahmen!$B$154*Annahmen!$B$155</f>
        <v>6400</v>
      </c>
      <c r="R36" s="64" t="n">
        <f aca="false">Q36+Annahmen!$B$154*Annahmen!$B$155</f>
        <v>6800</v>
      </c>
      <c r="S36" s="64" t="n">
        <f aca="false">R36+Annahmen!$B$154*Annahmen!$B$155</f>
        <v>7200</v>
      </c>
      <c r="T36" s="64" t="n">
        <f aca="false">S36+Annahmen!$B$154*Annahmen!$B$155</f>
        <v>7600</v>
      </c>
      <c r="U36" s="64" t="n">
        <f aca="false">T36+Annahmen!$B$154*Annahmen!$B$155</f>
        <v>8000</v>
      </c>
      <c r="V36" s="64" t="n">
        <f aca="false">U36+Annahmen!$B$154*Annahmen!$B$155</f>
        <v>8400</v>
      </c>
      <c r="W36" s="64" t="n">
        <f aca="false">V36+Annahmen!$B$154*Annahmen!$B$155</f>
        <v>8800</v>
      </c>
      <c r="X36" s="64" t="n">
        <f aca="false">W36+Annahmen!$B$154*Annahmen!$B$155</f>
        <v>9200</v>
      </c>
      <c r="Y36" s="64" t="n">
        <f aca="false">X36+Annahmen!$B$154*Annahmen!$B$155</f>
        <v>9600</v>
      </c>
      <c r="Z36" s="64" t="n">
        <f aca="false">Y36+Annahmen!$B$154*Annahmen!$B$155</f>
        <v>10000</v>
      </c>
      <c r="AA36" s="64" t="n">
        <f aca="false">Z36+Annahmen!$B$154*Annahmen!$B$155</f>
        <v>10400</v>
      </c>
      <c r="AB36" s="64" t="n">
        <f aca="false">AA36+Annahmen!$B$154*Annahmen!$B$155</f>
        <v>10800</v>
      </c>
      <c r="AC36" s="64" t="n">
        <f aca="false">AB36+Annahmen!$B$154*Annahmen!$B$155</f>
        <v>11200</v>
      </c>
      <c r="AD36" s="64" t="n">
        <f aca="false">AC36+Annahmen!$B$154*Annahmen!$B$155</f>
        <v>11600</v>
      </c>
      <c r="AE36" s="64" t="n">
        <f aca="false">AD36+Annahmen!$B$154*Annahmen!$B$155</f>
        <v>12000</v>
      </c>
      <c r="AF36" s="64" t="n">
        <f aca="false">AE36+Annahmen!$B$154*Annahmen!$B$155</f>
        <v>12400</v>
      </c>
      <c r="AG36" s="64" t="n">
        <f aca="false">AF36+Annahmen!$B$154*Annahmen!$B$155</f>
        <v>12800</v>
      </c>
      <c r="AH36" s="64" t="n">
        <f aca="false">AG36+Annahmen!$B$154*Annahmen!$B$155</f>
        <v>13200</v>
      </c>
      <c r="AI36" s="64" t="n">
        <f aca="false">AH36+Annahmen!$B$154*Annahmen!$B$155</f>
        <v>13600</v>
      </c>
      <c r="AJ36" s="64" t="n">
        <f aca="false">AI36+Annahmen!$B$154*Annahmen!$B$155</f>
        <v>14000</v>
      </c>
      <c r="AK36" s="64" t="n">
        <f aca="false">AJ36+Annahmen!$B$154*Annahmen!$B$155</f>
        <v>14400</v>
      </c>
    </row>
    <row r="37" customFormat="false" ht="16.5" hidden="false" customHeight="true" outlineLevel="0" collapsed="false">
      <c r="A37" s="14" t="s">
        <v>335</v>
      </c>
      <c r="B37" s="64" t="n">
        <f aca="false">Annahmen!$B$156*Annahmen!$B$155</f>
        <v>2200</v>
      </c>
      <c r="C37" s="64" t="n">
        <f aca="false">B37+Annahmen!$B$156*Annahmen!$B$155</f>
        <v>4400</v>
      </c>
      <c r="D37" s="64" t="n">
        <f aca="false">C37+Annahmen!$B$156*Annahmen!$B$155</f>
        <v>6600</v>
      </c>
      <c r="E37" s="64" t="n">
        <f aca="false">D37+Annahmen!$B$156*Annahmen!$B$155</f>
        <v>8800</v>
      </c>
      <c r="F37" s="64" t="n">
        <f aca="false">E37+Annahmen!$B$156*Annahmen!$B$155</f>
        <v>11000</v>
      </c>
      <c r="G37" s="64" t="n">
        <f aca="false">F37+Annahmen!$B$156*Annahmen!$B$155</f>
        <v>13200</v>
      </c>
      <c r="H37" s="64" t="n">
        <f aca="false">G37+Annahmen!$B$156*Annahmen!$B$155</f>
        <v>15400</v>
      </c>
      <c r="I37" s="64" t="n">
        <f aca="false">H37+Annahmen!$B$156*Annahmen!$B$155</f>
        <v>17600</v>
      </c>
      <c r="J37" s="64" t="n">
        <f aca="false">I37+Annahmen!$B$156*Annahmen!$B$155</f>
        <v>19800</v>
      </c>
      <c r="K37" s="64" t="n">
        <f aca="false">J37+Annahmen!$B$156*Annahmen!$B$155</f>
        <v>22000</v>
      </c>
      <c r="L37" s="64" t="n">
        <f aca="false">K37+Annahmen!$B$156*Annahmen!$B$155</f>
        <v>24200</v>
      </c>
      <c r="M37" s="64" t="n">
        <f aca="false">L37+Annahmen!$B$156*Annahmen!$B$155</f>
        <v>26400</v>
      </c>
      <c r="N37" s="64" t="n">
        <f aca="false">M37+Annahmen!$B$156*Annahmen!$B$155</f>
        <v>28600</v>
      </c>
      <c r="O37" s="64" t="n">
        <f aca="false">N37+Annahmen!$B$156*Annahmen!$B$155</f>
        <v>30800</v>
      </c>
      <c r="P37" s="64" t="n">
        <f aca="false">O37+Annahmen!$B$156*Annahmen!$B$155</f>
        <v>33000</v>
      </c>
      <c r="Q37" s="64" t="n">
        <f aca="false">P37+Annahmen!$B$156*Annahmen!$B$155</f>
        <v>35200</v>
      </c>
      <c r="R37" s="64" t="n">
        <f aca="false">Q37+Annahmen!$B$156*Annahmen!$B$155</f>
        <v>37400</v>
      </c>
      <c r="S37" s="64" t="n">
        <f aca="false">R37+Annahmen!$B$156*Annahmen!$B$155</f>
        <v>39600</v>
      </c>
      <c r="T37" s="64" t="n">
        <f aca="false">S37+Annahmen!$B$156*Annahmen!$B$155</f>
        <v>41800</v>
      </c>
      <c r="U37" s="64" t="n">
        <f aca="false">T37+Annahmen!$B$156*Annahmen!$B$155</f>
        <v>44000</v>
      </c>
      <c r="V37" s="64" t="n">
        <f aca="false">U37+Annahmen!$B$156*Annahmen!$B$155</f>
        <v>46200</v>
      </c>
      <c r="W37" s="64" t="n">
        <f aca="false">V37+Annahmen!$B$156*Annahmen!$B$155</f>
        <v>48400</v>
      </c>
      <c r="X37" s="64" t="n">
        <f aca="false">W37+Annahmen!$B$156*Annahmen!$B$155</f>
        <v>50600</v>
      </c>
      <c r="Y37" s="64" t="n">
        <f aca="false">X37+Annahmen!$B$156*Annahmen!$B$155</f>
        <v>52800</v>
      </c>
      <c r="Z37" s="64" t="n">
        <f aca="false">Y37+Annahmen!$B$156*Annahmen!$B$155</f>
        <v>55000</v>
      </c>
      <c r="AA37" s="64" t="n">
        <f aca="false">Z37+Annahmen!$B$156*Annahmen!$B$155</f>
        <v>57200</v>
      </c>
      <c r="AB37" s="64" t="n">
        <f aca="false">AA37+Annahmen!$B$156*Annahmen!$B$155</f>
        <v>59400</v>
      </c>
      <c r="AC37" s="64" t="n">
        <f aca="false">AB37+Annahmen!$B$156*Annahmen!$B$155</f>
        <v>61600</v>
      </c>
      <c r="AD37" s="64" t="n">
        <f aca="false">AC37+Annahmen!$B$156*Annahmen!$B$155</f>
        <v>63800</v>
      </c>
      <c r="AE37" s="64" t="n">
        <f aca="false">AD37+Annahmen!$B$156*Annahmen!$B$155</f>
        <v>66000</v>
      </c>
      <c r="AF37" s="64" t="n">
        <f aca="false">AE37+Annahmen!$B$156*Annahmen!$B$155</f>
        <v>68200</v>
      </c>
      <c r="AG37" s="64" t="n">
        <f aca="false">AF37+Annahmen!$B$156*Annahmen!$B$155</f>
        <v>70400</v>
      </c>
      <c r="AH37" s="64" t="n">
        <f aca="false">AG37+Annahmen!$B$156*Annahmen!$B$155</f>
        <v>72600</v>
      </c>
      <c r="AI37" s="64" t="n">
        <f aca="false">AH37+Annahmen!$B$156*Annahmen!$B$155</f>
        <v>74800</v>
      </c>
      <c r="AJ37" s="64" t="n">
        <f aca="false">AI37+Annahmen!$B$156*Annahmen!$B$155</f>
        <v>77000</v>
      </c>
      <c r="AK37" s="64" t="n">
        <f aca="false">AJ37+Annahmen!$B$156*Annahmen!$B$155</f>
        <v>79200</v>
      </c>
    </row>
    <row r="39" customFormat="false" ht="15" hidden="false" customHeight="true" outlineLevel="0" collapsed="false">
      <c r="A39" s="69" t="s">
        <v>336</v>
      </c>
    </row>
    <row r="40" customFormat="false" ht="21.75" hidden="false" customHeight="true" outlineLevel="0" collapsed="false">
      <c r="A40" s="10" t="s">
        <v>29</v>
      </c>
      <c r="B40" s="10" t="s">
        <v>337</v>
      </c>
      <c r="C40" s="10" t="s">
        <v>338</v>
      </c>
      <c r="D40" s="10" t="s">
        <v>339</v>
      </c>
      <c r="E40" s="10" t="s">
        <v>340</v>
      </c>
    </row>
    <row r="41" customFormat="false" ht="15" hidden="false" customHeight="true" outlineLevel="0" collapsed="false">
      <c r="A41" s="42" t="s">
        <v>341</v>
      </c>
      <c r="B41" s="70" t="n">
        <f aca="false">AVERAGE(B7:M7)</f>
        <v>6077.65836813247</v>
      </c>
      <c r="C41" s="70" t="n">
        <f aca="false">AVERAGE(N7:Y7)</f>
        <v>36296.1910167178</v>
      </c>
      <c r="D41" s="70" t="n">
        <f aca="false">AVERAGE(Z7:AK7)</f>
        <v>103622.982424013</v>
      </c>
      <c r="E41" s="71" t="n">
        <f aca="false">AVERAGE(B7:AK7)</f>
        <v>48665.6106029545</v>
      </c>
    </row>
    <row r="42" customFormat="false" ht="15" hidden="false" customHeight="true" outlineLevel="0" collapsed="false">
      <c r="A42" s="42" t="s">
        <v>342</v>
      </c>
      <c r="B42" s="70" t="n">
        <f aca="false">AVERAGE(B11:M11)</f>
        <v>50.9841325430027</v>
      </c>
      <c r="C42" s="70" t="n">
        <f aca="false">AVERAGE(N11:Y11)</f>
        <v>1119.52114563064</v>
      </c>
      <c r="D42" s="70" t="n">
        <f aca="false">AVERAGE(Z11:AK11)</f>
        <v>4188.51585262049</v>
      </c>
      <c r="E42" s="71" t="n">
        <f aca="false">AVERAGE(B11:AK11)</f>
        <v>1786.34037693137</v>
      </c>
    </row>
    <row r="43" customFormat="false" ht="15" hidden="false" customHeight="true" outlineLevel="0" collapsed="false">
      <c r="A43" s="42" t="s">
        <v>320</v>
      </c>
      <c r="B43" s="72" t="n">
        <f aca="false">SUM(B19:M19)</f>
        <v>4624.89973252059</v>
      </c>
      <c r="C43" s="72" t="n">
        <f aca="false">SUM(N19:Y19)</f>
        <v>123984.775980577</v>
      </c>
      <c r="D43" s="72" t="n">
        <f aca="false">SUM(Z19:AK19)</f>
        <v>444855.81331939</v>
      </c>
      <c r="E43" s="54" t="n">
        <f aca="false">SUM(B19:AK19)</f>
        <v>573465.489032487</v>
      </c>
    </row>
    <row r="44" customFormat="false" ht="15" hidden="false" customHeight="true" outlineLevel="0" collapsed="false">
      <c r="A44" s="42" t="s">
        <v>331</v>
      </c>
      <c r="B44" s="72" t="n">
        <f aca="false">SUM(B31:M31)</f>
        <v>97075.4243949016</v>
      </c>
      <c r="C44" s="72" t="n">
        <f aca="false">SUM(N31:Y31)</f>
        <v>137831.268960139</v>
      </c>
      <c r="D44" s="72" t="n">
        <f aca="false">SUM(Z31:AK31)</f>
        <v>311478.984433239</v>
      </c>
      <c r="E44" s="54" t="n">
        <f aca="false">SUM(B31:AK31)</f>
        <v>546385.67778828</v>
      </c>
    </row>
    <row r="45" customFormat="false" ht="15" hidden="false" customHeight="true" outlineLevel="0" collapsed="false">
      <c r="A45" s="42" t="s">
        <v>343</v>
      </c>
      <c r="B45" s="72" t="n">
        <f aca="false">SUM(B33:M33)</f>
        <v>-92450.524662381</v>
      </c>
      <c r="C45" s="72" t="n">
        <f aca="false">SUM(N33:Y33)</f>
        <v>-13846.4929795628</v>
      </c>
      <c r="D45" s="72" t="n">
        <f aca="false">SUM(Z33:AK33)</f>
        <v>133376.828886151</v>
      </c>
      <c r="E45" s="54" t="n">
        <f aca="false">SUM(B33:AK33)</f>
        <v>27079.8112442069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4" min="2" style="1" width="18"/>
    <col collapsed="false" customWidth="true" hidden="false" outlineLevel="0" max="5" min="5" style="1" width="90"/>
  </cols>
  <sheetData>
    <row r="1" customFormat="false" ht="19.5" hidden="false" customHeight="true" outlineLevel="0" collapsed="false">
      <c r="A1" s="2" t="s">
        <v>346</v>
      </c>
    </row>
    <row r="2" customFormat="false" ht="25.5" hidden="false" customHeight="true" outlineLevel="0" collapsed="false">
      <c r="A2" s="3" t="s">
        <v>347</v>
      </c>
    </row>
    <row r="4" customFormat="false" ht="15.75" hidden="false" customHeight="true" outlineLevel="0" collapsed="false">
      <c r="A4" s="5" t="s">
        <v>348</v>
      </c>
    </row>
    <row r="5" customFormat="false" ht="25.5" hidden="false" customHeight="true" outlineLevel="0" collapsed="false">
      <c r="A5" s="10" t="s">
        <v>349</v>
      </c>
      <c r="B5" s="10" t="s">
        <v>30</v>
      </c>
      <c r="C5" s="10" t="s">
        <v>31</v>
      </c>
      <c r="D5" s="10" t="s">
        <v>32</v>
      </c>
      <c r="E5" s="10" t="s">
        <v>199</v>
      </c>
    </row>
    <row r="6" customFormat="false" ht="24" hidden="false" customHeight="true" outlineLevel="0" collapsed="false">
      <c r="A6" s="27" t="s">
        <v>350</v>
      </c>
      <c r="B6" s="34" t="n">
        <f aca="false">MIN(Pessimistisch!$B$34:$AK$34)</f>
        <v>-145217.213099853</v>
      </c>
      <c r="C6" s="34" t="n">
        <f aca="false">MIN(Realistisch!$B$34:$AK$34)</f>
        <v>-126877.215041133</v>
      </c>
      <c r="D6" s="34" t="n">
        <f aca="false">MIN(Optimistisch!$B$34:$AK$34)</f>
        <v>-112675.090078276</v>
      </c>
      <c r="E6" s="16" t="s">
        <v>351</v>
      </c>
    </row>
    <row r="7" customFormat="false" ht="24" hidden="false" customHeight="true" outlineLevel="0" collapsed="false">
      <c r="A7" s="14" t="s">
        <v>352</v>
      </c>
      <c r="B7" s="73" t="n">
        <f aca="false">MATCH(MIN(Pessimistisch!$B$34:$AK$34),Pessimistisch!$B$34:$AK$34,0)</f>
        <v>36</v>
      </c>
      <c r="C7" s="73" t="n">
        <f aca="false">MATCH(MIN(Realistisch!$B$34:$AK$34),Realistisch!$B$34:$AK$34,0)</f>
        <v>27</v>
      </c>
      <c r="D7" s="73" t="n">
        <f aca="false">MATCH(MIN(Optimistisch!$B$34:$AK$34),Optimistisch!$B$34:$AK$34,0)</f>
        <v>20</v>
      </c>
      <c r="E7" s="16" t="s">
        <v>353</v>
      </c>
    </row>
    <row r="8" customFormat="false" ht="24" hidden="false" customHeight="true" outlineLevel="0" collapsed="false">
      <c r="A8" s="27" t="s">
        <v>354</v>
      </c>
      <c r="B8" s="15" t="n">
        <f aca="false">IFERROR(MATCH(TRUE(),INDEX(Pessimistisch!$B$33:$AK$33&gt;0,0),0),0)</f>
        <v>0</v>
      </c>
      <c r="C8" s="15" t="n">
        <f aca="false">IFERROR(MATCH(TRUE(),INDEX(Realistisch!$B$33:$AK$33&gt;0,0),0),0)</f>
        <v>28</v>
      </c>
      <c r="D8" s="15" t="n">
        <f aca="false">IFERROR(MATCH(TRUE(),INDEX(Optimistisch!$B$33:$AK$33&gt;0,0),0),0)</f>
        <v>21</v>
      </c>
      <c r="E8" s="16" t="s">
        <v>355</v>
      </c>
    </row>
    <row r="9" customFormat="false" ht="24" hidden="false" customHeight="true" outlineLevel="0" collapsed="false">
      <c r="A9" s="14" t="s">
        <v>356</v>
      </c>
      <c r="B9" s="73" t="n">
        <f aca="false">IFERROR(MATCH(TRUE(),INDEX(Pessimistisch!$B$34:$AK$34&gt;0,0),0),0)</f>
        <v>0</v>
      </c>
      <c r="C9" s="73" t="n">
        <f aca="false">IFERROR(MATCH(TRUE(),INDEX(Realistisch!$B$34:$AK$34&gt;0,0),0),0)</f>
        <v>0</v>
      </c>
      <c r="D9" s="73" t="n">
        <f aca="false">IFERROR(MATCH(TRUE(),INDEX(Optimistisch!$B$34:$AK$34&gt;0,0),0),0)</f>
        <v>35</v>
      </c>
      <c r="E9" s="16" t="s">
        <v>357</v>
      </c>
    </row>
    <row r="11" customFormat="false" ht="15.75" hidden="false" customHeight="true" outlineLevel="0" collapsed="false">
      <c r="A11" s="5" t="s">
        <v>358</v>
      </c>
    </row>
    <row r="12" customFormat="false" ht="25.5" hidden="false" customHeight="true" outlineLevel="0" collapsed="false">
      <c r="A12" s="10" t="s">
        <v>150</v>
      </c>
      <c r="B12" s="10" t="s">
        <v>30</v>
      </c>
      <c r="C12" s="10" t="s">
        <v>31</v>
      </c>
      <c r="D12" s="10" t="s">
        <v>32</v>
      </c>
      <c r="E12" s="10" t="s">
        <v>199</v>
      </c>
    </row>
    <row r="13" customFormat="false" ht="24" hidden="false" customHeight="true" outlineLevel="0" collapsed="false">
      <c r="A13" s="14" t="s">
        <v>359</v>
      </c>
      <c r="B13" s="43" t="n">
        <f aca="false">-MIN(Pessimistisch!$B$34:$AK$34)</f>
        <v>145217.213099853</v>
      </c>
      <c r="C13" s="43" t="n">
        <f aca="false">-MIN(Realistisch!$B$34:$AK$34)</f>
        <v>126877.215041133</v>
      </c>
      <c r="D13" s="43" t="n">
        <f aca="false">-MIN(Optimistisch!$B$34:$AK$34)</f>
        <v>112675.090078276</v>
      </c>
      <c r="E13" s="16" t="s">
        <v>360</v>
      </c>
    </row>
    <row r="14" customFormat="false" ht="24" hidden="false" customHeight="true" outlineLevel="0" collapsed="false">
      <c r="A14" s="14" t="s">
        <v>256</v>
      </c>
      <c r="B14" s="43" t="n">
        <f aca="false">Annahmen!$B$152</f>
        <v>8000</v>
      </c>
      <c r="C14" s="43" t="n">
        <f aca="false">Annahmen!$B$152</f>
        <v>8000</v>
      </c>
      <c r="D14" s="43" t="n">
        <f aca="false">Annahmen!$B$152</f>
        <v>8000</v>
      </c>
      <c r="E14" s="16" t="s">
        <v>361</v>
      </c>
    </row>
    <row r="15" customFormat="false" ht="24" hidden="false" customHeight="true" outlineLevel="0" collapsed="false">
      <c r="A15" s="14" t="s">
        <v>362</v>
      </c>
      <c r="B15" s="43" t="n">
        <f aca="false">-MIN(Pessimistisch!$B$34:$AK$34)*Annahmen!$B$153</f>
        <v>29043.4426199707</v>
      </c>
      <c r="C15" s="43" t="n">
        <f aca="false">-MIN(Realistisch!$B$34:$AK$34)*Annahmen!$B$153</f>
        <v>25375.4430082266</v>
      </c>
      <c r="D15" s="43" t="n">
        <f aca="false">-MIN(Optimistisch!$B$34:$AK$34)*Annahmen!$B$153</f>
        <v>22535.0180156552</v>
      </c>
    </row>
    <row r="16" customFormat="false" ht="24" hidden="false" customHeight="true" outlineLevel="0" collapsed="false">
      <c r="A16" s="27" t="s">
        <v>363</v>
      </c>
      <c r="B16" s="74" t="n">
        <f aca="false">-MIN(Pessimistisch!$B$34:$AK$34)*(1+Annahmen!$B$153)+Annahmen!$B$152</f>
        <v>182260.655719824</v>
      </c>
      <c r="C16" s="74" t="n">
        <f aca="false">-MIN(Realistisch!$B$34:$AK$34)*(1+Annahmen!$B$153)+Annahmen!$B$152</f>
        <v>160252.65804936</v>
      </c>
      <c r="D16" s="74" t="n">
        <f aca="false">-MIN(Optimistisch!$B$34:$AK$34)*(1+Annahmen!$B$153)+Annahmen!$B$152</f>
        <v>143210.108093931</v>
      </c>
      <c r="E16" s="16" t="s">
        <v>364</v>
      </c>
    </row>
    <row r="17" customFormat="false" ht="24" hidden="false" customHeight="true" outlineLevel="0" collapsed="false">
      <c r="A17" s="14" t="s">
        <v>365</v>
      </c>
      <c r="B17" s="75" t="n">
        <f aca="false">Annahmen!$B$154*Annahmen!$B$155*IFERROR(MATCH(TRUE(),INDEX(Pessimistisch!$B$33:$AK$33&gt;0,0),0),36)</f>
        <v>14400</v>
      </c>
      <c r="C17" s="75" t="n">
        <f aca="false">Annahmen!$B$154*Annahmen!$B$155*IFERROR(MATCH(TRUE(),INDEX(Realistisch!$B$33:$AK$33&gt;0,0),0),36)</f>
        <v>11200</v>
      </c>
      <c r="D17" s="75" t="n">
        <f aca="false">Annahmen!$B$154*Annahmen!$B$155*IFERROR(MATCH(TRUE(),INDEX(Optimistisch!$B$33:$AK$33&gt;0,0),0),36)</f>
        <v>8400</v>
      </c>
      <c r="E17" s="16" t="s">
        <v>366</v>
      </c>
    </row>
    <row r="18" customFormat="false" ht="24" hidden="false" customHeight="true" outlineLevel="0" collapsed="false">
      <c r="A18" s="27" t="s">
        <v>367</v>
      </c>
      <c r="B18" s="76" t="n">
        <f aca="false">-MIN(Pessimistisch!$B$34:$AK$34)*(1+Annahmen!$B$153)+Annahmen!$B$152+Annahmen!$B$154*Annahmen!$B$155*IFERROR(MATCH(TRUE(),INDEX(Pessimistisch!$B$33:$AK$33&gt;0,0),0),36)</f>
        <v>196660.655719824</v>
      </c>
      <c r="C18" s="76" t="n">
        <f aca="false">-MIN(Realistisch!$B$34:$AK$34)*(1+Annahmen!$B$153)+Annahmen!$B$152+Annahmen!$B$154*Annahmen!$B$155*IFERROR(MATCH(TRUE(),INDEX(Realistisch!$B$33:$AK$33&gt;0,0),0),36)</f>
        <v>171452.65804936</v>
      </c>
      <c r="D18" s="76" t="n">
        <f aca="false">-MIN(Optimistisch!$B$34:$AK$34)*(1+Annahmen!$B$153)+Annahmen!$B$152+Annahmen!$B$154*Annahmen!$B$155*IFERROR(MATCH(TRUE(),INDEX(Optimistisch!$B$33:$AK$33&gt;0,0),0),36)</f>
        <v>151610.108093931</v>
      </c>
      <c r="E18" s="16" t="s">
        <v>368</v>
      </c>
    </row>
    <row r="19" customFormat="false" ht="30" hidden="false" customHeight="true" outlineLevel="0" collapsed="false">
      <c r="A19" s="14" t="s">
        <v>369</v>
      </c>
      <c r="B19" s="75" t="n">
        <f aca="false">Annahmen!$B$156*Annahmen!$B$155*IFERROR(MATCH(TRUE(),INDEX(Pessimistisch!$B$33:$AK$33&gt;0,0),0),36)</f>
        <v>79200</v>
      </c>
      <c r="C19" s="75" t="n">
        <f aca="false">Annahmen!$B$156*Annahmen!$B$155*IFERROR(MATCH(TRUE(),INDEX(Realistisch!$B$33:$AK$33&gt;0,0),0),36)</f>
        <v>61600</v>
      </c>
      <c r="D19" s="75" t="n">
        <f aca="false">Annahmen!$B$156*Annahmen!$B$155*IFERROR(MATCH(TRUE(),INDEX(Optimistisch!$B$33:$AK$33&gt;0,0),0),36)</f>
        <v>46200</v>
      </c>
      <c r="E19" s="16" t="s">
        <v>370</v>
      </c>
    </row>
    <row r="20" customFormat="false" ht="30" hidden="false" customHeight="true" outlineLevel="0" collapsed="false">
      <c r="A20" s="27" t="s">
        <v>371</v>
      </c>
      <c r="B20" s="74" t="n">
        <f aca="false">B18+B19</f>
        <v>275860.655719824</v>
      </c>
      <c r="C20" s="74" t="n">
        <f aca="false">C18+C19</f>
        <v>233052.65804936</v>
      </c>
      <c r="D20" s="74" t="n">
        <f aca="false">D18+D19</f>
        <v>197810.108093931</v>
      </c>
      <c r="E20" s="16" t="s">
        <v>372</v>
      </c>
    </row>
    <row r="22" customFormat="false" ht="15.75" hidden="false" customHeight="true" outlineLevel="0" collapsed="false">
      <c r="A22" s="5" t="s">
        <v>373</v>
      </c>
    </row>
    <row r="23" customFormat="false" ht="123.75" hidden="false" customHeight="true" outlineLevel="0" collapsed="false">
      <c r="A23" s="13" t="s">
        <v>374</v>
      </c>
      <c r="B23" s="13"/>
      <c r="C23" s="13"/>
      <c r="D23" s="13"/>
      <c r="E23" s="13"/>
    </row>
    <row r="24" customFormat="false" ht="25.5" hidden="false" customHeight="true" outlineLevel="0" collapsed="false">
      <c r="A24" s="10" t="s">
        <v>375</v>
      </c>
      <c r="B24" s="10" t="s">
        <v>30</v>
      </c>
      <c r="C24" s="10" t="s">
        <v>31</v>
      </c>
      <c r="D24" s="10" t="s">
        <v>32</v>
      </c>
      <c r="E24" s="10" t="s">
        <v>376</v>
      </c>
    </row>
    <row r="25" customFormat="false" ht="21.75" hidden="false" customHeight="true" outlineLevel="0" collapsed="false">
      <c r="A25" s="12" t="s">
        <v>377</v>
      </c>
      <c r="B25" s="77" t="n">
        <f aca="false">AVERAGE(Pessimistisch!$B$7:$M$7)</f>
        <v>1835.33593182435</v>
      </c>
      <c r="C25" s="77" t="n">
        <f aca="false">AVERAGE(Realistisch!$B$7:$M$7)</f>
        <v>3206.87688414313</v>
      </c>
      <c r="D25" s="77" t="n">
        <f aca="false">AVERAGE(Optimistisch!$B$7:$M$7)</f>
        <v>6077.65836813247</v>
      </c>
      <c r="E25" s="16"/>
    </row>
    <row r="26" customFormat="false" ht="15.75" hidden="false" customHeight="true" outlineLevel="0" collapsed="false">
      <c r="A26" s="78" t="s">
        <v>378</v>
      </c>
      <c r="B26" s="79" t="str">
        <f aca="false">FIXED(1800,0)&amp;"  /  "&amp;IF(1800=0,"—",IF(B25&gt;=1800,"+","")&amp;FIXED((B25-(1800))/ABS(1800)*100,1)&amp;" %")</f>
        <v>1.800  /  +2,0 %</v>
      </c>
      <c r="C26" s="79" t="str">
        <f aca="false">FIXED(3200,0)&amp;"  /  "&amp;IF(3200=0,"—",IF(C25&gt;=3200,"+","")&amp;FIXED((C25-(3200))/ABS(3200)*100,1)&amp;" %")</f>
        <v>3.200  /  +0,2 %</v>
      </c>
      <c r="D26" s="79" t="str">
        <f aca="false">FIXED(6000,0)&amp;"  /  "&amp;IF(6000=0,"—",IF(D25&gt;=6000,"+","")&amp;FIXED((D25-(6000))/ABS(6000)*100,1)&amp;" %")</f>
        <v>6.000  /  +1,3 %</v>
      </c>
    </row>
    <row r="27" customFormat="false" ht="21.75" hidden="false" customHeight="true" outlineLevel="0" collapsed="false">
      <c r="A27" s="12" t="s">
        <v>379</v>
      </c>
      <c r="B27" s="77" t="n">
        <f aca="false">AVERAGE(Pessimistisch!$N$7:$Y$7)</f>
        <v>8696.75024886606</v>
      </c>
      <c r="C27" s="77" t="n">
        <f aca="false">AVERAGE(Realistisch!$N$7:$Y$7)</f>
        <v>15433.9594378455</v>
      </c>
      <c r="D27" s="77" t="n">
        <f aca="false">AVERAGE(Optimistisch!$N$7:$Y$7)</f>
        <v>36296.1910167178</v>
      </c>
      <c r="E27" s="16"/>
    </row>
    <row r="28" customFormat="false" ht="15.75" hidden="false" customHeight="true" outlineLevel="0" collapsed="false">
      <c r="A28" s="78" t="s">
        <v>378</v>
      </c>
      <c r="B28" s="79" t="str">
        <f aca="false">FIXED(8500,0)&amp;"  /  "&amp;IF(8500=0,"—",IF(B27&gt;=8500,"+","")&amp;FIXED((B27-(8500))/ABS(8500)*100,1)&amp;" %")</f>
        <v>8.500  /  +2,3 %</v>
      </c>
      <c r="C28" s="79" t="str">
        <f aca="false">FIXED(15500,0)&amp;"  /  "&amp;IF(15500=0,"—",IF(C27&gt;=15500,"+","")&amp;FIXED((C27-(15500))/ABS(15500)*100,1)&amp;" %")</f>
        <v>15.500  /  -0,4 %</v>
      </c>
      <c r="D28" s="79" t="str">
        <f aca="false">FIXED(36000,0)&amp;"  /  "&amp;IF(36000=0,"—",IF(D27&gt;=36000,"+","")&amp;FIXED((D27-(36000))/ABS(36000)*100,1)&amp;" %")</f>
        <v>36.000  /  +0,8 %</v>
      </c>
    </row>
    <row r="29" customFormat="false" ht="21.75" hidden="false" customHeight="true" outlineLevel="0" collapsed="false">
      <c r="A29" s="12" t="s">
        <v>380</v>
      </c>
      <c r="B29" s="77" t="n">
        <f aca="false">AVERAGE(Pessimistisch!$Z$7:$AK$7)</f>
        <v>21514.8003981857</v>
      </c>
      <c r="C29" s="77" t="n">
        <f aca="false">AVERAGE(Realistisch!$Z$7:$AK$7)</f>
        <v>42272.1490083714</v>
      </c>
      <c r="D29" s="77" t="n">
        <f aca="false">AVERAGE(Optimistisch!$Z$7:$AK$7)</f>
        <v>103622.982424013</v>
      </c>
      <c r="E29" s="16"/>
    </row>
    <row r="30" customFormat="false" ht="15.75" hidden="false" customHeight="true" outlineLevel="0" collapsed="false">
      <c r="A30" s="78" t="s">
        <v>378</v>
      </c>
      <c r="B30" s="79" t="str">
        <f aca="false">FIXED(22000,0)&amp;"  /  "&amp;IF(22000=0,"—",IF(B29&gt;=22000,"+","")&amp;FIXED((B29-(22000))/ABS(22000)*100,1)&amp;" %")</f>
        <v>22.000  /  -2,2 %</v>
      </c>
      <c r="C30" s="79" t="str">
        <f aca="false">FIXED(42000,0)&amp;"  /  "&amp;IF(42000=0,"—",IF(C29&gt;=42000,"+","")&amp;FIXED((C29-(42000))/ABS(42000)*100,1)&amp;" %")</f>
        <v>42.000  /  +0,6 %</v>
      </c>
      <c r="D30" s="79" t="str">
        <f aca="false">FIXED(105000,0)&amp;"  /  "&amp;IF(105000=0,"—",IF(D29&gt;=105000,"+","")&amp;FIXED((D29-(105000))/ABS(105000)*100,1)&amp;" %")</f>
        <v>105.000  /  -1,3 %</v>
      </c>
    </row>
    <row r="31" customFormat="false" ht="21.75" hidden="false" customHeight="true" outlineLevel="0" collapsed="false">
      <c r="A31" s="12" t="s">
        <v>381</v>
      </c>
      <c r="B31" s="77" t="n">
        <f aca="false">AVERAGE(Pessimistisch!$N$11:$Y$11)</f>
        <v>125.23178279991</v>
      </c>
      <c r="C31" s="77" t="n">
        <f aca="false">AVERAGE(Realistisch!$N$11:$Y$11)</f>
        <v>341.868785181498</v>
      </c>
      <c r="D31" s="77" t="n">
        <f aca="false">AVERAGE(Optimistisch!$N$11:$Y$11)</f>
        <v>1119.52114563064</v>
      </c>
      <c r="E31" s="16"/>
    </row>
    <row r="32" customFormat="false" ht="15.75" hidden="false" customHeight="true" outlineLevel="0" collapsed="false">
      <c r="A32" s="78" t="s">
        <v>378</v>
      </c>
      <c r="B32" s="79" t="str">
        <f aca="false">FIXED(128,0)&amp;"  /  "&amp;IF(128=0,"—",IF(B31&gt;=128,"+","")&amp;FIXED((B31-(128))/ABS(128)*100,1)&amp;" %")</f>
        <v>128  /  -2,2 %</v>
      </c>
      <c r="C32" s="79" t="str">
        <f aca="false">FIXED(341,0)&amp;"  /  "&amp;IF(341=0,"—",IF(C31&gt;=341,"+","")&amp;FIXED((C31-(341))/ABS(341)*100,1)&amp;" %")</f>
        <v>341  /  +0,3 %</v>
      </c>
      <c r="D32" s="79" t="str">
        <f aca="false">FIXED(1116,0)&amp;"  /  "&amp;IF(1116=0,"—",IF(D31&gt;=1116,"+","")&amp;FIXED((D31-(1116))/ABS(1116)*100,1)&amp;" %")</f>
        <v>1.116  /  +0,3 %</v>
      </c>
    </row>
    <row r="33" customFormat="false" ht="21.75" hidden="false" customHeight="true" outlineLevel="0" collapsed="false">
      <c r="A33" s="12" t="s">
        <v>382</v>
      </c>
      <c r="B33" s="77" t="n">
        <f aca="false">AVERAGE(Pessimistisch!$Z$11:$AK$11)</f>
        <v>473.325608760085</v>
      </c>
      <c r="C33" s="77" t="n">
        <f aca="false">AVERAGE(Realistisch!$Z$11:$AK$11)</f>
        <v>1389.45253428721</v>
      </c>
      <c r="D33" s="77" t="n">
        <f aca="false">AVERAGE(Optimistisch!$Z$11:$AK$11)</f>
        <v>4188.51585262049</v>
      </c>
      <c r="E33" s="16"/>
    </row>
    <row r="34" customFormat="false" ht="15.75" hidden="false" customHeight="true" outlineLevel="0" collapsed="false">
      <c r="A34" s="78" t="s">
        <v>378</v>
      </c>
      <c r="B34" s="79" t="str">
        <f aca="false">FIXED(484,0)&amp;"  /  "&amp;IF(484=0,"—",IF(B33&gt;=484,"+","")&amp;FIXED((B33-(484))/ABS(484)*100,1)&amp;" %")</f>
        <v>484  /  -2,2 %</v>
      </c>
      <c r="C34" s="79" t="str">
        <f aca="false">FIXED(1386,0)&amp;"  /  "&amp;IF(1386=0,"—",IF(C33&gt;=1386,"+","")&amp;FIXED((C33-(1386))/ABS(1386)*100,1)&amp;" %")</f>
        <v>1.386  /  +0,2 %</v>
      </c>
      <c r="D34" s="79" t="str">
        <f aca="false">FIXED(4200,0)&amp;"  /  "&amp;IF(4200=0,"—",IF(D33&gt;=4200,"+","")&amp;FIXED((D33-(4200))/ABS(4200)*100,1)&amp;" %")</f>
        <v>4.200  /  -0,3 %</v>
      </c>
    </row>
    <row r="35" customFormat="false" ht="21.75" hidden="false" customHeight="true" outlineLevel="0" collapsed="false">
      <c r="A35" s="12" t="s">
        <v>350</v>
      </c>
      <c r="B35" s="80" t="n">
        <f aca="false">MIN(Pessimistisch!$B$34:$AK$34)</f>
        <v>-145217.213099853</v>
      </c>
      <c r="C35" s="80" t="n">
        <f aca="false">MIN(Realistisch!$B$34:$AK$34)</f>
        <v>-126877.215041133</v>
      </c>
      <c r="D35" s="80" t="n">
        <f aca="false">MIN(Optimistisch!$B$34:$AK$34)</f>
        <v>-112675.090078276</v>
      </c>
      <c r="E35" s="16" t="s">
        <v>383</v>
      </c>
    </row>
    <row r="36" customFormat="false" ht="15.75" hidden="false" customHeight="true" outlineLevel="0" collapsed="false">
      <c r="A36" s="78" t="s">
        <v>378</v>
      </c>
      <c r="B36" s="79" t="str">
        <f aca="false">FIXED(-105000,0)&amp;"  /  "&amp;IF(-105000=0,"—",IF(B35&gt;=-105000,"+","")&amp;FIXED((B35-(-105000))/ABS(-105000)*100,1)&amp;" %")</f>
        <v>-105.000  /  -38,3 %</v>
      </c>
      <c r="C36" s="79" t="str">
        <f aca="false">FIXED(-71000,0)&amp;"  /  "&amp;IF(-71000=0,"—",IF(C35&gt;=-71000,"+","")&amp;FIXED((C35-(-71000))/ABS(-71000)*100,1)&amp;" %")</f>
        <v>-71.000  /  -78,7 %</v>
      </c>
      <c r="D36" s="79" t="str">
        <f aca="false">FIXED(-55000,0)&amp;"  /  "&amp;IF(-55000=0,"—",IF(D35&gt;=-55000,"+","")&amp;FIXED((D35-(-55000))/ABS(-55000)*100,1)&amp;" %")</f>
        <v>-55.000  /  -104,9 %</v>
      </c>
    </row>
    <row r="37" customFormat="false" ht="21.75" hidden="false" customHeight="true" outlineLevel="0" collapsed="false">
      <c r="A37" s="12" t="s">
        <v>384</v>
      </c>
      <c r="B37" s="80" t="n">
        <f aca="false">SUM(Pessimistisch!$B$19:$AK$19)</f>
        <v>77192.9652162446</v>
      </c>
      <c r="C37" s="80" t="n">
        <f aca="false">SUM(Realistisch!$B$19:$AK$19)</f>
        <v>205684.45391047</v>
      </c>
      <c r="D37" s="80" t="n">
        <f aca="false">SUM(Optimistisch!$B$19:$AK$19)</f>
        <v>573465.489032487</v>
      </c>
      <c r="E37" s="16" t="s">
        <v>385</v>
      </c>
    </row>
    <row r="38" customFormat="false" ht="15.75" hidden="false" customHeight="true" outlineLevel="0" collapsed="false">
      <c r="A38" s="78" t="s">
        <v>378</v>
      </c>
      <c r="B38" s="79" t="str">
        <f aca="false">FIXED(77400,0)&amp;"  /  "&amp;IF(77400=0,"—",IF(B37&gt;=77400,"+","")&amp;FIXED((B37-(77400))/ABS(77400)*100,1)&amp;" %")</f>
        <v>77.400  /  -0,3 %</v>
      </c>
      <c r="C38" s="79" t="str">
        <f aca="false">FIXED(227900,0)&amp;"  /  "&amp;IF(227900=0,"—",IF(C37&gt;=227900,"+","")&amp;FIXED((C37-(227900))/ABS(227900)*100,1)&amp;" %")</f>
        <v>227.900  /  -9,7 %</v>
      </c>
      <c r="D38" s="79" t="str">
        <f aca="false">FIXED(671700,0)&amp;"  /  "&amp;IF(671700=0,"—",IF(D37&gt;=671700,"+","")&amp;FIXED((D37-(671700))/ABS(671700)*100,1)&amp;" %")</f>
        <v>671.700  /  -14,6 %</v>
      </c>
    </row>
    <row r="39" customFormat="false" ht="21.75" hidden="false" customHeight="true" outlineLevel="0" collapsed="false">
      <c r="A39" s="12" t="s">
        <v>386</v>
      </c>
      <c r="B39" s="80" t="n">
        <f aca="false">SUM(Pessimistisch!$B$31:$AK$31)</f>
        <v>222410.178316098</v>
      </c>
      <c r="C39" s="80" t="n">
        <f aca="false">SUM(Realistisch!$B$31:$AK$31)</f>
        <v>313818.76848005</v>
      </c>
      <c r="D39" s="80" t="n">
        <f aca="false">SUM(Optimistisch!$B$31:$AK$31)</f>
        <v>546385.67778828</v>
      </c>
      <c r="E39" s="16" t="s">
        <v>387</v>
      </c>
    </row>
    <row r="40" customFormat="false" ht="15.75" hidden="false" customHeight="true" outlineLevel="0" collapsed="false">
      <c r="A40" s="78" t="s">
        <v>378</v>
      </c>
      <c r="B40" s="79" t="str">
        <f aca="false">FIXED(167800,0)&amp;"  /  "&amp;IF(167800=0,"—",IF(B39&gt;=167800,"+","")&amp;FIXED((B39-(167800))/ABS(167800)*100,1)&amp;" %")</f>
        <v>167.800  /  +32,5 %</v>
      </c>
      <c r="C40" s="79" t="str">
        <f aca="false">FIXED(215900,0)&amp;"  /  "&amp;IF(215900=0,"—",IF(C39&gt;=215900,"+","")&amp;FIXED((C39-(215900))/ABS(215900)*100,1)&amp;" %")</f>
        <v>215.900  /  +45,4 %</v>
      </c>
      <c r="D40" s="79" t="str">
        <f aca="false">FIXED(430400,0)&amp;"  /  "&amp;IF(430400=0,"—",IF(D39&gt;=430400,"+","")&amp;FIXED((D39-(430400))/ABS(430400)*100,1)&amp;" %")</f>
        <v>430.400  /  +26,9 %</v>
      </c>
    </row>
    <row r="42" customFormat="false" ht="15.75" hidden="false" customHeight="true" outlineLevel="0" collapsed="false">
      <c r="A42" s="5" t="s">
        <v>388</v>
      </c>
    </row>
    <row r="43" customFormat="false" ht="25.5" hidden="false" customHeight="true" outlineLevel="0" collapsed="false">
      <c r="A43" s="10" t="s">
        <v>29</v>
      </c>
      <c r="B43" s="10" t="s">
        <v>30</v>
      </c>
      <c r="C43" s="10" t="s">
        <v>31</v>
      </c>
      <c r="D43" s="10" t="s">
        <v>32</v>
      </c>
      <c r="E43" s="10" t="s">
        <v>199</v>
      </c>
    </row>
    <row r="44" customFormat="false" ht="24" hidden="false" customHeight="true" outlineLevel="0" collapsed="false">
      <c r="A44" s="14" t="s">
        <v>389</v>
      </c>
      <c r="B44" s="73" t="n">
        <f aca="false">SUM(Pessimistisch!$B$9:$AK$9)</f>
        <v>56919.3847262559</v>
      </c>
      <c r="C44" s="73" t="n">
        <f aca="false">SUM(Realistisch!$B$9:$AK$9)</f>
        <v>102933.526142002</v>
      </c>
      <c r="D44" s="73" t="n">
        <f aca="false">SUM(Optimistisch!$B$9:$AK$9)</f>
        <v>235846.137103612</v>
      </c>
      <c r="E44" s="16" t="s">
        <v>390</v>
      </c>
    </row>
    <row r="45" customFormat="false" ht="24" hidden="false" customHeight="true" outlineLevel="0" collapsed="false">
      <c r="A45" s="14" t="s">
        <v>391</v>
      </c>
      <c r="B45" s="73" t="n">
        <f aca="false">SUM(Pessimistisch!$B$9:$AK$9)*Annahmen!$B$110</f>
        <v>19921.7846541896</v>
      </c>
      <c r="C45" s="73" t="n">
        <f aca="false">SUM(Realistisch!$B$9:$AK$9)*Annahmen!$B$110</f>
        <v>36026.7341497007</v>
      </c>
      <c r="D45" s="73" t="n">
        <f aca="false">SUM(Optimistisch!$B$9:$AK$9)*Annahmen!$B$110</f>
        <v>82546.1479862641</v>
      </c>
      <c r="E45" s="16" t="s">
        <v>392</v>
      </c>
    </row>
    <row r="46" customFormat="false" ht="24" hidden="false" customHeight="true" outlineLevel="0" collapsed="false">
      <c r="A46" s="27" t="s">
        <v>393</v>
      </c>
      <c r="B46" s="34" t="n">
        <f aca="false">SUM(Pessimistisch!$B$24:$AK$24)</f>
        <v>32444.0492939659</v>
      </c>
      <c r="C46" s="34" t="n">
        <f aca="false">SUM(Realistisch!$B$24:$AK$24)</f>
        <v>58672.1099009411</v>
      </c>
      <c r="D46" s="34" t="n">
        <f aca="false">SUM(Optimistisch!$B$24:$AK$24)</f>
        <v>134432.298149059</v>
      </c>
      <c r="E46" s="16" t="s">
        <v>394</v>
      </c>
    </row>
    <row r="48" customFormat="false" ht="15" hidden="false" customHeight="true" outlineLevel="0" collapsed="false">
      <c r="A48" s="81" t="s">
        <v>395</v>
      </c>
    </row>
    <row r="49" customFormat="false" ht="30" hidden="false" customHeight="true" outlineLevel="0" collapsed="false">
      <c r="A49" s="10" t="s">
        <v>396</v>
      </c>
      <c r="B49" s="10" t="s">
        <v>180</v>
      </c>
      <c r="C49" s="10" t="s">
        <v>397</v>
      </c>
      <c r="D49" s="10" t="s">
        <v>398</v>
      </c>
      <c r="E49" s="10" t="s">
        <v>399</v>
      </c>
    </row>
    <row r="50" customFormat="false" ht="61.5" hidden="false" customHeight="true" outlineLevel="0" collapsed="false">
      <c r="A50" s="11" t="s">
        <v>400</v>
      </c>
      <c r="B50" s="82" t="s">
        <v>401</v>
      </c>
      <c r="C50" s="83" t="n">
        <f aca="false">SUM(Realistisch!$B$9:$AK$9)*Annahmen!$B$105+SUM(Realistisch!$B$9:$AK$9)*Annahmen!$B$110*0</f>
        <v>22645.3757512404</v>
      </c>
      <c r="D50" s="84" t="n">
        <f aca="false">$C$16+(SUMPRODUCT((Realistisch!$B$5:$AK$5&lt;=$C$7)*Realistisch!$B$9:$AK$9)*(Annahmen!$B$105+Annahmen!$B$110*0)-SUMPRODUCT((Realistisch!$B$5:$AK$5&lt;=$C$7)*Realistisch!$B$24:$AK$24))*(1+Annahmen!$B$153)</f>
        <v>140232.704618988</v>
      </c>
      <c r="E50" s="16" t="s">
        <v>402</v>
      </c>
    </row>
    <row r="51" customFormat="false" ht="61.5" hidden="false" customHeight="true" outlineLevel="0" collapsed="false">
      <c r="A51" s="11" t="s">
        <v>403</v>
      </c>
      <c r="B51" s="82" t="n">
        <f aca="false">Annahmen!$B$106</f>
        <v>0.15</v>
      </c>
      <c r="C51" s="83" t="n">
        <f aca="false">SUM(Realistisch!$B$9:$AK$9)*Annahmen!$B$105+SUM(Realistisch!$B$9:$AK$9)*Annahmen!$B$110*Annahmen!$B$106</f>
        <v>28049.3858736955</v>
      </c>
      <c r="D51" s="84" t="n">
        <f aca="false">$C$16+(SUMPRODUCT((Realistisch!$B$5:$AK$5&lt;=$C$7)*Realistisch!$B$9:$AK$9)*(Annahmen!$B$105+Annahmen!$B$110*Annahmen!$B$106)-SUMPRODUCT((Realistisch!$B$5:$AK$5&lt;=$C$7)*Realistisch!$B$24:$AK$24))*(1+Annahmen!$B$153)</f>
        <v>143235.697633544</v>
      </c>
      <c r="E51" s="16" t="s">
        <v>404</v>
      </c>
    </row>
    <row r="52" customFormat="false" ht="61.5" hidden="false" customHeight="true" outlineLevel="0" collapsed="false">
      <c r="A52" s="11" t="s">
        <v>405</v>
      </c>
      <c r="B52" s="82" t="n">
        <f aca="false">Annahmen!$B$107</f>
        <v>1</v>
      </c>
      <c r="C52" s="83" t="n">
        <f aca="false">SUM(Realistisch!$B$9:$AK$9)*Annahmen!$B$105+SUM(Realistisch!$B$9:$AK$9)*Annahmen!$B$110*Annahmen!$B$107</f>
        <v>58672.1099009411</v>
      </c>
      <c r="D52" s="84" t="n">
        <f aca="false">$C$16+(SUMPRODUCT((Realistisch!$B$5:$AK$5&lt;=$C$7)*Realistisch!$B$9:$AK$9)*(Annahmen!$B$105+Annahmen!$B$110*Annahmen!$B$107)-SUMPRODUCT((Realistisch!$B$5:$AK$5&lt;=$C$7)*Realistisch!$B$24:$AK$24))*(1+Annahmen!$B$153)</f>
        <v>160252.65804936</v>
      </c>
      <c r="E52" s="16" t="s">
        <v>406</v>
      </c>
    </row>
    <row r="53" customFormat="false" ht="61.5" hidden="false" customHeight="true" outlineLevel="0" collapsed="false">
      <c r="A53" s="11" t="s">
        <v>407</v>
      </c>
      <c r="B53" s="82" t="n">
        <f aca="false">Annahmen!$B$108</f>
        <v>3.5</v>
      </c>
      <c r="C53" s="83" t="n">
        <f aca="false">SUM(Realistisch!$B$9:$AK$9)*Annahmen!$B$105+SUM(Realistisch!$B$9:$AK$9)*Annahmen!$B$110*Annahmen!$B$108</f>
        <v>148738.945275193</v>
      </c>
      <c r="D53" s="85" t="n">
        <f aca="false">$C$16+(SUMPRODUCT((Realistisch!$B$5:$AK$5&lt;=$C$7)*Realistisch!$B$9:$AK$9)*(Annahmen!$B$105+Annahmen!$B$110*Annahmen!$B$108)-SUMPRODUCT((Realistisch!$B$5:$AK$5&lt;=$C$7)*Realistisch!$B$24:$AK$24))*(1+Annahmen!$B$153)</f>
        <v>210302.541625289</v>
      </c>
      <c r="E53" s="16" t="s">
        <v>408</v>
      </c>
    </row>
    <row r="54" customFormat="false" ht="91.5" hidden="false" customHeight="true" outlineLevel="0" collapsed="false">
      <c r="A54" s="51" t="s">
        <v>409</v>
      </c>
      <c r="B54" s="51"/>
      <c r="C54" s="51"/>
      <c r="D54" s="51"/>
      <c r="E54" s="51"/>
    </row>
    <row r="55" customFormat="false" ht="91.5" hidden="false" customHeight="true" outlineLevel="0" collapsed="false">
      <c r="A55" s="51" t="s">
        <v>410</v>
      </c>
      <c r="B55" s="51"/>
      <c r="C55" s="51"/>
      <c r="D55" s="51"/>
      <c r="E55" s="51"/>
    </row>
    <row r="57" customFormat="false" ht="15.75" hidden="false" customHeight="true" outlineLevel="0" collapsed="false">
      <c r="A57" s="5" t="s">
        <v>411</v>
      </c>
    </row>
    <row r="58" customFormat="false" ht="25.5" hidden="false" customHeight="true" outlineLevel="0" collapsed="false">
      <c r="A58" s="10" t="s">
        <v>412</v>
      </c>
      <c r="B58" s="10" t="s">
        <v>413</v>
      </c>
      <c r="C58" s="10"/>
      <c r="D58" s="10"/>
      <c r="E58" s="10" t="s">
        <v>414</v>
      </c>
    </row>
    <row r="59" customFormat="false" ht="30" hidden="false" customHeight="true" outlineLevel="0" collapsed="false">
      <c r="A59" s="11" t="s">
        <v>415</v>
      </c>
      <c r="B59" s="12" t="s">
        <v>416</v>
      </c>
      <c r="C59" s="12"/>
      <c r="D59" s="12"/>
      <c r="E59" s="16" t="s">
        <v>417</v>
      </c>
    </row>
    <row r="60" customFormat="false" ht="30" hidden="false" customHeight="true" outlineLevel="0" collapsed="false">
      <c r="A60" s="11" t="s">
        <v>418</v>
      </c>
      <c r="B60" s="12" t="s">
        <v>419</v>
      </c>
      <c r="C60" s="12"/>
      <c r="D60" s="12"/>
      <c r="E60" s="16" t="s">
        <v>420</v>
      </c>
    </row>
    <row r="61" customFormat="false" ht="30" hidden="false" customHeight="true" outlineLevel="0" collapsed="false">
      <c r="A61" s="11" t="s">
        <v>421</v>
      </c>
      <c r="B61" s="12" t="s">
        <v>422</v>
      </c>
      <c r="C61" s="12"/>
      <c r="D61" s="12"/>
      <c r="E61" s="16" t="s">
        <v>423</v>
      </c>
    </row>
    <row r="62" customFormat="false" ht="30" hidden="false" customHeight="true" outlineLevel="0" collapsed="false">
      <c r="A62" s="11" t="s">
        <v>424</v>
      </c>
      <c r="B62" s="12" t="s">
        <v>425</v>
      </c>
      <c r="C62" s="12"/>
      <c r="D62" s="12"/>
      <c r="E62" s="16" t="s">
        <v>426</v>
      </c>
    </row>
    <row r="63" customFormat="false" ht="30" hidden="false" customHeight="true" outlineLevel="0" collapsed="false">
      <c r="A63" s="11" t="s">
        <v>427</v>
      </c>
      <c r="B63" s="12" t="s">
        <v>428</v>
      </c>
      <c r="C63" s="12"/>
      <c r="D63" s="12"/>
      <c r="E63" s="16" t="s">
        <v>429</v>
      </c>
    </row>
    <row r="64" customFormat="false" ht="42" hidden="false" customHeight="true" outlineLevel="0" collapsed="false">
      <c r="A64" s="11" t="s">
        <v>430</v>
      </c>
      <c r="B64" s="12" t="s">
        <v>431</v>
      </c>
      <c r="C64" s="12"/>
      <c r="D64" s="12"/>
      <c r="E64" s="16" t="s">
        <v>432</v>
      </c>
    </row>
    <row r="65" customFormat="false" ht="42" hidden="false" customHeight="true" outlineLevel="0" collapsed="false">
      <c r="A65" s="11" t="s">
        <v>433</v>
      </c>
      <c r="B65" s="12" t="s">
        <v>434</v>
      </c>
      <c r="C65" s="12"/>
      <c r="D65" s="12"/>
      <c r="E65" s="16" t="s">
        <v>435</v>
      </c>
    </row>
    <row r="66" customFormat="false" ht="42" hidden="false" customHeight="true" outlineLevel="0" collapsed="false">
      <c r="A66" s="11" t="s">
        <v>436</v>
      </c>
      <c r="B66" s="12" t="s">
        <v>437</v>
      </c>
      <c r="C66" s="12"/>
      <c r="D66" s="12"/>
      <c r="E66" s="16" t="s">
        <v>438</v>
      </c>
    </row>
    <row r="67" customFormat="false" ht="42" hidden="false" customHeight="true" outlineLevel="0" collapsed="false">
      <c r="A67" s="11" t="s">
        <v>439</v>
      </c>
      <c r="B67" s="12" t="s">
        <v>440</v>
      </c>
      <c r="C67" s="12"/>
      <c r="D67" s="12"/>
      <c r="E67" s="16" t="s">
        <v>441</v>
      </c>
    </row>
    <row r="69" customFormat="false" ht="15.75" hidden="false" customHeight="true" outlineLevel="0" collapsed="false">
      <c r="A69" s="5" t="s">
        <v>442</v>
      </c>
    </row>
    <row r="70" customFormat="false" ht="39.75" hidden="false" customHeight="true" outlineLevel="0" collapsed="false">
      <c r="A70" s="10" t="s">
        <v>443</v>
      </c>
      <c r="B70" s="10" t="s">
        <v>444</v>
      </c>
      <c r="C70" s="10" t="s">
        <v>445</v>
      </c>
      <c r="D70" s="10" t="s">
        <v>446</v>
      </c>
      <c r="E70" s="10" t="s">
        <v>117</v>
      </c>
    </row>
    <row r="71" customFormat="false" ht="24" hidden="false" customHeight="true" outlineLevel="0" collapsed="false">
      <c r="A71" s="14" t="str">
        <f aca="false">"bei "&amp;FIXED(Annahmen!C80,0)&amp;" MAU"</f>
        <v>bei 5.000 MAU</v>
      </c>
      <c r="B71" s="43" t="n">
        <f aca="false">Annahmen!C98</f>
        <v>2260</v>
      </c>
      <c r="C71" s="86" t="n">
        <f aca="false">ROUNDUP(B71/Annahmen!$B$51,0)</f>
        <v>299</v>
      </c>
      <c r="D71" s="73" t="n">
        <f aca="false">ROUND(Annahmen!C80*Annahmen!$C$23,0)</f>
        <v>180</v>
      </c>
      <c r="E71" s="16" t="str">
        <f aca="false">"Aboerlöse allein decken "&amp;FIXED(D71/C71*100,0)&amp;" % der laufenden Kosten — sobald die Zielkonversion von "&amp;FIXED(Annahmen!$C$23*100,1)&amp;" % erreicht ist."</f>
        <v>Aboerlöse allein decken 60 % der laufenden Kosten — sobald die Zielkonversion von 3,6 % erreicht ist.</v>
      </c>
    </row>
    <row r="72" customFormat="false" ht="24" hidden="false" customHeight="true" outlineLevel="0" collapsed="false">
      <c r="A72" s="14" t="str">
        <f aca="false">"bei "&amp;FIXED(Annahmen!D80,0)&amp;" MAU"</f>
        <v>bei 12.000 MAU</v>
      </c>
      <c r="B72" s="43" t="n">
        <f aca="false">Annahmen!D98</f>
        <v>3100</v>
      </c>
      <c r="C72" s="86" t="n">
        <f aca="false">ROUNDUP(B72/Annahmen!$B$51,0)</f>
        <v>411</v>
      </c>
      <c r="D72" s="73" t="n">
        <f aca="false">ROUND(Annahmen!D80*Annahmen!$C$23,0)</f>
        <v>432</v>
      </c>
      <c r="E72" s="16" t="str">
        <f aca="false">"Aboerlöse allein decken "&amp;FIXED(D72/C72*100,0)&amp;" % der laufenden Kosten — sobald die Zielkonversion von "&amp;FIXED(Annahmen!$C$23*100,1)&amp;" % erreicht ist."</f>
        <v>Aboerlöse allein decken 105 % der laufenden Kosten — sobald die Zielkonversion von 3,6 % erreicht ist.</v>
      </c>
    </row>
    <row r="73" customFormat="false" ht="24" hidden="false" customHeight="true" outlineLevel="0" collapsed="false">
      <c r="A73" s="14" t="str">
        <f aca="false">"bei "&amp;FIXED(Annahmen!E80,0)&amp;" MAU"</f>
        <v>bei 20.000 MAU</v>
      </c>
      <c r="B73" s="43" t="n">
        <f aca="false">Annahmen!E98</f>
        <v>5800</v>
      </c>
      <c r="C73" s="86" t="n">
        <f aca="false">ROUNDUP(B73/Annahmen!$B$51,0)</f>
        <v>768</v>
      </c>
      <c r="D73" s="73" t="n">
        <f aca="false">ROUND(Annahmen!E80*Annahmen!$C$23,0)</f>
        <v>720</v>
      </c>
      <c r="E73" s="16" t="str">
        <f aca="false">"Aboerlöse allein decken "&amp;FIXED(D73/C73*100,0)&amp;" % der laufenden Kosten — sobald die Zielkonversion von "&amp;FIXED(Annahmen!$C$23*100,1)&amp;" % erreicht ist."</f>
        <v>Aboerlöse allein decken 94 % der laufenden Kosten — sobald die Zielkonversion von 3,6 % erreicht ist.</v>
      </c>
    </row>
    <row r="74" customFormat="false" ht="24" hidden="false" customHeight="true" outlineLevel="0" collapsed="false">
      <c r="A74" s="14" t="str">
        <f aca="false">"bei "&amp;FIXED(Annahmen!F80,0)&amp;" MAU"</f>
        <v>bei 50.000 MAU</v>
      </c>
      <c r="B74" s="43" t="n">
        <f aca="false">Annahmen!F98</f>
        <v>10750</v>
      </c>
      <c r="C74" s="86" t="n">
        <f aca="false">ROUNDUP(B74/Annahmen!$B$51,0)</f>
        <v>1423</v>
      </c>
      <c r="D74" s="73" t="n">
        <f aca="false">ROUND(Annahmen!F80*Annahmen!$C$23,0)</f>
        <v>1800</v>
      </c>
      <c r="E74" s="16" t="str">
        <f aca="false">"Aboerlöse allein decken "&amp;FIXED(D74/C74*100,0)&amp;" % der laufenden Kosten — sobald die Zielkonversion von "&amp;FIXED(Annahmen!$C$23*100,1)&amp;" % erreicht ist."</f>
        <v>Aboerlöse allein decken 126 % der laufenden Kosten — sobald die Zielkonversion von 3,6 % erreicht ist.</v>
      </c>
    </row>
    <row r="75" customFormat="false" ht="42" hidden="false" customHeight="true" outlineLevel="0" collapsed="false">
      <c r="A75" s="14" t="s">
        <v>447</v>
      </c>
      <c r="B75" s="87" t="s">
        <v>448</v>
      </c>
      <c r="C75" s="73" t="n">
        <v>253</v>
      </c>
      <c r="D75" s="87" t="s">
        <v>448</v>
      </c>
      <c r="E75" s="16" t="s">
        <v>449</v>
      </c>
    </row>
    <row r="77" customFormat="false" ht="54" hidden="false" customHeight="true" outlineLevel="0" collapsed="false">
      <c r="A77" s="13" t="s">
        <v>450</v>
      </c>
      <c r="B77" s="13"/>
      <c r="C77" s="13"/>
      <c r="D77" s="13"/>
      <c r="E77" s="13"/>
    </row>
  </sheetData>
  <mergeCells count="13">
    <mergeCell ref="A23:E23"/>
    <mergeCell ref="A54:E54"/>
    <mergeCell ref="A55:E55"/>
    <mergeCell ref="B59:D59"/>
    <mergeCell ref="B60:D60"/>
    <mergeCell ref="B61:D61"/>
    <mergeCell ref="B62:D62"/>
    <mergeCell ref="B63:D63"/>
    <mergeCell ref="B64:D64"/>
    <mergeCell ref="B65:D65"/>
    <mergeCell ref="B66:D66"/>
    <mergeCell ref="B67:D67"/>
    <mergeCell ref="A77:E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3" min="2" style="1" width="26"/>
    <col collapsed="false" customWidth="true" hidden="false" outlineLevel="0" max="4" min="4" style="1" width="30"/>
    <col collapsed="false" customWidth="true" hidden="false" outlineLevel="0" max="6" min="5" style="1" width="34"/>
  </cols>
  <sheetData>
    <row r="1" customFormat="false" ht="19.5" hidden="false" customHeight="true" outlineLevel="0" collapsed="false">
      <c r="A1" s="2" t="s">
        <v>451</v>
      </c>
    </row>
    <row r="2" customFormat="false" ht="25.5" hidden="false" customHeight="true" outlineLevel="0" collapsed="false">
      <c r="A2" s="3" t="s">
        <v>452</v>
      </c>
    </row>
    <row r="4" customFormat="false" ht="15.75" hidden="false" customHeight="true" outlineLevel="0" collapsed="false">
      <c r="A4" s="5" t="s">
        <v>453</v>
      </c>
    </row>
    <row r="5" customFormat="false" ht="25.5" hidden="false" customHeight="true" outlineLevel="0" collapsed="false">
      <c r="A5" s="10" t="s">
        <v>29</v>
      </c>
      <c r="B5" s="10" t="s">
        <v>30</v>
      </c>
      <c r="C5" s="10" t="s">
        <v>31</v>
      </c>
      <c r="D5" s="10" t="s">
        <v>32</v>
      </c>
      <c r="E5" s="10" t="s">
        <v>33</v>
      </c>
      <c r="F5" s="10"/>
    </row>
    <row r="6" customFormat="false" ht="30" hidden="false" customHeight="true" outlineLevel="0" collapsed="false">
      <c r="A6" s="14" t="s">
        <v>454</v>
      </c>
      <c r="B6" s="88" t="n">
        <f aca="false">Kennzahlen!B$16</f>
        <v>182260.655719824</v>
      </c>
      <c r="C6" s="88" t="n">
        <f aca="false">Kennzahlen!C$16</f>
        <v>160252.65804936</v>
      </c>
      <c r="D6" s="88" t="n">
        <f aca="false">Kennzahlen!D$16</f>
        <v>143210.108093931</v>
      </c>
      <c r="E6" s="16" t="s">
        <v>455</v>
      </c>
      <c r="F6" s="16"/>
    </row>
    <row r="7" customFormat="false" ht="30" hidden="false" customHeight="true" outlineLevel="0" collapsed="false">
      <c r="A7" s="14" t="s">
        <v>263</v>
      </c>
      <c r="B7" s="88" t="n">
        <f aca="false">Annahmen!$B$156</f>
        <v>1100</v>
      </c>
      <c r="C7" s="88" t="n">
        <f aca="false">Annahmen!$B$156</f>
        <v>1100</v>
      </c>
      <c r="D7" s="88" t="n">
        <f aca="false">Annahmen!$B$156</f>
        <v>1100</v>
      </c>
      <c r="E7" s="16" t="s">
        <v>456</v>
      </c>
      <c r="F7" s="16"/>
    </row>
    <row r="8" customFormat="false" ht="30" hidden="false" customHeight="true" outlineLevel="0" collapsed="false">
      <c r="A8" s="14" t="s">
        <v>457</v>
      </c>
      <c r="B8" s="89" t="n">
        <f aca="false">IFERROR(MATCH(TRUE(),INDEX(Pessimistisch!$B$33:$AK$33&gt;0,0),0),36)</f>
        <v>36</v>
      </c>
      <c r="C8" s="89" t="n">
        <f aca="false">IFERROR(MATCH(TRUE(),INDEX(Realistisch!$B$33:$AK$33&gt;0,0),0),36)</f>
        <v>28</v>
      </c>
      <c r="D8" s="89" t="n">
        <f aca="false">IFERROR(MATCH(TRUE(),INDEX(Optimistisch!$B$33:$AK$33&gt;0,0),0),36)</f>
        <v>21</v>
      </c>
      <c r="E8" s="16" t="s">
        <v>458</v>
      </c>
      <c r="F8" s="16"/>
    </row>
    <row r="9" customFormat="false" ht="30" hidden="false" customHeight="true" outlineLevel="0" collapsed="false">
      <c r="A9" s="14" t="s">
        <v>459</v>
      </c>
      <c r="B9" s="88" t="n">
        <f aca="false">B7*Annahmen!$B$155*B8</f>
        <v>79200</v>
      </c>
      <c r="C9" s="88" t="n">
        <f aca="false">C7*Annahmen!$B$155*C8</f>
        <v>61600</v>
      </c>
      <c r="D9" s="88" t="n">
        <f aca="false">D7*Annahmen!$B$155*D8</f>
        <v>46200</v>
      </c>
      <c r="E9" s="16" t="s">
        <v>460</v>
      </c>
      <c r="F9" s="16"/>
    </row>
    <row r="10" customFormat="false" ht="30" hidden="false" customHeight="true" outlineLevel="0" collapsed="false">
      <c r="A10" s="14" t="s">
        <v>461</v>
      </c>
      <c r="B10" s="88" t="n">
        <f aca="false">Annahmen!$B$154*Annahmen!$B$155*B8</f>
        <v>14400</v>
      </c>
      <c r="C10" s="88" t="n">
        <f aca="false">Annahmen!$B$154*Annahmen!$B$155*C8</f>
        <v>11200</v>
      </c>
      <c r="D10" s="88" t="n">
        <f aca="false">Annahmen!$B$154*Annahmen!$B$155*D8</f>
        <v>8400</v>
      </c>
      <c r="E10" s="16" t="s">
        <v>462</v>
      </c>
      <c r="F10" s="16"/>
    </row>
    <row r="11" customFormat="false" ht="15" hidden="false" customHeight="true" outlineLevel="0" collapsed="false">
      <c r="A11" s="90" t="s">
        <v>463</v>
      </c>
      <c r="B11" s="91" t="n">
        <f aca="false">B6+B9+B10</f>
        <v>275860.655719824</v>
      </c>
      <c r="C11" s="91" t="n">
        <f aca="false">C6+C9+C10</f>
        <v>233052.65804936</v>
      </c>
      <c r="D11" s="91" t="n">
        <f aca="false">D6+D9+D10</f>
        <v>197810.108093931</v>
      </c>
      <c r="E11" s="92" t="s">
        <v>464</v>
      </c>
      <c r="F11" s="92"/>
    </row>
    <row r="13" customFormat="false" ht="66" hidden="false" customHeight="true" outlineLevel="0" collapsed="false">
      <c r="A13" s="93" t="s">
        <v>465</v>
      </c>
      <c r="B13" s="93"/>
      <c r="C13" s="93"/>
      <c r="D13" s="93"/>
      <c r="E13" s="93"/>
      <c r="F13" s="93"/>
    </row>
    <row r="14" customFormat="false" ht="15.75" hidden="false" customHeight="true" outlineLevel="0" collapsed="false">
      <c r="A14" s="5" t="s">
        <v>466</v>
      </c>
    </row>
    <row r="15" customFormat="false" ht="27.75" hidden="false" customHeight="true" outlineLevel="0" collapsed="false">
      <c r="A15" s="10" t="s">
        <v>179</v>
      </c>
      <c r="B15" s="10" t="s">
        <v>467</v>
      </c>
      <c r="C15" s="10" t="s">
        <v>468</v>
      </c>
      <c r="D15" s="10" t="s">
        <v>469</v>
      </c>
      <c r="E15" s="10" t="s">
        <v>470</v>
      </c>
      <c r="F15" s="10" t="s">
        <v>471</v>
      </c>
    </row>
    <row r="16" customFormat="false" ht="168" hidden="false" customHeight="true" outlineLevel="0" collapsed="false">
      <c r="A16" s="11" t="s">
        <v>472</v>
      </c>
      <c r="B16" s="12" t="s">
        <v>473</v>
      </c>
      <c r="C16" s="12" t="s">
        <v>474</v>
      </c>
      <c r="D16" s="12" t="str">
        <f aca="false">"Nichts direkt. Indirekt: Die Firma wächst nur so schnell, wie sie sich selbst trägt. Bei einem Kapitalbedarf von rund "&amp;FIXED(ROUND(C6,-3),0)&amp;" € im realistischen Fall bedeutet das ohne Eigenmittel schlicht: geht nicht."</f>
        <v>Nichts direkt. Indirekt: Die Firma wächst nur so schnell, wie sie sich selbst trägt. Bei einem Kapitalbedarf von rund 160.000 € im realistischen Fall bedeutet das ohne Eigenmittel schlicht: geht nicht.</v>
      </c>
      <c r="E16" s="12" t="s">
        <v>475</v>
      </c>
      <c r="F16" s="12" t="s">
        <v>476</v>
      </c>
    </row>
    <row r="17" customFormat="false" ht="168" hidden="false" customHeight="true" outlineLevel="0" collapsed="false">
      <c r="A17" s="94" t="s">
        <v>477</v>
      </c>
      <c r="B17" s="95" t="s">
        <v>478</v>
      </c>
      <c r="C17" s="95" t="s">
        <v>479</v>
      </c>
      <c r="D17" s="95" t="s">
        <v>480</v>
      </c>
      <c r="E17" s="95" t="s">
        <v>481</v>
      </c>
      <c r="F17" s="95" t="s">
        <v>482</v>
      </c>
    </row>
    <row r="18" customFormat="false" ht="168" hidden="false" customHeight="true" outlineLevel="0" collapsed="false">
      <c r="A18" s="11" t="s">
        <v>483</v>
      </c>
      <c r="B18" s="12" t="s">
        <v>484</v>
      </c>
      <c r="C18" s="12" t="s">
        <v>485</v>
      </c>
      <c r="D18" s="12" t="s">
        <v>486</v>
      </c>
      <c r="E18" s="12" t="s">
        <v>487</v>
      </c>
      <c r="F18" s="12" t="s">
        <v>488</v>
      </c>
    </row>
    <row r="19" customFormat="false" ht="168" hidden="false" customHeight="true" outlineLevel="0" collapsed="false">
      <c r="A19" s="94" t="s">
        <v>489</v>
      </c>
      <c r="B19" s="95" t="s">
        <v>490</v>
      </c>
      <c r="C19" s="95" t="s">
        <v>491</v>
      </c>
      <c r="D19" s="95" t="s">
        <v>492</v>
      </c>
      <c r="E19" s="95" t="s">
        <v>493</v>
      </c>
      <c r="F19" s="95" t="s">
        <v>494</v>
      </c>
    </row>
    <row r="20" customFormat="false" ht="168" hidden="false" customHeight="true" outlineLevel="0" collapsed="false">
      <c r="A20" s="11" t="s">
        <v>495</v>
      </c>
      <c r="B20" s="12" t="s">
        <v>496</v>
      </c>
      <c r="C20" s="12" t="s">
        <v>497</v>
      </c>
      <c r="D20" s="12" t="s">
        <v>498</v>
      </c>
      <c r="E20" s="12" t="s">
        <v>499</v>
      </c>
      <c r="F20" s="12" t="s">
        <v>500</v>
      </c>
    </row>
    <row r="21" customFormat="false" ht="168" hidden="false" customHeight="true" outlineLevel="0" collapsed="false">
      <c r="A21" s="94" t="s">
        <v>501</v>
      </c>
      <c r="B21" s="95" t="s">
        <v>502</v>
      </c>
      <c r="C21" s="95" t="s">
        <v>503</v>
      </c>
      <c r="D21" s="95" t="s">
        <v>504</v>
      </c>
      <c r="E21" s="95" t="s">
        <v>505</v>
      </c>
      <c r="F21" s="95" t="s">
        <v>506</v>
      </c>
    </row>
    <row r="23" customFormat="false" ht="87.75" hidden="false" customHeight="true" outlineLevel="0" collapsed="false">
      <c r="A23" s="93" t="s">
        <v>507</v>
      </c>
      <c r="B23" s="93"/>
      <c r="C23" s="93"/>
      <c r="D23" s="93"/>
      <c r="E23" s="93"/>
      <c r="F23" s="93"/>
    </row>
    <row r="24" customFormat="false" ht="15.75" hidden="false" customHeight="true" outlineLevel="0" collapsed="false">
      <c r="A24" s="5" t="s">
        <v>508</v>
      </c>
    </row>
    <row r="25" customFormat="false" ht="43.5" hidden="false" customHeight="true" outlineLevel="0" collapsed="false">
      <c r="A25" s="96" t="s">
        <v>509</v>
      </c>
      <c r="B25" s="96"/>
      <c r="C25" s="96"/>
      <c r="D25" s="96"/>
      <c r="E25" s="96"/>
      <c r="F25" s="96"/>
    </row>
    <row r="26" customFormat="false" ht="23.25" hidden="false" customHeight="true" outlineLevel="0" collapsed="false">
      <c r="A26" s="27" t="s">
        <v>510</v>
      </c>
      <c r="B26" s="97" t="n">
        <f aca="false">(-MIN(Realistisch!$B$34:$AK$34))/MATCH(MIN(Realistisch!$B$34:$AK$34),Realistisch!$B$34:$AK$34,0)+C7*Annahmen!$B$155+Annahmen!$B$154*Annahmen!$B$155</f>
        <v>7299.15611263456</v>
      </c>
      <c r="C26" s="55" t="str">
        <f aca="false">"je Monat, gemittelt bis zum Tiefpunkt (M"&amp;Kennzahlen!C7&amp;") — danach trägt sich die Firma zunehmend selbst"</f>
        <v>je Monat, gemittelt bis zum Tiefpunkt (M27) — danach trägt sich die Firma zunehmend selbst</v>
      </c>
    </row>
    <row r="28" customFormat="false" ht="27.75" hidden="false" customHeight="true" outlineLevel="0" collapsed="false">
      <c r="A28" s="10" t="s">
        <v>511</v>
      </c>
      <c r="B28" s="10" t="s">
        <v>512</v>
      </c>
      <c r="C28" s="10" t="s">
        <v>513</v>
      </c>
      <c r="D28" s="10" t="s">
        <v>514</v>
      </c>
      <c r="E28" s="10" t="s">
        <v>515</v>
      </c>
      <c r="F28" s="10" t="s">
        <v>516</v>
      </c>
    </row>
    <row r="29" customFormat="false" ht="75.75" hidden="false" customHeight="true" outlineLevel="0" collapsed="false">
      <c r="A29" s="98" t="n">
        <v>0</v>
      </c>
      <c r="B29" s="99" t="n">
        <f aca="false">IF($B$26&lt;=0,0,0/$B$26)</f>
        <v>0</v>
      </c>
      <c r="C29" s="12" t="s">
        <v>517</v>
      </c>
      <c r="D29" s="11" t="str">
        <f aca="false">IF(0&gt;=C11,"nein — vollständig gedeckt","ja, noch "&amp;FIXED(C11-0,0)&amp;" €")</f>
        <v>ja, noch 233.053 €</v>
      </c>
      <c r="E29" s="12" t="s">
        <v>518</v>
      </c>
      <c r="F29" s="12" t="s">
        <v>519</v>
      </c>
    </row>
    <row r="30" customFormat="false" ht="75.75" hidden="false" customHeight="true" outlineLevel="0" collapsed="false">
      <c r="A30" s="98" t="n">
        <v>25000</v>
      </c>
      <c r="B30" s="99" t="n">
        <f aca="false">IF($B$26&lt;=0,0,25000/$B$26)</f>
        <v>3.42505347388392</v>
      </c>
      <c r="C30" s="12" t="s">
        <v>520</v>
      </c>
      <c r="D30" s="11" t="str">
        <f aca="false">IF(25000&gt;=C11,"nein — vollständig gedeckt","ja, noch "&amp;FIXED(C11-25000,0)&amp;" €")</f>
        <v>ja, noch 208.053 €</v>
      </c>
      <c r="E30" s="12" t="s">
        <v>521</v>
      </c>
      <c r="F30" s="12" t="s">
        <v>522</v>
      </c>
    </row>
    <row r="31" customFormat="false" ht="75.75" hidden="false" customHeight="true" outlineLevel="0" collapsed="false">
      <c r="A31" s="98" t="n">
        <v>50000</v>
      </c>
      <c r="B31" s="99" t="n">
        <f aca="false">IF($B$26&lt;=0,0,50000/$B$26)</f>
        <v>6.85010694776783</v>
      </c>
      <c r="C31" s="12" t="s">
        <v>523</v>
      </c>
      <c r="D31" s="11" t="str">
        <f aca="false">IF(50000&gt;=C11,"nein — vollständig gedeckt","ja, noch "&amp;FIXED(C11-50000,0)&amp;" €")</f>
        <v>ja, noch 183.053 €</v>
      </c>
      <c r="E31" s="12" t="str">
        <f aca="false">"50.000 € im Risiko — rund "&amp;FIXED(50000/C11*100,0)&amp;" % der Gesamtlücke im realistischen Fall."</f>
        <v>50.000 € im Risiko — rund 21 % der Gesamtlücke im realistischen Fall.</v>
      </c>
      <c r="F31" s="12" t="str">
        <f aca="false">"Deckt rund "&amp;FIXED(50000/Kennzahlen!C13*100,0)&amp;" % des Finanzierungsbedarfs am Tiefpunkt der Firma — die Lebenshaltung noch nicht mitgerechnet. Nur zusammen mit Stipendium, Preisgeldern und weiterem Kapital denkbar."</f>
        <v>Deckt rund 39 % des Finanzierungsbedarfs am Tiefpunkt der Firma — die Lebenshaltung noch nicht mitgerechnet. Nur zusammen mit Stipendium, Preisgeldern und weiterem Kapital denkbar.</v>
      </c>
    </row>
    <row r="32" customFormat="false" ht="75.75" hidden="false" customHeight="true" outlineLevel="0" collapsed="false">
      <c r="A32" s="98" t="n">
        <v>100000</v>
      </c>
      <c r="B32" s="99" t="n">
        <f aca="false">IF($B$26&lt;=0,0,100000/$B$26)</f>
        <v>13.7002138955357</v>
      </c>
      <c r="C32" s="12" t="s">
        <v>524</v>
      </c>
      <c r="D32" s="11" t="str">
        <f aca="false">IF(100000&gt;=C11,"nein — vollständig gedeckt","ja, noch "&amp;FIXED(C11-100000,0)&amp;" €")</f>
        <v>ja, noch 133.053 €</v>
      </c>
      <c r="E32" s="12" t="s">
        <v>525</v>
      </c>
      <c r="F32" s="12" t="str">
        <f aca="false">"Deckt im realistischen Fall rund "&amp;FIXED(100000/C11*100,0)&amp;" % der Gesamtlücke. Ohne weiteres Kapital — Stipendium, Preisgelder, Kredit oder Angel — reicht auch das nicht; im pessimistischen Fall fehlen noch "&amp;FIXED(B11-100000,0)&amp;" €."</f>
        <v>Deckt im realistischen Fall rund 43 % der Gesamtlücke. Ohne weiteres Kapital — Stipendium, Preisgelder, Kredit oder Angel — reicht auch das nicht; im pessimistischen Fall fehlen noch 175.861 €.</v>
      </c>
    </row>
    <row r="34" customFormat="false" ht="15.75" hidden="false" customHeight="true" outlineLevel="0" collapsed="false">
      <c r="A34" s="5" t="s">
        <v>526</v>
      </c>
    </row>
    <row r="35" customFormat="false" ht="27.75" hidden="false" customHeight="true" outlineLevel="0" collapsed="false">
      <c r="A35" s="10" t="s">
        <v>527</v>
      </c>
      <c r="B35" s="10" t="s">
        <v>528</v>
      </c>
      <c r="C35" s="10" t="s">
        <v>529</v>
      </c>
    </row>
    <row r="36" customFormat="false" ht="55.5" hidden="false" customHeight="true" outlineLevel="0" collapsed="false">
      <c r="A36" s="11" t="s">
        <v>530</v>
      </c>
      <c r="B36" s="12" t="s">
        <v>531</v>
      </c>
      <c r="C36" s="12" t="s">
        <v>532</v>
      </c>
    </row>
    <row r="37" customFormat="false" ht="55.5" hidden="false" customHeight="true" outlineLevel="0" collapsed="false">
      <c r="A37" s="94" t="s">
        <v>533</v>
      </c>
      <c r="B37" s="95" t="s">
        <v>534</v>
      </c>
      <c r="C37" s="95" t="s">
        <v>535</v>
      </c>
    </row>
    <row r="38" customFormat="false" ht="55.5" hidden="false" customHeight="true" outlineLevel="0" collapsed="false">
      <c r="A38" s="11" t="s">
        <v>536</v>
      </c>
      <c r="B38" s="12" t="s">
        <v>537</v>
      </c>
      <c r="C38" s="12" t="s">
        <v>538</v>
      </c>
    </row>
    <row r="39" customFormat="false" ht="55.5" hidden="false" customHeight="true" outlineLevel="0" collapsed="false">
      <c r="A39" s="94" t="s">
        <v>539</v>
      </c>
      <c r="B39" s="95" t="s">
        <v>540</v>
      </c>
      <c r="C39" s="95" t="s">
        <v>541</v>
      </c>
    </row>
    <row r="40" customFormat="false" ht="55.5" hidden="false" customHeight="true" outlineLevel="0" collapsed="false">
      <c r="A40" s="11" t="s">
        <v>542</v>
      </c>
      <c r="B40" s="12" t="s">
        <v>543</v>
      </c>
      <c r="C40" s="12" t="s">
        <v>544</v>
      </c>
    </row>
    <row r="41" customFormat="false" ht="55.5" hidden="false" customHeight="true" outlineLevel="0" collapsed="false">
      <c r="A41" s="94" t="s">
        <v>545</v>
      </c>
      <c r="B41" s="95" t="s">
        <v>546</v>
      </c>
      <c r="C41" s="95" t="s">
        <v>547</v>
      </c>
    </row>
    <row r="43" customFormat="false" ht="15.75" hidden="false" customHeight="true" outlineLevel="0" collapsed="false">
      <c r="A43" s="5" t="s">
        <v>548</v>
      </c>
    </row>
    <row r="44" customFormat="false" ht="36" hidden="false" customHeight="true" outlineLevel="0" collapsed="false">
      <c r="A44" s="96" t="s">
        <v>549</v>
      </c>
      <c r="B44" s="96"/>
      <c r="C44" s="96"/>
      <c r="D44" s="96"/>
      <c r="E44" s="96"/>
      <c r="F44" s="96"/>
    </row>
    <row r="45" customFormat="false" ht="27.75" hidden="false" customHeight="true" outlineLevel="0" collapsed="false">
      <c r="A45" s="10" t="s">
        <v>550</v>
      </c>
      <c r="B45" s="10" t="s">
        <v>551</v>
      </c>
      <c r="C45" s="10" t="s">
        <v>552</v>
      </c>
      <c r="D45" s="10" t="s">
        <v>553</v>
      </c>
      <c r="E45" s="10" t="s">
        <v>554</v>
      </c>
      <c r="F45" s="10" t="s">
        <v>555</v>
      </c>
    </row>
    <row r="46" customFormat="false" ht="132" hidden="false" customHeight="true" outlineLevel="0" collapsed="false">
      <c r="A46" s="11" t="s">
        <v>556</v>
      </c>
      <c r="B46" s="12" t="s">
        <v>557</v>
      </c>
      <c r="C46" s="12" t="s">
        <v>558</v>
      </c>
      <c r="D46" s="12" t="s">
        <v>559</v>
      </c>
      <c r="E46" s="12" t="s">
        <v>560</v>
      </c>
      <c r="F46" s="12" t="s">
        <v>561</v>
      </c>
    </row>
    <row r="47" customFormat="false" ht="132" hidden="false" customHeight="true" outlineLevel="0" collapsed="false">
      <c r="A47" s="94" t="s">
        <v>562</v>
      </c>
      <c r="B47" s="95" t="s">
        <v>563</v>
      </c>
      <c r="C47" s="95" t="s">
        <v>564</v>
      </c>
      <c r="D47" s="95" t="s">
        <v>565</v>
      </c>
      <c r="E47" s="95" t="s">
        <v>566</v>
      </c>
      <c r="F47" s="95" t="s">
        <v>567</v>
      </c>
    </row>
    <row r="48" customFormat="false" ht="132" hidden="false" customHeight="true" outlineLevel="0" collapsed="false">
      <c r="A48" s="11" t="s">
        <v>568</v>
      </c>
      <c r="B48" s="12" t="s">
        <v>569</v>
      </c>
      <c r="C48" s="12" t="s">
        <v>570</v>
      </c>
      <c r="D48" s="12" t="s">
        <v>565</v>
      </c>
      <c r="E48" s="12" t="s">
        <v>571</v>
      </c>
      <c r="F48" s="12" t="s">
        <v>572</v>
      </c>
    </row>
    <row r="49" customFormat="false" ht="132" hidden="false" customHeight="true" outlineLevel="0" collapsed="false">
      <c r="A49" s="94" t="s">
        <v>573</v>
      </c>
      <c r="B49" s="95" t="s">
        <v>574</v>
      </c>
      <c r="C49" s="95" t="s">
        <v>575</v>
      </c>
      <c r="D49" s="95" t="s">
        <v>576</v>
      </c>
      <c r="E49" s="95" t="s">
        <v>577</v>
      </c>
      <c r="F49" s="95" t="s">
        <v>578</v>
      </c>
    </row>
    <row r="50" customFormat="false" ht="132" hidden="false" customHeight="true" outlineLevel="0" collapsed="false">
      <c r="A50" s="11" t="s">
        <v>579</v>
      </c>
      <c r="B50" s="12" t="s">
        <v>580</v>
      </c>
      <c r="C50" s="12" t="s">
        <v>581</v>
      </c>
      <c r="D50" s="12" t="s">
        <v>582</v>
      </c>
      <c r="E50" s="12" t="s">
        <v>583</v>
      </c>
      <c r="F50" s="12" t="s">
        <v>584</v>
      </c>
    </row>
    <row r="51" customFormat="false" ht="132" hidden="false" customHeight="true" outlineLevel="0" collapsed="false">
      <c r="A51" s="94" t="s">
        <v>585</v>
      </c>
      <c r="B51" s="95" t="s">
        <v>586</v>
      </c>
      <c r="C51" s="95" t="s">
        <v>587</v>
      </c>
      <c r="D51" s="95" t="s">
        <v>588</v>
      </c>
      <c r="E51" s="95" t="s">
        <v>589</v>
      </c>
      <c r="F51" s="95" t="s">
        <v>590</v>
      </c>
    </row>
    <row r="52" customFormat="false" ht="132" hidden="false" customHeight="true" outlineLevel="0" collapsed="false">
      <c r="A52" s="11" t="s">
        <v>591</v>
      </c>
      <c r="B52" s="12" t="s">
        <v>592</v>
      </c>
      <c r="C52" s="12" t="s">
        <v>593</v>
      </c>
      <c r="D52" s="12" t="s">
        <v>594</v>
      </c>
      <c r="E52" s="12" t="s">
        <v>595</v>
      </c>
      <c r="F52" s="12" t="s">
        <v>596</v>
      </c>
    </row>
    <row r="53" customFormat="false" ht="132" hidden="false" customHeight="true" outlineLevel="0" collapsed="false">
      <c r="A53" s="94" t="s">
        <v>597</v>
      </c>
      <c r="B53" s="95" t="s">
        <v>598</v>
      </c>
      <c r="C53" s="95" t="s">
        <v>599</v>
      </c>
      <c r="D53" s="95" t="s">
        <v>600</v>
      </c>
      <c r="E53" s="95" t="s">
        <v>601</v>
      </c>
      <c r="F53" s="95" t="s">
        <v>602</v>
      </c>
    </row>
    <row r="55" customFormat="false" ht="15.75" hidden="false" customHeight="true" outlineLevel="0" collapsed="false">
      <c r="A55" s="5" t="s">
        <v>603</v>
      </c>
    </row>
    <row r="56" customFormat="false" ht="78" hidden="false" customHeight="true" outlineLevel="0" collapsed="false">
      <c r="A56" s="96" t="s">
        <v>604</v>
      </c>
      <c r="B56" s="96"/>
      <c r="C56" s="96"/>
      <c r="D56" s="96"/>
      <c r="E56" s="96"/>
      <c r="F56" s="96"/>
    </row>
    <row r="58" customFormat="false" ht="15.75" hidden="false" customHeight="true" outlineLevel="0" collapsed="false">
      <c r="A58" s="5" t="s">
        <v>605</v>
      </c>
    </row>
    <row r="59" customFormat="false" ht="57.75" hidden="false" customHeight="true" outlineLevel="0" collapsed="false">
      <c r="A59" s="21" t="s">
        <v>606</v>
      </c>
      <c r="B59" s="21"/>
      <c r="C59" s="21"/>
      <c r="D59" s="21"/>
      <c r="E59" s="21"/>
      <c r="F59" s="21"/>
    </row>
    <row r="60" customFormat="false" ht="15" hidden="false" customHeight="true" outlineLevel="0" collapsed="false">
      <c r="A60" s="10" t="s">
        <v>29</v>
      </c>
      <c r="B60" s="100" t="s">
        <v>197</v>
      </c>
      <c r="C60" s="10" t="s">
        <v>607</v>
      </c>
    </row>
    <row r="61" customFormat="false" ht="15" hidden="false" customHeight="true" outlineLevel="0" collapsed="false">
      <c r="A61" s="14" t="s">
        <v>608</v>
      </c>
      <c r="B61" s="88" t="n">
        <f aca="false">Kennzahlen!C20</f>
        <v>233052.65804936</v>
      </c>
      <c r="C61" s="16" t="s">
        <v>609</v>
      </c>
      <c r="D61" s="16"/>
      <c r="E61" s="16"/>
      <c r="F61" s="16"/>
    </row>
    <row r="62" customFormat="false" ht="15" hidden="false" customHeight="true" outlineLevel="0" collapsed="false">
      <c r="A62" s="14" t="s">
        <v>610</v>
      </c>
      <c r="B62" s="88" t="n">
        <f aca="false">Kennzahlen!B20</f>
        <v>275860.655719824</v>
      </c>
      <c r="C62" s="16" t="s">
        <v>611</v>
      </c>
      <c r="D62" s="16"/>
      <c r="E62" s="16"/>
      <c r="F62" s="16"/>
    </row>
    <row r="63" customFormat="false" ht="18.75" hidden="false" customHeight="true" outlineLevel="0" collapsed="false">
      <c r="A63" s="27" t="s">
        <v>612</v>
      </c>
      <c r="B63" s="74" t="n">
        <f aca="false">Kennzahlen!B20-Kennzahlen!C20</f>
        <v>42807.9976704646</v>
      </c>
      <c r="C63" s="16" t="s">
        <v>613</v>
      </c>
      <c r="D63" s="16"/>
      <c r="E63" s="16"/>
      <c r="F63" s="16"/>
    </row>
    <row r="64" customFormat="false" ht="15" hidden="false" customHeight="true" outlineLevel="0" collapsed="false">
      <c r="A64" s="14" t="s">
        <v>614</v>
      </c>
      <c r="B64" s="101" t="n">
        <f aca="false">(Kennzahlen!B20-Kennzahlen!C20)/Kennzahlen!C20</f>
        <v>0.183683799312849</v>
      </c>
      <c r="C64" s="16" t="s">
        <v>615</v>
      </c>
      <c r="D64" s="16"/>
      <c r="E64" s="16"/>
      <c r="F64" s="16"/>
    </row>
    <row r="66" customFormat="false" ht="43.5" hidden="false" customHeight="true" outlineLevel="0" collapsed="false">
      <c r="A66" s="21" t="s">
        <v>616</v>
      </c>
      <c r="B66" s="21"/>
      <c r="C66" s="21"/>
      <c r="D66" s="21"/>
      <c r="E66" s="21"/>
      <c r="F66" s="21"/>
    </row>
    <row r="67" customFormat="false" ht="43.5" hidden="false" customHeight="true" outlineLevel="0" collapsed="false">
      <c r="A67" s="102" t="s">
        <v>617</v>
      </c>
      <c r="B67" s="102"/>
      <c r="C67" s="102"/>
      <c r="D67" s="102"/>
      <c r="E67" s="102"/>
      <c r="F67" s="102"/>
    </row>
  </sheetData>
  <mergeCells count="18">
    <mergeCell ref="E6:F6"/>
    <mergeCell ref="E7:F7"/>
    <mergeCell ref="E8:F8"/>
    <mergeCell ref="E9:F9"/>
    <mergeCell ref="E10:F10"/>
    <mergeCell ref="E11:F11"/>
    <mergeCell ref="A13:F13"/>
    <mergeCell ref="A23:F23"/>
    <mergeCell ref="A25:F25"/>
    <mergeCell ref="A44:F44"/>
    <mergeCell ref="A56:F56"/>
    <mergeCell ref="A59:F59"/>
    <mergeCell ref="C61:F61"/>
    <mergeCell ref="C62:F62"/>
    <mergeCell ref="C63:F63"/>
    <mergeCell ref="C64:F64"/>
    <mergeCell ref="A66:F66"/>
    <mergeCell ref="A67:F6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37" min="2" style="1" width="11"/>
  </cols>
  <sheetData>
    <row r="1" customFormat="false" ht="19.5" hidden="false" customHeight="true" outlineLevel="0" collapsed="false">
      <c r="A1" s="2" t="s">
        <v>618</v>
      </c>
    </row>
    <row r="2" customFormat="false" ht="25.5" hidden="false" customHeight="true" outlineLevel="0" collapsed="false">
      <c r="A2" s="3" t="s">
        <v>619</v>
      </c>
    </row>
    <row r="4" customFormat="false" ht="43.5" hidden="false" customHeight="true" outlineLevel="0" collapsed="false">
      <c r="A4" s="51" t="s">
        <v>620</v>
      </c>
      <c r="B4" s="51"/>
      <c r="C4" s="51"/>
      <c r="D4" s="51"/>
      <c r="E4" s="51"/>
      <c r="F4" s="51"/>
      <c r="G4" s="51"/>
      <c r="H4" s="51"/>
      <c r="I4" s="51"/>
      <c r="J4" s="51"/>
      <c r="K4" s="51"/>
      <c r="L4" s="51"/>
    </row>
    <row r="5" customFormat="false" ht="21.75" hidden="false" customHeight="true" outlineLevel="0" collapsed="false">
      <c r="A5" s="10" t="s">
        <v>150</v>
      </c>
      <c r="B5" s="10" t="s">
        <v>271</v>
      </c>
      <c r="C5" s="10" t="s">
        <v>272</v>
      </c>
      <c r="D5" s="10" t="s">
        <v>273</v>
      </c>
      <c r="E5" s="10" t="s">
        <v>274</v>
      </c>
      <c r="F5" s="10" t="s">
        <v>275</v>
      </c>
      <c r="G5" s="10" t="s">
        <v>276</v>
      </c>
      <c r="H5" s="10" t="s">
        <v>277</v>
      </c>
      <c r="I5" s="10" t="s">
        <v>278</v>
      </c>
      <c r="J5" s="10" t="s">
        <v>279</v>
      </c>
      <c r="K5" s="10" t="s">
        <v>280</v>
      </c>
      <c r="L5" s="10" t="s">
        <v>281</v>
      </c>
      <c r="M5" s="10" t="s">
        <v>282</v>
      </c>
      <c r="N5" s="10" t="s">
        <v>283</v>
      </c>
      <c r="O5" s="10" t="s">
        <v>284</v>
      </c>
      <c r="P5" s="10" t="s">
        <v>285</v>
      </c>
      <c r="Q5" s="10" t="s">
        <v>286</v>
      </c>
      <c r="R5" s="10" t="s">
        <v>287</v>
      </c>
      <c r="S5" s="10" t="s">
        <v>288</v>
      </c>
      <c r="T5" s="10" t="s">
        <v>289</v>
      </c>
      <c r="U5" s="10" t="s">
        <v>290</v>
      </c>
      <c r="V5" s="10" t="s">
        <v>291</v>
      </c>
      <c r="W5" s="10" t="s">
        <v>292</v>
      </c>
      <c r="X5" s="10" t="s">
        <v>293</v>
      </c>
      <c r="Y5" s="10" t="s">
        <v>294</v>
      </c>
      <c r="Z5" s="10" t="s">
        <v>295</v>
      </c>
      <c r="AA5" s="10" t="s">
        <v>296</v>
      </c>
      <c r="AB5" s="10" t="s">
        <v>297</v>
      </c>
      <c r="AC5" s="10" t="s">
        <v>298</v>
      </c>
      <c r="AD5" s="10" t="s">
        <v>299</v>
      </c>
      <c r="AE5" s="10" t="s">
        <v>300</v>
      </c>
      <c r="AF5" s="10" t="s">
        <v>301</v>
      </c>
      <c r="AG5" s="10" t="s">
        <v>302</v>
      </c>
      <c r="AH5" s="10" t="s">
        <v>303</v>
      </c>
      <c r="AI5" s="10" t="s">
        <v>304</v>
      </c>
      <c r="AJ5" s="10" t="s">
        <v>305</v>
      </c>
      <c r="AK5" s="10" t="s">
        <v>306</v>
      </c>
    </row>
    <row r="6" customFormat="false" ht="16.5" hidden="false" customHeight="true" outlineLevel="0" collapsed="false">
      <c r="A6" s="14" t="s">
        <v>308</v>
      </c>
      <c r="B6" s="103"/>
      <c r="C6" s="103"/>
      <c r="D6" s="103"/>
      <c r="E6" s="103"/>
      <c r="F6" s="103"/>
      <c r="G6" s="103"/>
      <c r="H6" s="103"/>
      <c r="I6" s="103"/>
      <c r="J6" s="103"/>
      <c r="K6" s="103"/>
      <c r="L6" s="103"/>
      <c r="M6" s="103"/>
      <c r="N6" s="103"/>
      <c r="O6" s="103"/>
      <c r="P6" s="103"/>
      <c r="Q6" s="103"/>
      <c r="R6" s="103"/>
      <c r="S6" s="103"/>
      <c r="T6" s="103"/>
      <c r="U6" s="103"/>
      <c r="V6" s="103"/>
      <c r="W6" s="103"/>
      <c r="X6" s="103"/>
      <c r="Y6" s="103"/>
      <c r="Z6" s="103"/>
      <c r="AA6" s="103"/>
      <c r="AB6" s="103"/>
      <c r="AC6" s="103"/>
      <c r="AD6" s="103"/>
      <c r="AE6" s="103"/>
      <c r="AF6" s="103"/>
      <c r="AG6" s="103"/>
      <c r="AH6" s="103"/>
      <c r="AI6" s="103"/>
      <c r="AJ6" s="103"/>
      <c r="AK6" s="103"/>
    </row>
    <row r="7" customFormat="false" ht="16.5" hidden="false" customHeight="true" outlineLevel="0" collapsed="false">
      <c r="A7" s="14" t="s">
        <v>312</v>
      </c>
      <c r="B7" s="103"/>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row>
    <row r="8" customFormat="false" ht="16.5" hidden="false" customHeight="true" outlineLevel="0" collapsed="false">
      <c r="A8" s="14" t="s">
        <v>320</v>
      </c>
      <c r="B8" s="104"/>
      <c r="C8" s="104"/>
      <c r="D8" s="104"/>
      <c r="E8" s="104"/>
      <c r="F8" s="104"/>
      <c r="G8" s="104"/>
      <c r="H8" s="104"/>
      <c r="I8" s="104"/>
      <c r="J8" s="104"/>
      <c r="K8" s="104"/>
      <c r="L8" s="104"/>
      <c r="M8" s="104"/>
      <c r="N8" s="104"/>
      <c r="O8" s="104"/>
      <c r="P8" s="104"/>
      <c r="Q8" s="104"/>
      <c r="R8" s="104"/>
      <c r="S8" s="104"/>
      <c r="T8" s="104"/>
      <c r="U8" s="104"/>
      <c r="V8" s="104"/>
      <c r="W8" s="104"/>
      <c r="X8" s="104"/>
      <c r="Y8" s="104"/>
      <c r="Z8" s="104"/>
      <c r="AA8" s="104"/>
      <c r="AB8" s="104"/>
      <c r="AC8" s="104"/>
      <c r="AD8" s="104"/>
      <c r="AE8" s="104"/>
      <c r="AF8" s="104"/>
      <c r="AG8" s="104"/>
      <c r="AH8" s="104"/>
      <c r="AI8" s="104"/>
      <c r="AJ8" s="104"/>
      <c r="AK8" s="104"/>
    </row>
    <row r="9" customFormat="false" ht="16.5" hidden="false" customHeight="true" outlineLevel="0" collapsed="false">
      <c r="A9" s="14" t="s">
        <v>331</v>
      </c>
      <c r="B9" s="104"/>
      <c r="C9" s="104"/>
      <c r="D9" s="104"/>
      <c r="E9" s="104"/>
      <c r="F9" s="104"/>
      <c r="G9" s="104"/>
      <c r="H9" s="104"/>
      <c r="I9" s="104"/>
      <c r="J9" s="104"/>
      <c r="K9" s="104"/>
      <c r="L9" s="104"/>
      <c r="M9" s="104"/>
      <c r="N9" s="104"/>
      <c r="O9" s="104"/>
      <c r="P9" s="104"/>
      <c r="Q9" s="104"/>
      <c r="R9" s="104"/>
      <c r="S9" s="104"/>
      <c r="T9" s="104"/>
      <c r="U9" s="104"/>
      <c r="V9" s="104"/>
      <c r="W9" s="104"/>
      <c r="X9" s="104"/>
      <c r="Y9" s="104"/>
      <c r="Z9" s="104"/>
      <c r="AA9" s="104"/>
      <c r="AB9" s="104"/>
      <c r="AC9" s="104"/>
      <c r="AD9" s="104"/>
      <c r="AE9" s="104"/>
      <c r="AF9" s="104"/>
      <c r="AG9" s="104"/>
      <c r="AH9" s="104"/>
      <c r="AI9" s="104"/>
      <c r="AJ9" s="104"/>
      <c r="AK9" s="104"/>
    </row>
    <row r="10" customFormat="false" ht="16.5" hidden="false" customHeight="true" outlineLevel="0" collapsed="false">
      <c r="A10" s="14" t="s">
        <v>621</v>
      </c>
      <c r="B10" s="103"/>
      <c r="C10" s="103"/>
      <c r="D10" s="103"/>
      <c r="E10" s="103"/>
      <c r="F10" s="103"/>
      <c r="G10" s="103"/>
      <c r="H10" s="103"/>
      <c r="I10" s="103"/>
      <c r="J10" s="103"/>
      <c r="K10" s="103"/>
      <c r="L10" s="103"/>
      <c r="M10" s="103"/>
      <c r="N10" s="103"/>
      <c r="O10" s="103"/>
      <c r="P10" s="103"/>
      <c r="Q10" s="103"/>
      <c r="R10" s="103"/>
      <c r="S10" s="103"/>
      <c r="T10" s="103"/>
      <c r="U10" s="103"/>
      <c r="V10" s="103"/>
      <c r="W10" s="103"/>
      <c r="X10" s="103"/>
      <c r="Y10" s="103"/>
      <c r="Z10" s="103"/>
      <c r="AA10" s="103"/>
      <c r="AB10" s="103"/>
      <c r="AC10" s="103"/>
      <c r="AD10" s="103"/>
      <c r="AE10" s="103"/>
      <c r="AF10" s="103"/>
      <c r="AG10" s="103"/>
      <c r="AH10" s="103"/>
      <c r="AI10" s="103"/>
      <c r="AJ10" s="103"/>
      <c r="AK10" s="103"/>
    </row>
    <row r="12" customFormat="false" ht="16.5" hidden="false" customHeight="true" outlineLevel="0" collapsed="false">
      <c r="A12" s="27" t="s">
        <v>622</v>
      </c>
      <c r="B12" s="105" t="n">
        <f aca="false">Realistisch!B7</f>
        <v>0</v>
      </c>
      <c r="C12" s="105" t="n">
        <f aca="false">Realistisch!C7</f>
        <v>274.119138262654</v>
      </c>
      <c r="D12" s="105" t="n">
        <f aca="false">Realistisch!D7</f>
        <v>713.445415997731</v>
      </c>
      <c r="E12" s="105" t="n">
        <f aca="false">Realistisch!E7</f>
        <v>1248.43716670462</v>
      </c>
      <c r="F12" s="105" t="n">
        <f aca="false">Realistisch!F7</f>
        <v>1856.87276282206</v>
      </c>
      <c r="G12" s="105" t="n">
        <f aca="false">Realistisch!G7</f>
        <v>2526.49221204985</v>
      </c>
      <c r="H12" s="105" t="n">
        <f aca="false">Realistisch!H7</f>
        <v>3249.28707784412</v>
      </c>
      <c r="I12" s="105" t="n">
        <f aca="false">Realistisch!I7</f>
        <v>4019.52424968034</v>
      </c>
      <c r="J12" s="105" t="n">
        <f aca="false">Realistisch!J7</f>
        <v>4832.85249298089</v>
      </c>
      <c r="K12" s="105" t="n">
        <f aca="false">Realistisch!K7</f>
        <v>5685.83196739826</v>
      </c>
      <c r="L12" s="105" t="n">
        <f aca="false">Realistisch!L7</f>
        <v>6575.66012597708</v>
      </c>
      <c r="M12" s="105" t="n">
        <f aca="false">Realistisch!M7</f>
        <v>7500</v>
      </c>
      <c r="N12" s="105" t="n">
        <f aca="false">Realistisch!N7</f>
        <v>8185.69652616326</v>
      </c>
      <c r="O12" s="105" t="n">
        <f aca="false">Realistisch!O7</f>
        <v>9165.13842862977</v>
      </c>
      <c r="P12" s="105" t="n">
        <f aca="false">Realistisch!P7</f>
        <v>10297.9964253608</v>
      </c>
      <c r="Q12" s="105" t="n">
        <f aca="false">Realistisch!Q7</f>
        <v>11543.6051237038</v>
      </c>
      <c r="R12" s="105" t="n">
        <f aca="false">Realistisch!R7</f>
        <v>12880.387497263</v>
      </c>
      <c r="S12" s="105" t="n">
        <f aca="false">Realistisch!S7</f>
        <v>14294.6258924575</v>
      </c>
      <c r="T12" s="105" t="n">
        <f aca="false">Realistisch!T7</f>
        <v>15776.7043182751</v>
      </c>
      <c r="U12" s="105" t="n">
        <f aca="false">Realistisch!U7</f>
        <v>17319.4493114294</v>
      </c>
      <c r="V12" s="105" t="n">
        <f aca="false">Realistisch!V7</f>
        <v>18917.272361196</v>
      </c>
      <c r="W12" s="105" t="n">
        <f aca="false">Realistisch!W7</f>
        <v>20565.6779504795</v>
      </c>
      <c r="X12" s="105" t="n">
        <f aca="false">Realistisch!X7</f>
        <v>22260.9594191876</v>
      </c>
      <c r="Y12" s="105" t="n">
        <f aca="false">Realistisch!Y7</f>
        <v>24000</v>
      </c>
      <c r="Z12" s="105" t="n">
        <f aca="false">Realistisch!Z7</f>
        <v>25579.1798784366</v>
      </c>
      <c r="AA12" s="105" t="n">
        <f aca="false">Realistisch!AA7</f>
        <v>27834.8642598746</v>
      </c>
      <c r="AB12" s="105" t="n">
        <f aca="false">Realistisch!AB7</f>
        <v>30443.8705553764</v>
      </c>
      <c r="AC12" s="105" t="n">
        <f aca="false">Realistisch!AC7</f>
        <v>33312.5451333783</v>
      </c>
      <c r="AD12" s="105" t="n">
        <f aca="false">Realistisch!AD7</f>
        <v>36391.195448242</v>
      </c>
      <c r="AE12" s="105" t="n">
        <f aca="false">Realistisch!AE7</f>
        <v>39648.2293280839</v>
      </c>
      <c r="AF12" s="105" t="n">
        <f aca="false">Realistisch!AF7</f>
        <v>43061.5008542093</v>
      </c>
      <c r="AG12" s="105" t="n">
        <f aca="false">Realistisch!AG7</f>
        <v>46614.489323292</v>
      </c>
      <c r="AH12" s="105" t="n">
        <f aca="false">Realistisch!AH7</f>
        <v>50294.3242257848</v>
      </c>
      <c r="AI12" s="105" t="n">
        <f aca="false">Realistisch!AI7</f>
        <v>54090.6522495892</v>
      </c>
      <c r="AJ12" s="105" t="n">
        <f aca="false">Realistisch!AJ7</f>
        <v>57994.9368441897</v>
      </c>
      <c r="AK12" s="105" t="n">
        <f aca="false">Realistisch!AK7</f>
        <v>62000</v>
      </c>
    </row>
    <row r="13" customFormat="false" ht="16.5" hidden="false" customHeight="true" outlineLevel="0" collapsed="false">
      <c r="A13" s="27" t="s">
        <v>623</v>
      </c>
      <c r="B13" s="106" t="str">
        <f aca="false">IF(B12=0,"",(B6-B12)/B12)</f>
        <v/>
      </c>
      <c r="C13" s="106" t="n">
        <f aca="false">IF(C12=0,"",(C6-C12)/C12)</f>
        <v>-1</v>
      </c>
      <c r="D13" s="106" t="n">
        <f aca="false">IF(D12=0,"",(D6-D12)/D12)</f>
        <v>-1</v>
      </c>
      <c r="E13" s="106" t="n">
        <f aca="false">IF(E12=0,"",(E6-E12)/E12)</f>
        <v>-1</v>
      </c>
      <c r="F13" s="106" t="n">
        <f aca="false">IF(F12=0,"",(F6-F12)/F12)</f>
        <v>-1</v>
      </c>
      <c r="G13" s="106" t="n">
        <f aca="false">IF(G12=0,"",(G6-G12)/G12)</f>
        <v>-1</v>
      </c>
      <c r="H13" s="106" t="n">
        <f aca="false">IF(H12=0,"",(H6-H12)/H12)</f>
        <v>-1</v>
      </c>
      <c r="I13" s="106" t="n">
        <f aca="false">IF(I12=0,"",(I6-I12)/I12)</f>
        <v>-1</v>
      </c>
      <c r="J13" s="106" t="n">
        <f aca="false">IF(J12=0,"",(J6-J12)/J12)</f>
        <v>-1</v>
      </c>
      <c r="K13" s="106" t="n">
        <f aca="false">IF(K12=0,"",(K6-K12)/K12)</f>
        <v>-1</v>
      </c>
      <c r="L13" s="106" t="n">
        <f aca="false">IF(L12=0,"",(L6-L12)/L12)</f>
        <v>-1</v>
      </c>
      <c r="M13" s="106" t="n">
        <f aca="false">IF(M12=0,"",(M6-M12)/M12)</f>
        <v>-1</v>
      </c>
      <c r="N13" s="106" t="n">
        <f aca="false">IF(N12=0,"",(N6-N12)/N12)</f>
        <v>-1</v>
      </c>
      <c r="O13" s="106" t="n">
        <f aca="false">IF(O12=0,"",(O6-O12)/O12)</f>
        <v>-1</v>
      </c>
      <c r="P13" s="106" t="n">
        <f aca="false">IF(P12=0,"",(P6-P12)/P12)</f>
        <v>-1</v>
      </c>
      <c r="Q13" s="106" t="n">
        <f aca="false">IF(Q12=0,"",(Q6-Q12)/Q12)</f>
        <v>-1</v>
      </c>
      <c r="R13" s="106" t="n">
        <f aca="false">IF(R12=0,"",(R6-R12)/R12)</f>
        <v>-1</v>
      </c>
      <c r="S13" s="106" t="n">
        <f aca="false">IF(S12=0,"",(S6-S12)/S12)</f>
        <v>-1</v>
      </c>
      <c r="T13" s="106" t="n">
        <f aca="false">IF(T12=0,"",(T6-T12)/T12)</f>
        <v>-1</v>
      </c>
      <c r="U13" s="106" t="n">
        <f aca="false">IF(U12=0,"",(U6-U12)/U12)</f>
        <v>-1</v>
      </c>
      <c r="V13" s="106" t="n">
        <f aca="false">IF(V12=0,"",(V6-V12)/V12)</f>
        <v>-1</v>
      </c>
      <c r="W13" s="106" t="n">
        <f aca="false">IF(W12=0,"",(W6-W12)/W12)</f>
        <v>-1</v>
      </c>
      <c r="X13" s="106" t="n">
        <f aca="false">IF(X12=0,"",(X6-X12)/X12)</f>
        <v>-1</v>
      </c>
      <c r="Y13" s="106" t="n">
        <f aca="false">IF(Y12=0,"",(Y6-Y12)/Y12)</f>
        <v>-1</v>
      </c>
      <c r="Z13" s="106" t="n">
        <f aca="false">IF(Z12=0,"",(Z6-Z12)/Z12)</f>
        <v>-1</v>
      </c>
      <c r="AA13" s="106" t="n">
        <f aca="false">IF(AA12=0,"",(AA6-AA12)/AA12)</f>
        <v>-1</v>
      </c>
      <c r="AB13" s="106" t="n">
        <f aca="false">IF(AB12=0,"",(AB6-AB12)/AB12)</f>
        <v>-1</v>
      </c>
      <c r="AC13" s="106" t="n">
        <f aca="false">IF(AC12=0,"",(AC6-AC12)/AC12)</f>
        <v>-1</v>
      </c>
      <c r="AD13" s="106" t="n">
        <f aca="false">IF(AD12=0,"",(AD6-AD12)/AD12)</f>
        <v>-1</v>
      </c>
      <c r="AE13" s="106" t="n">
        <f aca="false">IF(AE12=0,"",(AE6-AE12)/AE12)</f>
        <v>-1</v>
      </c>
      <c r="AF13" s="106" t="n">
        <f aca="false">IF(AF12=0,"",(AF6-AF12)/AF12)</f>
        <v>-1</v>
      </c>
      <c r="AG13" s="106" t="n">
        <f aca="false">IF(AG12=0,"",(AG6-AG12)/AG12)</f>
        <v>-1</v>
      </c>
      <c r="AH13" s="106" t="n">
        <f aca="false">IF(AH12=0,"",(AH6-AH12)/AH12)</f>
        <v>-1</v>
      </c>
      <c r="AI13" s="106" t="n">
        <f aca="false">IF(AI12=0,"",(AI6-AI12)/AI12)</f>
        <v>-1</v>
      </c>
      <c r="AJ13" s="106" t="n">
        <f aca="false">IF(AJ12=0,"",(AJ6-AJ12)/AJ12)</f>
        <v>-1</v>
      </c>
      <c r="AK13" s="106" t="n">
        <f aca="false">IF(AK12=0,"",(AK6-AK12)/AK12)</f>
        <v>-1</v>
      </c>
    </row>
    <row r="14" customFormat="false" ht="16.5" hidden="false" customHeight="true" outlineLevel="0" collapsed="false">
      <c r="A14" s="27" t="s">
        <v>624</v>
      </c>
      <c r="B14" s="107" t="n">
        <f aca="false">Realistisch!B19</f>
        <v>0</v>
      </c>
      <c r="C14" s="107" t="n">
        <f aca="false">Realistisch!C19</f>
        <v>0</v>
      </c>
      <c r="D14" s="107" t="n">
        <f aca="false">Realistisch!D19</f>
        <v>0</v>
      </c>
      <c r="E14" s="107" t="n">
        <f aca="false">Realistisch!E19</f>
        <v>0</v>
      </c>
      <c r="F14" s="107" t="n">
        <f aca="false">Realistisch!F19</f>
        <v>0</v>
      </c>
      <c r="G14" s="107" t="n">
        <f aca="false">Realistisch!G19</f>
        <v>0</v>
      </c>
      <c r="H14" s="107" t="n">
        <f aca="false">Realistisch!H19</f>
        <v>0</v>
      </c>
      <c r="I14" s="107" t="n">
        <f aca="false">Realistisch!I19</f>
        <v>0</v>
      </c>
      <c r="J14" s="107" t="n">
        <f aca="false">Realistisch!J19</f>
        <v>0</v>
      </c>
      <c r="K14" s="107" t="n">
        <f aca="false">Realistisch!K19</f>
        <v>0</v>
      </c>
      <c r="L14" s="107" t="n">
        <f aca="false">Realistisch!L19</f>
        <v>0</v>
      </c>
      <c r="M14" s="107" t="n">
        <f aca="false">Realistisch!M19</f>
        <v>0</v>
      </c>
      <c r="N14" s="107" t="n">
        <f aca="false">Realistisch!N19</f>
        <v>290</v>
      </c>
      <c r="O14" s="107" t="n">
        <f aca="false">Realistisch!O19</f>
        <v>1683.63618073461</v>
      </c>
      <c r="P14" s="107" t="n">
        <f aca="false">Realistisch!P19</f>
        <v>1922.13698896436</v>
      </c>
      <c r="Q14" s="107" t="n">
        <f aca="false">Realistisch!Q19</f>
        <v>2193.80685234426</v>
      </c>
      <c r="R14" s="107" t="n">
        <f aca="false">Realistisch!R19</f>
        <v>2497.12418410478</v>
      </c>
      <c r="S14" s="107" t="n">
        <f aca="false">Realistisch!S19</f>
        <v>2831.40953442199</v>
      </c>
      <c r="T14" s="107" t="n">
        <f aca="false">Realistisch!T19</f>
        <v>3196.38611555827</v>
      </c>
      <c r="U14" s="107" t="n">
        <f aca="false">Realistisch!U19</f>
        <v>4125.9954002494</v>
      </c>
      <c r="V14" s="107" t="n">
        <f aca="false">Realistisch!V19</f>
        <v>4552.30666256536</v>
      </c>
      <c r="W14" s="107" t="n">
        <f aca="false">Realistisch!W19</f>
        <v>5470.26783063207</v>
      </c>
      <c r="X14" s="107" t="n">
        <f aca="false">Realistisch!X19</f>
        <v>5958.47678585633</v>
      </c>
      <c r="Y14" s="107" t="n">
        <f aca="false">Realistisch!Y19</f>
        <v>6477.96368167798</v>
      </c>
      <c r="Z14" s="107" t="n">
        <f aca="false">Realistisch!Z19</f>
        <v>8269.00356039385</v>
      </c>
      <c r="AA14" s="107" t="n">
        <f aca="false">Realistisch!AA19</f>
        <v>8950.64538670102</v>
      </c>
      <c r="AB14" s="107" t="n">
        <f aca="false">Realistisch!AB19</f>
        <v>9744.5763871683</v>
      </c>
      <c r="AC14" s="107" t="n">
        <f aca="false">Realistisch!AC19</f>
        <v>10634.940032739</v>
      </c>
      <c r="AD14" s="107" t="n">
        <f aca="false">Realistisch!AD19</f>
        <v>11614.3963889095</v>
      </c>
      <c r="AE14" s="107" t="n">
        <f aca="false">Realistisch!AE19</f>
        <v>12678.942121862</v>
      </c>
      <c r="AF14" s="107" t="n">
        <f aca="false">Realistisch!AF19</f>
        <v>13826.230379269</v>
      </c>
      <c r="AG14" s="107" t="n">
        <f aca="false">Realistisch!AG19</f>
        <v>15054.8511690734</v>
      </c>
      <c r="AH14" s="107" t="n">
        <f aca="false">Realistisch!AH19</f>
        <v>16363.9705811512</v>
      </c>
      <c r="AI14" s="107" t="n">
        <f aca="false">Realistisch!AI19</f>
        <v>17753.1301457853</v>
      </c>
      <c r="AJ14" s="107" t="n">
        <f aca="false">Realistisch!AJ19</f>
        <v>19222.1266695855</v>
      </c>
      <c r="AK14" s="107" t="n">
        <f aca="false">Realistisch!AK19</f>
        <v>20372.1308707227</v>
      </c>
    </row>
    <row r="15" customFormat="false" ht="16.5" hidden="false" customHeight="true" outlineLevel="0" collapsed="false">
      <c r="A15" s="27" t="s">
        <v>625</v>
      </c>
      <c r="B15" s="106" t="str">
        <f aca="false">IF(B14=0,"",(B8-B14)/B14)</f>
        <v/>
      </c>
      <c r="C15" s="106" t="str">
        <f aca="false">IF(C14=0,"",(C8-C14)/C14)</f>
        <v/>
      </c>
      <c r="D15" s="106" t="str">
        <f aca="false">IF(D14=0,"",(D8-D14)/D14)</f>
        <v/>
      </c>
      <c r="E15" s="106" t="str">
        <f aca="false">IF(E14=0,"",(E8-E14)/E14)</f>
        <v/>
      </c>
      <c r="F15" s="106" t="str">
        <f aca="false">IF(F14=0,"",(F8-F14)/F14)</f>
        <v/>
      </c>
      <c r="G15" s="106" t="str">
        <f aca="false">IF(G14=0,"",(G8-G14)/G14)</f>
        <v/>
      </c>
      <c r="H15" s="106" t="str">
        <f aca="false">IF(H14=0,"",(H8-H14)/H14)</f>
        <v/>
      </c>
      <c r="I15" s="106" t="str">
        <f aca="false">IF(I14=0,"",(I8-I14)/I14)</f>
        <v/>
      </c>
      <c r="J15" s="106" t="str">
        <f aca="false">IF(J14=0,"",(J8-J14)/J14)</f>
        <v/>
      </c>
      <c r="K15" s="106" t="str">
        <f aca="false">IF(K14=0,"",(K8-K14)/K14)</f>
        <v/>
      </c>
      <c r="L15" s="106" t="str">
        <f aca="false">IF(L14=0,"",(L8-L14)/L14)</f>
        <v/>
      </c>
      <c r="M15" s="106" t="str">
        <f aca="false">IF(M14=0,"",(M8-M14)/M14)</f>
        <v/>
      </c>
      <c r="N15" s="106" t="n">
        <f aca="false">IF(N14=0,"",(N8-N14)/N14)</f>
        <v>-1</v>
      </c>
      <c r="O15" s="106" t="n">
        <f aca="false">IF(O14=0,"",(O8-O14)/O14)</f>
        <v>-1</v>
      </c>
      <c r="P15" s="106" t="n">
        <f aca="false">IF(P14=0,"",(P8-P14)/P14)</f>
        <v>-1</v>
      </c>
      <c r="Q15" s="106" t="n">
        <f aca="false">IF(Q14=0,"",(Q8-Q14)/Q14)</f>
        <v>-1</v>
      </c>
      <c r="R15" s="106" t="n">
        <f aca="false">IF(R14=0,"",(R8-R14)/R14)</f>
        <v>-1</v>
      </c>
      <c r="S15" s="106" t="n">
        <f aca="false">IF(S14=0,"",(S8-S14)/S14)</f>
        <v>-1</v>
      </c>
      <c r="T15" s="106" t="n">
        <f aca="false">IF(T14=0,"",(T8-T14)/T14)</f>
        <v>-1</v>
      </c>
      <c r="U15" s="106" t="n">
        <f aca="false">IF(U14=0,"",(U8-U14)/U14)</f>
        <v>-1</v>
      </c>
      <c r="V15" s="106" t="n">
        <f aca="false">IF(V14=0,"",(V8-V14)/V14)</f>
        <v>-1</v>
      </c>
      <c r="W15" s="106" t="n">
        <f aca="false">IF(W14=0,"",(W8-W14)/W14)</f>
        <v>-1</v>
      </c>
      <c r="X15" s="106" t="n">
        <f aca="false">IF(X14=0,"",(X8-X14)/X14)</f>
        <v>-1</v>
      </c>
      <c r="Y15" s="106" t="n">
        <f aca="false">IF(Y14=0,"",(Y8-Y14)/Y14)</f>
        <v>-1</v>
      </c>
      <c r="Z15" s="106" t="n">
        <f aca="false">IF(Z14=0,"",(Z8-Z14)/Z14)</f>
        <v>-1</v>
      </c>
      <c r="AA15" s="106" t="n">
        <f aca="false">IF(AA14=0,"",(AA8-AA14)/AA14)</f>
        <v>-1</v>
      </c>
      <c r="AB15" s="106" t="n">
        <f aca="false">IF(AB14=0,"",(AB8-AB14)/AB14)</f>
        <v>-1</v>
      </c>
      <c r="AC15" s="106" t="n">
        <f aca="false">IF(AC14=0,"",(AC8-AC14)/AC14)</f>
        <v>-1</v>
      </c>
      <c r="AD15" s="106" t="n">
        <f aca="false">IF(AD14=0,"",(AD8-AD14)/AD14)</f>
        <v>-1</v>
      </c>
      <c r="AE15" s="106" t="n">
        <f aca="false">IF(AE14=0,"",(AE8-AE14)/AE14)</f>
        <v>-1</v>
      </c>
      <c r="AF15" s="106" t="n">
        <f aca="false">IF(AF14=0,"",(AF8-AF14)/AF14)</f>
        <v>-1</v>
      </c>
      <c r="AG15" s="106" t="n">
        <f aca="false">IF(AG14=0,"",(AG8-AG14)/AG14)</f>
        <v>-1</v>
      </c>
      <c r="AH15" s="106" t="n">
        <f aca="false">IF(AH14=0,"",(AH8-AH14)/AH14)</f>
        <v>-1</v>
      </c>
      <c r="AI15" s="106" t="n">
        <f aca="false">IF(AI14=0,"",(AI8-AI14)/AI14)</f>
        <v>-1</v>
      </c>
      <c r="AJ15" s="106" t="n">
        <f aca="false">IF(AJ14=0,"",(AJ8-AJ14)/AJ14)</f>
        <v>-1</v>
      </c>
      <c r="AK15" s="106" t="n">
        <f aca="false">IF(AK14=0,"",(AK8-AK14)/AK14)</f>
        <v>-1</v>
      </c>
    </row>
    <row r="16" customFormat="false" ht="16.5" hidden="false" customHeight="true" outlineLevel="0" collapsed="false">
      <c r="A16" s="27" t="s">
        <v>626</v>
      </c>
      <c r="B16" s="107" t="n">
        <f aca="false">Realistisch!B33</f>
        <v>-34286.6666666667</v>
      </c>
      <c r="C16" s="107" t="n">
        <f aca="false">Realistisch!C33</f>
        <v>-4494.81651241034</v>
      </c>
      <c r="D16" s="107" t="n">
        <f aca="false">Realistisch!D33</f>
        <v>-13459.3381951263</v>
      </c>
      <c r="E16" s="107" t="n">
        <f aca="false">Realistisch!E33</f>
        <v>-6594.60281099449</v>
      </c>
      <c r="F16" s="107" t="n">
        <f aca="false">Realistisch!F33</f>
        <v>-5226.62987146277</v>
      </c>
      <c r="G16" s="107" t="n">
        <f aca="false">Realistisch!G33</f>
        <v>-4359.81616404972</v>
      </c>
      <c r="H16" s="107" t="n">
        <f aca="false">Realistisch!H33</f>
        <v>-2495.64251939414</v>
      </c>
      <c r="I16" s="107" t="n">
        <f aca="false">Realistisch!I33</f>
        <v>-8134.69515642408</v>
      </c>
      <c r="J16" s="107" t="n">
        <f aca="false">Realistisch!J33</f>
        <v>-2777.20618776594</v>
      </c>
      <c r="K16" s="107" t="n">
        <f aca="false">Realistisch!K33</f>
        <v>-2909.92270841923</v>
      </c>
      <c r="L16" s="107" t="n">
        <f aca="false">Realistisch!L33</f>
        <v>-3042.19970445826</v>
      </c>
      <c r="M16" s="107" t="n">
        <f aca="false">Realistisch!M33</f>
        <v>-3177.28407239257</v>
      </c>
      <c r="N16" s="107" t="n">
        <f aca="false">Realistisch!N33</f>
        <v>-6991.17314955905</v>
      </c>
      <c r="O16" s="107" t="n">
        <f aca="false">Realistisch!O33</f>
        <v>-1899.30039229717</v>
      </c>
      <c r="P16" s="107" t="n">
        <f aca="false">Realistisch!P33</f>
        <v>-1894.89530364231</v>
      </c>
      <c r="Q16" s="107" t="n">
        <f aca="false">Realistisch!Q33</f>
        <v>-1846.11973579759</v>
      </c>
      <c r="R16" s="107" t="n">
        <f aca="false">Realistisch!R33</f>
        <v>-1954.15359237054</v>
      </c>
      <c r="S16" s="107" t="n">
        <f aca="false">Realistisch!S33</f>
        <v>-2147.83475229304</v>
      </c>
      <c r="T16" s="107" t="n">
        <f aca="false">Realistisch!T33</f>
        <v>-2327.92799640996</v>
      </c>
      <c r="U16" s="107" t="n">
        <f aca="false">Realistisch!U33</f>
        <v>-1959.56271962369</v>
      </c>
      <c r="V16" s="107" t="n">
        <f aca="false">Realistisch!V33</f>
        <v>-2109.74971920244</v>
      </c>
      <c r="W16" s="107" t="n">
        <f aca="false">Realistisch!W33</f>
        <v>-1688.03203697259</v>
      </c>
      <c r="X16" s="107" t="n">
        <f aca="false">Realistisch!X33</f>
        <v>-1520.6762511906</v>
      </c>
      <c r="Y16" s="107" t="n">
        <f aca="false">Realistisch!Y33</f>
        <v>-1327.65574856708</v>
      </c>
      <c r="Z16" s="107" t="n">
        <f aca="false">Realistisch!Z33</f>
        <v>-8043.29368823573</v>
      </c>
      <c r="AA16" s="107" t="n">
        <f aca="false">Realistisch!AA33</f>
        <v>-167.365532306843</v>
      </c>
      <c r="AB16" s="107" t="n">
        <f aca="false">Realistisch!AB33</f>
        <v>-40.6538530998532</v>
      </c>
      <c r="AC16" s="107" t="n">
        <f aca="false">Realistisch!AC33</f>
        <v>195.539214056058</v>
      </c>
      <c r="AD16" s="107" t="n">
        <f aca="false">Realistisch!AD33</f>
        <v>515.31596425504</v>
      </c>
      <c r="AE16" s="107" t="n">
        <f aca="false">Realistisch!AE33</f>
        <v>908.949161033839</v>
      </c>
      <c r="AF16" s="107" t="n">
        <f aca="false">Realistisch!AF33</f>
        <v>1372.07919565359</v>
      </c>
      <c r="AG16" s="107" t="n">
        <f aca="false">Realistisch!AG33</f>
        <v>1902.67143168547</v>
      </c>
      <c r="AH16" s="107" t="n">
        <f aca="false">Realistisch!AH33</f>
        <v>2499.85691732585</v>
      </c>
      <c r="AI16" s="107" t="n">
        <f aca="false">Realistisch!AI33</f>
        <v>3163.40749311999</v>
      </c>
      <c r="AJ16" s="107" t="n">
        <f aca="false">Realistisch!AJ33</f>
        <v>3893.46944487133</v>
      </c>
      <c r="AK16" s="107" t="n">
        <f aca="false">Realistisch!AK33</f>
        <v>4291.61164955223</v>
      </c>
    </row>
    <row r="17" customFormat="false" ht="16.5" hidden="false" customHeight="true" outlineLevel="0" collapsed="false">
      <c r="A17" s="27" t="s">
        <v>627</v>
      </c>
      <c r="B17" s="107" t="n">
        <f aca="false">B8-B9</f>
        <v>0</v>
      </c>
      <c r="C17" s="107" t="n">
        <f aca="false">C8-C9</f>
        <v>0</v>
      </c>
      <c r="D17" s="107" t="n">
        <f aca="false">D8-D9</f>
        <v>0</v>
      </c>
      <c r="E17" s="107" t="n">
        <f aca="false">E8-E9</f>
        <v>0</v>
      </c>
      <c r="F17" s="107" t="n">
        <f aca="false">F8-F9</f>
        <v>0</v>
      </c>
      <c r="G17" s="107" t="n">
        <f aca="false">G8-G9</f>
        <v>0</v>
      </c>
      <c r="H17" s="107" t="n">
        <f aca="false">H8-H9</f>
        <v>0</v>
      </c>
      <c r="I17" s="107" t="n">
        <f aca="false">I8-I9</f>
        <v>0</v>
      </c>
      <c r="J17" s="107" t="n">
        <f aca="false">J8-J9</f>
        <v>0</v>
      </c>
      <c r="K17" s="107" t="n">
        <f aca="false">K8-K9</f>
        <v>0</v>
      </c>
      <c r="L17" s="107" t="n">
        <f aca="false">L8-L9</f>
        <v>0</v>
      </c>
      <c r="M17" s="107" t="n">
        <f aca="false">M8-M9</f>
        <v>0</v>
      </c>
      <c r="N17" s="107" t="n">
        <f aca="false">N8-N9</f>
        <v>0</v>
      </c>
      <c r="O17" s="107" t="n">
        <f aca="false">O8-O9</f>
        <v>0</v>
      </c>
      <c r="P17" s="107" t="n">
        <f aca="false">P8-P9</f>
        <v>0</v>
      </c>
      <c r="Q17" s="107" t="n">
        <f aca="false">Q8-Q9</f>
        <v>0</v>
      </c>
      <c r="R17" s="107" t="n">
        <f aca="false">R8-R9</f>
        <v>0</v>
      </c>
      <c r="S17" s="107" t="n">
        <f aca="false">S8-S9</f>
        <v>0</v>
      </c>
      <c r="T17" s="107" t="n">
        <f aca="false">T8-T9</f>
        <v>0</v>
      </c>
      <c r="U17" s="107" t="n">
        <f aca="false">U8-U9</f>
        <v>0</v>
      </c>
      <c r="V17" s="107" t="n">
        <f aca="false">V8-V9</f>
        <v>0</v>
      </c>
      <c r="W17" s="107" t="n">
        <f aca="false">W8-W9</f>
        <v>0</v>
      </c>
      <c r="X17" s="107" t="n">
        <f aca="false">X8-X9</f>
        <v>0</v>
      </c>
      <c r="Y17" s="107" t="n">
        <f aca="false">Y8-Y9</f>
        <v>0</v>
      </c>
      <c r="Z17" s="107" t="n">
        <f aca="false">Z8-Z9</f>
        <v>0</v>
      </c>
      <c r="AA17" s="107" t="n">
        <f aca="false">AA8-AA9</f>
        <v>0</v>
      </c>
      <c r="AB17" s="107" t="n">
        <f aca="false">AB8-AB9</f>
        <v>0</v>
      </c>
      <c r="AC17" s="107" t="n">
        <f aca="false">AC8-AC9</f>
        <v>0</v>
      </c>
      <c r="AD17" s="107" t="n">
        <f aca="false">AD8-AD9</f>
        <v>0</v>
      </c>
      <c r="AE17" s="107" t="n">
        <f aca="false">AE8-AE9</f>
        <v>0</v>
      </c>
      <c r="AF17" s="107" t="n">
        <f aca="false">AF8-AF9</f>
        <v>0</v>
      </c>
      <c r="AG17" s="107" t="n">
        <f aca="false">AG8-AG9</f>
        <v>0</v>
      </c>
      <c r="AH17" s="107" t="n">
        <f aca="false">AH8-AH9</f>
        <v>0</v>
      </c>
      <c r="AI17" s="107" t="n">
        <f aca="false">AI8-AI9</f>
        <v>0</v>
      </c>
      <c r="AJ17" s="107" t="n">
        <f aca="false">AJ8-AJ9</f>
        <v>0</v>
      </c>
      <c r="AK17" s="107" t="n">
        <f aca="false">AK8-AK9</f>
        <v>0</v>
      </c>
    </row>
    <row r="18" customFormat="false" ht="16.5" hidden="false" customHeight="true" outlineLevel="0" collapsed="false">
      <c r="A18" s="27" t="s">
        <v>628</v>
      </c>
      <c r="B18" s="107" t="n">
        <f aca="false">B17</f>
        <v>0</v>
      </c>
      <c r="C18" s="107" t="n">
        <f aca="false">B18+C17</f>
        <v>0</v>
      </c>
      <c r="D18" s="107" t="n">
        <f aca="false">C18+D17</f>
        <v>0</v>
      </c>
      <c r="E18" s="107" t="n">
        <f aca="false">D18+E17</f>
        <v>0</v>
      </c>
      <c r="F18" s="107" t="n">
        <f aca="false">E18+F17</f>
        <v>0</v>
      </c>
      <c r="G18" s="107" t="n">
        <f aca="false">F18+G17</f>
        <v>0</v>
      </c>
      <c r="H18" s="107" t="n">
        <f aca="false">G18+H17</f>
        <v>0</v>
      </c>
      <c r="I18" s="107" t="n">
        <f aca="false">H18+I17</f>
        <v>0</v>
      </c>
      <c r="J18" s="107" t="n">
        <f aca="false">I18+J17</f>
        <v>0</v>
      </c>
      <c r="K18" s="107" t="n">
        <f aca="false">J18+K17</f>
        <v>0</v>
      </c>
      <c r="L18" s="107" t="n">
        <f aca="false">K18+L17</f>
        <v>0</v>
      </c>
      <c r="M18" s="107" t="n">
        <f aca="false">L18+M17</f>
        <v>0</v>
      </c>
      <c r="N18" s="107" t="n">
        <f aca="false">M18+N17</f>
        <v>0</v>
      </c>
      <c r="O18" s="107" t="n">
        <f aca="false">N18+O17</f>
        <v>0</v>
      </c>
      <c r="P18" s="107" t="n">
        <f aca="false">O18+P17</f>
        <v>0</v>
      </c>
      <c r="Q18" s="107" t="n">
        <f aca="false">P18+Q17</f>
        <v>0</v>
      </c>
      <c r="R18" s="107" t="n">
        <f aca="false">Q18+R17</f>
        <v>0</v>
      </c>
      <c r="S18" s="107" t="n">
        <f aca="false">R18+S17</f>
        <v>0</v>
      </c>
      <c r="T18" s="107" t="n">
        <f aca="false">S18+T17</f>
        <v>0</v>
      </c>
      <c r="U18" s="107" t="n">
        <f aca="false">T18+U17</f>
        <v>0</v>
      </c>
      <c r="V18" s="107" t="n">
        <f aca="false">U18+V17</f>
        <v>0</v>
      </c>
      <c r="W18" s="107" t="n">
        <f aca="false">V18+W17</f>
        <v>0</v>
      </c>
      <c r="X18" s="107" t="n">
        <f aca="false">W18+X17</f>
        <v>0</v>
      </c>
      <c r="Y18" s="107" t="n">
        <f aca="false">X18+Y17</f>
        <v>0</v>
      </c>
      <c r="Z18" s="107" t="n">
        <f aca="false">Y18+Z17</f>
        <v>0</v>
      </c>
      <c r="AA18" s="107" t="n">
        <f aca="false">Z18+AA17</f>
        <v>0</v>
      </c>
      <c r="AB18" s="107" t="n">
        <f aca="false">AA18+AB17</f>
        <v>0</v>
      </c>
      <c r="AC18" s="107" t="n">
        <f aca="false">AB18+AC17</f>
        <v>0</v>
      </c>
      <c r="AD18" s="107" t="n">
        <f aca="false">AC18+AD17</f>
        <v>0</v>
      </c>
      <c r="AE18" s="107" t="n">
        <f aca="false">AD18+AE17</f>
        <v>0</v>
      </c>
      <c r="AF18" s="107" t="n">
        <f aca="false">AE18+AF17</f>
        <v>0</v>
      </c>
      <c r="AG18" s="107" t="n">
        <f aca="false">AF18+AG17</f>
        <v>0</v>
      </c>
      <c r="AH18" s="107" t="n">
        <f aca="false">AG18+AH17</f>
        <v>0</v>
      </c>
      <c r="AI18" s="107" t="n">
        <f aca="false">AH18+AI17</f>
        <v>0</v>
      </c>
      <c r="AJ18" s="107" t="n">
        <f aca="false">AI18+AJ17</f>
        <v>0</v>
      </c>
      <c r="AK18" s="107" t="n">
        <f aca="false">AJ18+AK17</f>
        <v>0</v>
      </c>
    </row>
    <row r="19" customFormat="false" ht="16.5" hidden="false" customHeight="true" outlineLevel="0" collapsed="false">
      <c r="A19" s="27" t="s">
        <v>629</v>
      </c>
      <c r="B19" s="108" t="str">
        <f aca="false">IF(B6="","",IF(B13&gt;=-0.1,"grün",IF(B13&gt;=-0.25,"gelb","rot")))</f>
        <v/>
      </c>
      <c r="C19" s="108" t="str">
        <f aca="false">IF(C6="","",IF(C13&gt;=-0.1,"grün",IF(C13&gt;=-0.25,"gelb","rot")))</f>
        <v/>
      </c>
      <c r="D19" s="108" t="str">
        <f aca="false">IF(D6="","",IF(D13&gt;=-0.1,"grün",IF(D13&gt;=-0.25,"gelb","rot")))</f>
        <v/>
      </c>
      <c r="E19" s="108" t="str">
        <f aca="false">IF(E6="","",IF(E13&gt;=-0.1,"grün",IF(E13&gt;=-0.25,"gelb","rot")))</f>
        <v/>
      </c>
      <c r="F19" s="108" t="str">
        <f aca="false">IF(F6="","",IF(F13&gt;=-0.1,"grün",IF(F13&gt;=-0.25,"gelb","rot")))</f>
        <v/>
      </c>
      <c r="G19" s="108" t="str">
        <f aca="false">IF(G6="","",IF(G13&gt;=-0.1,"grün",IF(G13&gt;=-0.25,"gelb","rot")))</f>
        <v/>
      </c>
      <c r="H19" s="108" t="str">
        <f aca="false">IF(H6="","",IF(H13&gt;=-0.1,"grün",IF(H13&gt;=-0.25,"gelb","rot")))</f>
        <v/>
      </c>
      <c r="I19" s="108" t="str">
        <f aca="false">IF(I6="","",IF(I13&gt;=-0.1,"grün",IF(I13&gt;=-0.25,"gelb","rot")))</f>
        <v/>
      </c>
      <c r="J19" s="108" t="str">
        <f aca="false">IF(J6="","",IF(J13&gt;=-0.1,"grün",IF(J13&gt;=-0.25,"gelb","rot")))</f>
        <v/>
      </c>
      <c r="K19" s="108" t="str">
        <f aca="false">IF(K6="","",IF(K13&gt;=-0.1,"grün",IF(K13&gt;=-0.25,"gelb","rot")))</f>
        <v/>
      </c>
      <c r="L19" s="108" t="str">
        <f aca="false">IF(L6="","",IF(L13&gt;=-0.1,"grün",IF(L13&gt;=-0.25,"gelb","rot")))</f>
        <v/>
      </c>
      <c r="M19" s="108" t="str">
        <f aca="false">IF(M6="","",IF(M13&gt;=-0.1,"grün",IF(M13&gt;=-0.25,"gelb","rot")))</f>
        <v/>
      </c>
      <c r="N19" s="108" t="str">
        <f aca="false">IF(N6="","",IF(N13&gt;=-0.1,"grün",IF(N13&gt;=-0.25,"gelb","rot")))</f>
        <v/>
      </c>
      <c r="O19" s="108" t="str">
        <f aca="false">IF(O6="","",IF(O13&gt;=-0.1,"grün",IF(O13&gt;=-0.25,"gelb","rot")))</f>
        <v/>
      </c>
      <c r="P19" s="108" t="str">
        <f aca="false">IF(P6="","",IF(P13&gt;=-0.1,"grün",IF(P13&gt;=-0.25,"gelb","rot")))</f>
        <v/>
      </c>
      <c r="Q19" s="108" t="str">
        <f aca="false">IF(Q6="","",IF(Q13&gt;=-0.1,"grün",IF(Q13&gt;=-0.25,"gelb","rot")))</f>
        <v/>
      </c>
      <c r="R19" s="108" t="str">
        <f aca="false">IF(R6="","",IF(R13&gt;=-0.1,"grün",IF(R13&gt;=-0.25,"gelb","rot")))</f>
        <v/>
      </c>
      <c r="S19" s="108" t="str">
        <f aca="false">IF(S6="","",IF(S13&gt;=-0.1,"grün",IF(S13&gt;=-0.25,"gelb","rot")))</f>
        <v/>
      </c>
      <c r="T19" s="108" t="str">
        <f aca="false">IF(T6="","",IF(T13&gt;=-0.1,"grün",IF(T13&gt;=-0.25,"gelb","rot")))</f>
        <v/>
      </c>
      <c r="U19" s="108" t="str">
        <f aca="false">IF(U6="","",IF(U13&gt;=-0.1,"grün",IF(U13&gt;=-0.25,"gelb","rot")))</f>
        <v/>
      </c>
      <c r="V19" s="108" t="str">
        <f aca="false">IF(V6="","",IF(V13&gt;=-0.1,"grün",IF(V13&gt;=-0.25,"gelb","rot")))</f>
        <v/>
      </c>
      <c r="W19" s="108" t="str">
        <f aca="false">IF(W6="","",IF(W13&gt;=-0.1,"grün",IF(W13&gt;=-0.25,"gelb","rot")))</f>
        <v/>
      </c>
      <c r="X19" s="108" t="str">
        <f aca="false">IF(X6="","",IF(X13&gt;=-0.1,"grün",IF(X13&gt;=-0.25,"gelb","rot")))</f>
        <v/>
      </c>
      <c r="Y19" s="108" t="str">
        <f aca="false">IF(Y6="","",IF(Y13&gt;=-0.1,"grün",IF(Y13&gt;=-0.25,"gelb","rot")))</f>
        <v/>
      </c>
      <c r="Z19" s="108" t="str">
        <f aca="false">IF(Z6="","",IF(Z13&gt;=-0.1,"grün",IF(Z13&gt;=-0.25,"gelb","rot")))</f>
        <v/>
      </c>
      <c r="AA19" s="108" t="str">
        <f aca="false">IF(AA6="","",IF(AA13&gt;=-0.1,"grün",IF(AA13&gt;=-0.25,"gelb","rot")))</f>
        <v/>
      </c>
      <c r="AB19" s="108" t="str">
        <f aca="false">IF(AB6="","",IF(AB13&gt;=-0.1,"grün",IF(AB13&gt;=-0.25,"gelb","rot")))</f>
        <v/>
      </c>
      <c r="AC19" s="108" t="str">
        <f aca="false">IF(AC6="","",IF(AC13&gt;=-0.1,"grün",IF(AC13&gt;=-0.25,"gelb","rot")))</f>
        <v/>
      </c>
      <c r="AD19" s="108" t="str">
        <f aca="false">IF(AD6="","",IF(AD13&gt;=-0.1,"grün",IF(AD13&gt;=-0.25,"gelb","rot")))</f>
        <v/>
      </c>
      <c r="AE19" s="108" t="str">
        <f aca="false">IF(AE6="","",IF(AE13&gt;=-0.1,"grün",IF(AE13&gt;=-0.25,"gelb","rot")))</f>
        <v/>
      </c>
      <c r="AF19" s="108" t="str">
        <f aca="false">IF(AF6="","",IF(AF13&gt;=-0.1,"grün",IF(AF13&gt;=-0.25,"gelb","rot")))</f>
        <v/>
      </c>
      <c r="AG19" s="108" t="str">
        <f aca="false">IF(AG6="","",IF(AG13&gt;=-0.1,"grün",IF(AG13&gt;=-0.25,"gelb","rot")))</f>
        <v/>
      </c>
      <c r="AH19" s="108" t="str">
        <f aca="false">IF(AH6="","",IF(AH13&gt;=-0.1,"grün",IF(AH13&gt;=-0.25,"gelb","rot")))</f>
        <v/>
      </c>
      <c r="AI19" s="108" t="str">
        <f aca="false">IF(AI6="","",IF(AI13&gt;=-0.1,"grün",IF(AI13&gt;=-0.25,"gelb","rot")))</f>
        <v/>
      </c>
      <c r="AJ19" s="108" t="str">
        <f aca="false">IF(AJ6="","",IF(AJ13&gt;=-0.1,"grün",IF(AJ13&gt;=-0.25,"gelb","rot")))</f>
        <v/>
      </c>
      <c r="AK19" s="108" t="str">
        <f aca="false">IF(AK6="","",IF(AK13&gt;=-0.1,"grün",IF(AK13&gt;=-0.25,"gelb","rot")))</f>
        <v/>
      </c>
    </row>
  </sheetData>
  <mergeCells count="1">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2" style="1" width="58"/>
    <col collapsed="false" customWidth="true" hidden="false" outlineLevel="0" max="4" min="4" style="1" width="44"/>
  </cols>
  <sheetData>
    <row r="1" customFormat="false" ht="19.5" hidden="false" customHeight="true" outlineLevel="0" collapsed="false">
      <c r="A1" s="2" t="s">
        <v>630</v>
      </c>
    </row>
    <row r="2" customFormat="false" ht="25.5" hidden="false" customHeight="true" outlineLevel="0" collapsed="false">
      <c r="A2" s="3" t="s">
        <v>631</v>
      </c>
    </row>
    <row r="4" customFormat="false" ht="15.75" hidden="false" customHeight="true" outlineLevel="0" collapsed="false">
      <c r="A4" s="5" t="s">
        <v>632</v>
      </c>
    </row>
    <row r="5" customFormat="false" ht="43.5" hidden="false" customHeight="true" outlineLevel="0" collapsed="false">
      <c r="A5" s="93" t="s">
        <v>633</v>
      </c>
      <c r="B5" s="93"/>
      <c r="C5" s="93"/>
      <c r="D5" s="93"/>
    </row>
    <row r="6" customFormat="false" ht="27.75" hidden="false" customHeight="true" outlineLevel="0" collapsed="false">
      <c r="A6" s="10" t="s">
        <v>634</v>
      </c>
      <c r="B6" s="10" t="s">
        <v>635</v>
      </c>
      <c r="C6" s="10" t="s">
        <v>636</v>
      </c>
      <c r="D6" s="10" t="s">
        <v>637</v>
      </c>
    </row>
    <row r="7" customFormat="false" ht="117.75" hidden="false" customHeight="true" outlineLevel="0" collapsed="false">
      <c r="A7" s="11" t="s">
        <v>638</v>
      </c>
      <c r="B7" s="12" t="s">
        <v>639</v>
      </c>
      <c r="C7" s="12" t="s">
        <v>640</v>
      </c>
      <c r="D7" s="12" t="s">
        <v>641</v>
      </c>
    </row>
    <row r="8" customFormat="false" ht="117.75" hidden="false" customHeight="true" outlineLevel="0" collapsed="false">
      <c r="A8" s="94" t="s">
        <v>642</v>
      </c>
      <c r="B8" s="95" t="s">
        <v>643</v>
      </c>
      <c r="C8" s="95" t="s">
        <v>644</v>
      </c>
      <c r="D8" s="95" t="s">
        <v>645</v>
      </c>
    </row>
    <row r="9" customFormat="false" ht="117.75" hidden="false" customHeight="true" outlineLevel="0" collapsed="false">
      <c r="A9" s="11" t="s">
        <v>646</v>
      </c>
      <c r="B9" s="12" t="s">
        <v>647</v>
      </c>
      <c r="C9" s="12" t="s">
        <v>648</v>
      </c>
      <c r="D9" s="12" t="s">
        <v>649</v>
      </c>
    </row>
    <row r="10" customFormat="false" ht="189.75" hidden="false" customHeight="true" outlineLevel="0" collapsed="false">
      <c r="A10" s="94" t="s">
        <v>650</v>
      </c>
      <c r="B10" s="95" t="s">
        <v>651</v>
      </c>
      <c r="C10" s="95" t="s">
        <v>652</v>
      </c>
      <c r="D10" s="95" t="s">
        <v>653</v>
      </c>
    </row>
    <row r="11" customFormat="false" ht="117.75" hidden="false" customHeight="true" outlineLevel="0" collapsed="false">
      <c r="A11" s="11" t="s">
        <v>654</v>
      </c>
      <c r="B11" s="12" t="s">
        <v>655</v>
      </c>
      <c r="C11" s="12" t="s">
        <v>656</v>
      </c>
      <c r="D11" s="12" t="s">
        <v>657</v>
      </c>
    </row>
    <row r="13" customFormat="false" ht="15.75" hidden="false" customHeight="true" outlineLevel="0" collapsed="false">
      <c r="A13" s="5" t="s">
        <v>658</v>
      </c>
    </row>
    <row r="14" customFormat="false" ht="27.75" hidden="false" customHeight="true" outlineLevel="0" collapsed="false">
      <c r="A14" s="10" t="s">
        <v>659</v>
      </c>
      <c r="B14" s="10" t="s">
        <v>660</v>
      </c>
      <c r="C14" s="10" t="s">
        <v>661</v>
      </c>
      <c r="D14" s="10" t="s">
        <v>662</v>
      </c>
    </row>
    <row r="15" customFormat="false" ht="121.5" hidden="false" customHeight="true" outlineLevel="0" collapsed="false">
      <c r="A15" s="11" t="s">
        <v>663</v>
      </c>
      <c r="B15" s="12" t="s">
        <v>664</v>
      </c>
      <c r="C15" s="12" t="s">
        <v>665</v>
      </c>
      <c r="D15" s="12" t="s">
        <v>666</v>
      </c>
    </row>
    <row r="16" customFormat="false" ht="121.5" hidden="false" customHeight="true" outlineLevel="0" collapsed="false">
      <c r="A16" s="94" t="s">
        <v>667</v>
      </c>
      <c r="B16" s="95" t="s">
        <v>668</v>
      </c>
      <c r="C16" s="95" t="s">
        <v>669</v>
      </c>
      <c r="D16" s="95" t="s">
        <v>670</v>
      </c>
    </row>
    <row r="17" customFormat="false" ht="150" hidden="false" customHeight="true" outlineLevel="0" collapsed="false">
      <c r="A17" s="11" t="s">
        <v>671</v>
      </c>
      <c r="B17" s="12" t="s">
        <v>672</v>
      </c>
      <c r="C17" s="12" t="s">
        <v>673</v>
      </c>
      <c r="D17" s="12" t="s">
        <v>674</v>
      </c>
    </row>
    <row r="18" customFormat="false" ht="135" hidden="false" customHeight="true" outlineLevel="0" collapsed="false">
      <c r="A18" s="94" t="s">
        <v>675</v>
      </c>
      <c r="B18" s="95" t="s">
        <v>676</v>
      </c>
      <c r="C18" s="95" t="s">
        <v>677</v>
      </c>
      <c r="D18" s="95" t="s">
        <v>678</v>
      </c>
    </row>
    <row r="19" customFormat="false" ht="121.5" hidden="false" customHeight="true" outlineLevel="0" collapsed="false">
      <c r="A19" s="11" t="s">
        <v>679</v>
      </c>
      <c r="B19" s="12" t="s">
        <v>680</v>
      </c>
      <c r="C19" s="12" t="s">
        <v>681</v>
      </c>
      <c r="D19" s="12" t="s">
        <v>682</v>
      </c>
    </row>
    <row r="20" customFormat="false" ht="135" hidden="false" customHeight="true" outlineLevel="0" collapsed="false">
      <c r="A20" s="94" t="s">
        <v>683</v>
      </c>
      <c r="B20" s="95" t="s">
        <v>684</v>
      </c>
      <c r="C20" s="95" t="s">
        <v>685</v>
      </c>
      <c r="D20" s="95" t="s">
        <v>686</v>
      </c>
    </row>
    <row r="22" customFormat="false" ht="15.75" hidden="false" customHeight="true" outlineLevel="0" collapsed="false">
      <c r="A22" s="5" t="s">
        <v>687</v>
      </c>
    </row>
    <row r="23" customFormat="false" ht="27.75" hidden="false" customHeight="true" outlineLevel="0" collapsed="false">
      <c r="A23" s="10" t="s">
        <v>688</v>
      </c>
      <c r="B23" s="10" t="s">
        <v>81</v>
      </c>
      <c r="C23" s="10" t="s">
        <v>550</v>
      </c>
      <c r="D23" s="10" t="s">
        <v>689</v>
      </c>
    </row>
    <row r="24" customFormat="false" ht="55.5" hidden="false" customHeight="true" outlineLevel="0" collapsed="false">
      <c r="A24" s="11" t="s">
        <v>690</v>
      </c>
      <c r="B24" s="12" t="s">
        <v>691</v>
      </c>
      <c r="C24" s="12" t="s">
        <v>692</v>
      </c>
      <c r="D24" s="12" t="s">
        <v>693</v>
      </c>
    </row>
    <row r="25" customFormat="false" ht="55.5" hidden="false" customHeight="true" outlineLevel="0" collapsed="false">
      <c r="A25" s="94" t="s">
        <v>694</v>
      </c>
      <c r="B25" s="95" t="s">
        <v>695</v>
      </c>
      <c r="C25" s="95" t="s">
        <v>696</v>
      </c>
      <c r="D25" s="95" t="s">
        <v>697</v>
      </c>
    </row>
    <row r="26" customFormat="false" ht="55.5" hidden="false" customHeight="true" outlineLevel="0" collapsed="false">
      <c r="A26" s="11" t="s">
        <v>698</v>
      </c>
      <c r="B26" s="12" t="s">
        <v>699</v>
      </c>
      <c r="C26" s="12" t="s">
        <v>700</v>
      </c>
      <c r="D26" s="12" t="s">
        <v>697</v>
      </c>
    </row>
    <row r="27" customFormat="false" ht="55.5" hidden="false" customHeight="true" outlineLevel="0" collapsed="false">
      <c r="A27" s="94" t="s">
        <v>701</v>
      </c>
      <c r="B27" s="95" t="s">
        <v>702</v>
      </c>
      <c r="C27" s="95" t="s">
        <v>703</v>
      </c>
      <c r="D27" s="95" t="s">
        <v>697</v>
      </c>
    </row>
    <row r="28" customFormat="false" ht="55.5" hidden="false" customHeight="true" outlineLevel="0" collapsed="false">
      <c r="A28" s="11" t="s">
        <v>704</v>
      </c>
      <c r="B28" s="12" t="s">
        <v>705</v>
      </c>
      <c r="C28" s="12" t="s">
        <v>706</v>
      </c>
      <c r="D28" s="12" t="s">
        <v>707</v>
      </c>
    </row>
    <row r="29" customFormat="false" ht="55.5" hidden="false" customHeight="true" outlineLevel="0" collapsed="false">
      <c r="A29" s="94" t="s">
        <v>708</v>
      </c>
      <c r="B29" s="95" t="s">
        <v>709</v>
      </c>
      <c r="C29" s="95" t="s">
        <v>710</v>
      </c>
      <c r="D29" s="95" t="s">
        <v>707</v>
      </c>
    </row>
    <row r="30" customFormat="false" ht="55.5" hidden="false" customHeight="true" outlineLevel="0" collapsed="false">
      <c r="A30" s="11" t="s">
        <v>711</v>
      </c>
      <c r="B30" s="12" t="s">
        <v>712</v>
      </c>
      <c r="C30" s="12" t="s">
        <v>713</v>
      </c>
      <c r="D30" s="12" t="s">
        <v>707</v>
      </c>
    </row>
    <row r="31" customFormat="false" ht="55.5" hidden="false" customHeight="true" outlineLevel="0" collapsed="false">
      <c r="A31" s="94" t="s">
        <v>714</v>
      </c>
      <c r="B31" s="95" t="s">
        <v>715</v>
      </c>
      <c r="C31" s="95" t="s">
        <v>716</v>
      </c>
      <c r="D31" s="95" t="s">
        <v>707</v>
      </c>
    </row>
    <row r="32" customFormat="false" ht="55.5" hidden="false" customHeight="true" outlineLevel="0" collapsed="false">
      <c r="A32" s="94" t="s">
        <v>717</v>
      </c>
      <c r="B32" s="95" t="s">
        <v>718</v>
      </c>
      <c r="C32" s="95" t="s">
        <v>719</v>
      </c>
      <c r="D32" s="95" t="s">
        <v>720</v>
      </c>
    </row>
    <row r="33" customFormat="false" ht="55.5" hidden="false" customHeight="true" outlineLevel="0" collapsed="false">
      <c r="A33" s="94" t="s">
        <v>721</v>
      </c>
      <c r="B33" s="95" t="s">
        <v>722</v>
      </c>
      <c r="C33" s="95" t="s">
        <v>723</v>
      </c>
      <c r="D33" s="95" t="s">
        <v>724</v>
      </c>
    </row>
    <row r="34" customFormat="false" ht="55.5" hidden="false" customHeight="true" outlineLevel="0" collapsed="false">
      <c r="A34" s="94" t="s">
        <v>725</v>
      </c>
      <c r="B34" s="95" t="s">
        <v>726</v>
      </c>
      <c r="C34" s="95" t="s">
        <v>727</v>
      </c>
      <c r="D34" s="95" t="s">
        <v>724</v>
      </c>
    </row>
    <row r="35" customFormat="false" ht="55.5" hidden="false" customHeight="true" outlineLevel="0" collapsed="false">
      <c r="A35" s="94" t="s">
        <v>728</v>
      </c>
      <c r="B35" s="95" t="s">
        <v>729</v>
      </c>
      <c r="C35" s="95" t="s">
        <v>730</v>
      </c>
      <c r="D35" s="95" t="s">
        <v>724</v>
      </c>
    </row>
    <row r="36" customFormat="false" ht="55.5" hidden="false" customHeight="true" outlineLevel="0" collapsed="false">
      <c r="A36" s="94" t="s">
        <v>731</v>
      </c>
      <c r="B36" s="95" t="s">
        <v>732</v>
      </c>
      <c r="C36" s="95" t="s">
        <v>733</v>
      </c>
      <c r="D36" s="95" t="s">
        <v>724</v>
      </c>
    </row>
    <row r="37" customFormat="false" ht="55.5" hidden="false" customHeight="true" outlineLevel="0" collapsed="false">
      <c r="A37" s="94" t="s">
        <v>734</v>
      </c>
      <c r="B37" s="95" t="s">
        <v>735</v>
      </c>
      <c r="C37" s="95" t="s">
        <v>736</v>
      </c>
      <c r="D37" s="95" t="s">
        <v>737</v>
      </c>
    </row>
    <row r="39" customFormat="false" ht="15.75" hidden="false" customHeight="true" outlineLevel="0" collapsed="false">
      <c r="A39" s="5" t="s">
        <v>738</v>
      </c>
    </row>
    <row r="40" customFormat="false" ht="139.5" hidden="false" customHeight="true" outlineLevel="0" collapsed="false">
      <c r="A40" s="96" t="s">
        <v>739</v>
      </c>
      <c r="B40" s="96"/>
      <c r="C40" s="96"/>
      <c r="D40" s="96"/>
    </row>
    <row r="42" customFormat="false" ht="15.75" hidden="false" customHeight="true" outlineLevel="0" collapsed="false">
      <c r="A42" s="5" t="s">
        <v>740</v>
      </c>
    </row>
    <row r="43" customFormat="false" ht="79.5" hidden="false" customHeight="true" outlineLevel="0" collapsed="false">
      <c r="A43" s="13" t="s">
        <v>741</v>
      </c>
      <c r="B43" s="13"/>
      <c r="C43" s="13"/>
      <c r="D43" s="13"/>
    </row>
    <row r="44" customFormat="false" ht="27.75" hidden="false" customHeight="true" outlineLevel="0" collapsed="false">
      <c r="A44" s="10" t="s">
        <v>742</v>
      </c>
      <c r="B44" s="10" t="s">
        <v>743</v>
      </c>
      <c r="C44" s="10" t="s">
        <v>744</v>
      </c>
      <c r="D44" s="10" t="s">
        <v>745</v>
      </c>
    </row>
    <row r="45" customFormat="false" ht="42" hidden="false" customHeight="true" outlineLevel="0" collapsed="false">
      <c r="A45" s="94" t="s">
        <v>746</v>
      </c>
      <c r="B45" s="95" t="s">
        <v>747</v>
      </c>
      <c r="C45" s="95" t="s">
        <v>748</v>
      </c>
      <c r="D45" s="94" t="s">
        <v>749</v>
      </c>
    </row>
    <row r="46" customFormat="false" ht="42" hidden="false" customHeight="true" outlineLevel="0" collapsed="false">
      <c r="A46" s="94" t="s">
        <v>750</v>
      </c>
      <c r="B46" s="95" t="s">
        <v>751</v>
      </c>
      <c r="C46" s="95" t="s">
        <v>752</v>
      </c>
      <c r="D46" s="94" t="s">
        <v>753</v>
      </c>
    </row>
    <row r="47" customFormat="false" ht="42" hidden="false" customHeight="true" outlineLevel="0" collapsed="false">
      <c r="A47" s="94" t="s">
        <v>754</v>
      </c>
      <c r="B47" s="95" t="s">
        <v>755</v>
      </c>
      <c r="C47" s="95" t="s">
        <v>756</v>
      </c>
      <c r="D47" s="94" t="s">
        <v>757</v>
      </c>
    </row>
    <row r="48" customFormat="false" ht="42" hidden="false" customHeight="true" outlineLevel="0" collapsed="false">
      <c r="A48" s="94" t="s">
        <v>758</v>
      </c>
      <c r="B48" s="95" t="s">
        <v>759</v>
      </c>
      <c r="C48" s="95" t="s">
        <v>760</v>
      </c>
      <c r="D48" s="94" t="s">
        <v>761</v>
      </c>
    </row>
    <row r="49" customFormat="false" ht="42" hidden="false" customHeight="true" outlineLevel="0" collapsed="false">
      <c r="A49" s="94" t="s">
        <v>762</v>
      </c>
      <c r="B49" s="95" t="s">
        <v>763</v>
      </c>
      <c r="C49" s="95" t="s">
        <v>764</v>
      </c>
      <c r="D49" s="94" t="s">
        <v>765</v>
      </c>
    </row>
    <row r="50" customFormat="false" ht="42" hidden="false" customHeight="true" outlineLevel="0" collapsed="false">
      <c r="A50" s="94" t="s">
        <v>766</v>
      </c>
      <c r="B50" s="95" t="s">
        <v>767</v>
      </c>
      <c r="C50" s="95" t="s">
        <v>768</v>
      </c>
      <c r="D50" s="94" t="s">
        <v>769</v>
      </c>
    </row>
    <row r="51" customFormat="false" ht="42" hidden="false" customHeight="true" outlineLevel="0" collapsed="false">
      <c r="A51" s="94" t="s">
        <v>770</v>
      </c>
      <c r="B51" s="95" t="s">
        <v>771</v>
      </c>
      <c r="C51" s="95" t="s">
        <v>772</v>
      </c>
      <c r="D51" s="94" t="s">
        <v>773</v>
      </c>
    </row>
    <row r="52" customFormat="false" ht="42" hidden="false" customHeight="true" outlineLevel="0" collapsed="false">
      <c r="A52" s="94" t="s">
        <v>774</v>
      </c>
      <c r="B52" s="95" t="s">
        <v>775</v>
      </c>
      <c r="C52" s="95" t="s">
        <v>776</v>
      </c>
      <c r="D52" s="94" t="s">
        <v>777</v>
      </c>
    </row>
    <row r="53" customFormat="false" ht="42" hidden="false" customHeight="true" outlineLevel="0" collapsed="false">
      <c r="A53" s="94" t="s">
        <v>778</v>
      </c>
      <c r="B53" s="95" t="s">
        <v>779</v>
      </c>
      <c r="C53" s="95" t="s">
        <v>780</v>
      </c>
      <c r="D53" s="94" t="s">
        <v>781</v>
      </c>
    </row>
    <row r="54" customFormat="false" ht="30" hidden="false" customHeight="true" outlineLevel="0" collapsed="false">
      <c r="A54" s="94" t="s">
        <v>782</v>
      </c>
      <c r="B54" s="94" t="s">
        <v>783</v>
      </c>
      <c r="C54" s="94" t="s">
        <v>784</v>
      </c>
      <c r="D54" s="94" t="s">
        <v>785</v>
      </c>
    </row>
    <row r="56" customFormat="false" ht="27.75" hidden="false" customHeight="true" outlineLevel="0" collapsed="false">
      <c r="A56" s="10" t="s">
        <v>786</v>
      </c>
      <c r="B56" s="10" t="s">
        <v>30</v>
      </c>
      <c r="C56" s="10" t="s">
        <v>31</v>
      </c>
      <c r="D56" s="10" t="s">
        <v>32</v>
      </c>
    </row>
    <row r="57" customFormat="false" ht="24" hidden="false" customHeight="true" outlineLevel="0" collapsed="false">
      <c r="A57" s="94" t="s">
        <v>350</v>
      </c>
      <c r="B57" s="95" t="s">
        <v>787</v>
      </c>
      <c r="C57" s="95" t="s">
        <v>788</v>
      </c>
      <c r="D57" s="95" t="s">
        <v>789</v>
      </c>
    </row>
    <row r="58" customFormat="false" ht="24" hidden="false" customHeight="true" outlineLevel="0" collapsed="false">
      <c r="A58" s="94" t="s">
        <v>352</v>
      </c>
      <c r="B58" s="95" t="s">
        <v>790</v>
      </c>
      <c r="C58" s="95" t="s">
        <v>791</v>
      </c>
      <c r="D58" s="95" t="s">
        <v>792</v>
      </c>
    </row>
    <row r="59" customFormat="false" ht="24" hidden="false" customHeight="true" outlineLevel="0" collapsed="false">
      <c r="A59" s="94" t="s">
        <v>793</v>
      </c>
      <c r="B59" s="95" t="s">
        <v>794</v>
      </c>
      <c r="C59" s="95" t="s">
        <v>795</v>
      </c>
      <c r="D59" s="95" t="s">
        <v>796</v>
      </c>
    </row>
    <row r="60" customFormat="false" ht="24" hidden="false" customHeight="true" outlineLevel="0" collapsed="false">
      <c r="A60" s="94" t="s">
        <v>797</v>
      </c>
      <c r="B60" s="95" t="s">
        <v>794</v>
      </c>
      <c r="C60" s="95" t="s">
        <v>794</v>
      </c>
      <c r="D60" s="95" t="s">
        <v>798</v>
      </c>
    </row>
    <row r="61" customFormat="false" ht="24" hidden="false" customHeight="true" outlineLevel="0" collapsed="false">
      <c r="A61" s="94" t="s">
        <v>363</v>
      </c>
      <c r="B61" s="94" t="s">
        <v>799</v>
      </c>
      <c r="C61" s="94" t="s">
        <v>800</v>
      </c>
      <c r="D61" s="94" t="s">
        <v>801</v>
      </c>
    </row>
    <row r="62" customFormat="false" ht="24" hidden="false" customHeight="true" outlineLevel="0" collapsed="false">
      <c r="A62" s="94" t="s">
        <v>802</v>
      </c>
      <c r="B62" s="94" t="s">
        <v>803</v>
      </c>
      <c r="C62" s="94" t="s">
        <v>804</v>
      </c>
      <c r="D62" s="94" t="s">
        <v>805</v>
      </c>
    </row>
    <row r="64" customFormat="false" ht="109.5" hidden="false" customHeight="true" outlineLevel="0" collapsed="false">
      <c r="A64" s="21" t="s">
        <v>806</v>
      </c>
      <c r="B64" s="21"/>
      <c r="C64" s="21"/>
      <c r="D64" s="21"/>
    </row>
    <row r="66" customFormat="false" ht="66" hidden="false" customHeight="true" outlineLevel="0" collapsed="false">
      <c r="A66" s="21" t="s">
        <v>807</v>
      </c>
      <c r="B66" s="21"/>
      <c r="C66" s="21"/>
      <c r="D66" s="21"/>
    </row>
  </sheetData>
  <mergeCells count="5">
    <mergeCell ref="A5:D5"/>
    <mergeCell ref="A40:D40"/>
    <mergeCell ref="A43:D43"/>
    <mergeCell ref="A64:D64"/>
    <mergeCell ref="A66:D6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2026-07-29T14:48:02Z</dcterms:created>
  <dc:creator>openpyxl</dc:creator>
  <dc:description/>
  <dc:language>en-US</dc:language>
  <cp:lastModifiedBy/>
  <dcterms:modified xsi:type="dcterms:W3CDTF">2026-09-27T09:59:11Z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